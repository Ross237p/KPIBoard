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rossg\.gemini\antigravity\scratch\excel_dashboard\"/>
    </mc:Choice>
  </mc:AlternateContent>
  <xr:revisionPtr revIDLastSave="0" documentId="13_ncr:1_{52C18C4D-89C4-4E0F-80D6-28B6AE859959}" xr6:coauthVersionLast="47" xr6:coauthVersionMax="47" xr10:uidLastSave="{00000000-0000-0000-0000-000000000000}"/>
  <bookViews>
    <workbookView xWindow="-38520" yWindow="-120" windowWidth="38640" windowHeight="21120" xr2:uid="{00000000-000D-0000-FFFF-FFFF00000000}"/>
  </bookViews>
  <sheets>
    <sheet name="Sep" sheetId="1" r:id="rId1"/>
    <sheet name="price_lookup_table" sheetId="14" r:id="rId2"/>
    <sheet name="postcode_table" sheetId="19" r:id="rId3"/>
  </sheets>
  <definedNames>
    <definedName name="_xlnm._FilterDatabase" localSheetId="1" hidden="1">price_lookup_table!$A$1:$F$1</definedName>
    <definedName name="_xlnm._FilterDatabase" localSheetId="0" hidden="1">Sep!$A$1:$AE$1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4" i="1" l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Q122" i="1"/>
  <c r="Q123" i="1"/>
  <c r="Q124" i="1"/>
  <c r="Q125" i="1"/>
  <c r="Q126" i="1"/>
  <c r="Q127" i="1"/>
  <c r="Q128" i="1"/>
  <c r="Q129" i="1"/>
  <c r="Q130" i="1"/>
  <c r="Q131" i="1"/>
  <c r="Q132" i="1"/>
  <c r="Q133" i="1"/>
  <c r="Q134" i="1"/>
  <c r="Q135" i="1"/>
  <c r="Q136" i="1"/>
  <c r="Q137" i="1"/>
  <c r="Q138" i="1"/>
  <c r="Q139" i="1"/>
  <c r="Q140" i="1"/>
  <c r="Q141" i="1"/>
  <c r="Q142" i="1"/>
  <c r="Q143" i="1"/>
  <c r="Q144" i="1"/>
  <c r="Q145" i="1"/>
  <c r="Q146" i="1"/>
  <c r="Q147" i="1"/>
  <c r="Q148" i="1"/>
  <c r="Q149" i="1"/>
  <c r="Q150" i="1"/>
  <c r="Q151" i="1"/>
  <c r="Q152" i="1"/>
  <c r="Q153" i="1"/>
  <c r="Q154" i="1"/>
  <c r="Q155" i="1"/>
  <c r="Q156" i="1"/>
  <c r="Q157" i="1"/>
  <c r="Q158" i="1"/>
  <c r="Q159" i="1"/>
  <c r="Q160" i="1"/>
  <c r="Q161" i="1"/>
  <c r="Q162" i="1"/>
  <c r="Q163" i="1"/>
  <c r="Q164" i="1"/>
  <c r="Q165" i="1"/>
  <c r="Q166" i="1"/>
  <c r="Q167" i="1"/>
  <c r="Q168" i="1"/>
  <c r="Q169" i="1"/>
  <c r="Q170" i="1"/>
  <c r="Q171" i="1"/>
  <c r="Q172" i="1"/>
  <c r="Q173" i="1"/>
  <c r="Q174" i="1"/>
  <c r="Q175" i="1"/>
  <c r="Q176" i="1"/>
  <c r="Q177" i="1"/>
  <c r="Q178" i="1"/>
  <c r="Q179" i="1"/>
  <c r="Q180" i="1"/>
  <c r="Q181" i="1"/>
  <c r="Q182" i="1"/>
  <c r="Q183" i="1"/>
  <c r="Q184" i="1"/>
  <c r="Q185" i="1"/>
  <c r="Q186" i="1"/>
  <c r="Q3" i="1"/>
  <c r="Q2" i="1"/>
  <c r="AE43" i="1"/>
  <c r="AE44" i="1"/>
  <c r="AE45" i="1"/>
  <c r="AE46" i="1"/>
  <c r="AE47" i="1"/>
  <c r="AE54" i="1"/>
  <c r="AE55" i="1"/>
  <c r="AE56" i="1"/>
  <c r="AE57" i="1"/>
  <c r="AE58" i="1"/>
  <c r="AE59" i="1"/>
  <c r="AE27" i="1"/>
  <c r="AE28" i="1"/>
  <c r="AE29" i="1"/>
  <c r="AE30" i="1"/>
  <c r="AE31" i="1"/>
  <c r="AE4" i="1"/>
  <c r="AE5" i="1"/>
  <c r="AE6" i="1"/>
  <c r="AE7" i="1"/>
  <c r="AE8" i="1"/>
  <c r="AE9" i="1"/>
  <c r="AE10" i="1"/>
  <c r="AE11" i="1"/>
  <c r="AE12" i="1"/>
  <c r="AE13" i="1"/>
  <c r="AE14" i="1"/>
  <c r="AE15" i="1"/>
  <c r="AE16" i="1"/>
  <c r="AE17" i="1"/>
  <c r="AE18" i="1"/>
  <c r="AE19" i="1"/>
  <c r="AE20" i="1"/>
  <c r="AE21" i="1"/>
  <c r="AE22" i="1"/>
  <c r="AE23" i="1"/>
  <c r="AE24" i="1"/>
  <c r="AE25" i="1"/>
  <c r="AE26" i="1"/>
  <c r="AE32" i="1"/>
  <c r="AE33" i="1"/>
  <c r="AE34" i="1"/>
  <c r="AE35" i="1"/>
  <c r="AE36" i="1"/>
  <c r="AE37" i="1"/>
  <c r="AE38" i="1"/>
  <c r="AE39" i="1"/>
  <c r="AE40" i="1"/>
  <c r="AE41" i="1"/>
  <c r="AE42" i="1"/>
  <c r="AE48" i="1"/>
  <c r="AE49" i="1"/>
  <c r="AE50" i="1"/>
  <c r="AE51" i="1"/>
  <c r="AE52" i="1"/>
  <c r="AE53" i="1"/>
  <c r="AE60" i="1"/>
  <c r="AE61" i="1"/>
  <c r="AE62" i="1"/>
  <c r="AE63" i="1"/>
  <c r="AE64" i="1"/>
  <c r="AE65" i="1"/>
  <c r="AE66" i="1"/>
  <c r="AE67" i="1"/>
  <c r="AE68" i="1"/>
  <c r="AE69" i="1"/>
  <c r="AE70" i="1"/>
  <c r="AE71" i="1"/>
  <c r="AE72" i="1"/>
  <c r="AE73" i="1"/>
  <c r="AE74" i="1"/>
  <c r="AE75" i="1"/>
  <c r="AE76" i="1"/>
  <c r="AE77" i="1"/>
  <c r="AE78" i="1"/>
  <c r="AE79" i="1"/>
  <c r="AE80" i="1"/>
  <c r="AE81" i="1"/>
  <c r="AE82" i="1"/>
  <c r="AE83" i="1"/>
  <c r="AE84" i="1"/>
  <c r="AE85" i="1"/>
  <c r="AE86" i="1"/>
  <c r="AE87" i="1"/>
  <c r="AE88" i="1"/>
  <c r="AE89" i="1"/>
  <c r="AE90" i="1"/>
  <c r="AE91" i="1"/>
  <c r="AE92" i="1"/>
  <c r="AE93" i="1"/>
  <c r="AE94" i="1"/>
  <c r="AE95" i="1"/>
  <c r="AE96" i="1"/>
  <c r="AE97" i="1"/>
  <c r="AE98" i="1"/>
  <c r="AE99" i="1"/>
  <c r="AE100" i="1"/>
  <c r="AE101" i="1"/>
  <c r="AE102" i="1"/>
  <c r="AE103" i="1"/>
  <c r="AE104" i="1"/>
  <c r="AE105" i="1"/>
  <c r="AE106" i="1"/>
  <c r="AE107" i="1"/>
  <c r="AE108" i="1"/>
  <c r="AE109" i="1"/>
  <c r="AE110" i="1"/>
  <c r="AE111" i="1"/>
  <c r="AE112" i="1"/>
  <c r="AE113" i="1"/>
  <c r="AE114" i="1"/>
  <c r="AE115" i="1"/>
  <c r="AE116" i="1"/>
  <c r="AE117" i="1"/>
  <c r="AE118" i="1"/>
  <c r="AE119" i="1"/>
  <c r="AE120" i="1"/>
  <c r="AE121" i="1"/>
  <c r="AE122" i="1"/>
  <c r="AE123" i="1"/>
  <c r="AE124" i="1"/>
  <c r="AE125" i="1"/>
  <c r="AE126" i="1"/>
  <c r="AE127" i="1"/>
  <c r="AE128" i="1"/>
  <c r="AE129" i="1"/>
  <c r="AE130" i="1"/>
  <c r="AE131" i="1"/>
  <c r="AE132" i="1"/>
  <c r="AE133" i="1"/>
  <c r="AE134" i="1"/>
  <c r="AE135" i="1"/>
  <c r="AE136" i="1"/>
  <c r="AE137" i="1"/>
  <c r="AE138" i="1"/>
  <c r="AE139" i="1"/>
  <c r="AE140" i="1"/>
  <c r="AE141" i="1"/>
  <c r="AE142" i="1"/>
  <c r="AE143" i="1"/>
  <c r="AE144" i="1"/>
  <c r="AE145" i="1"/>
  <c r="AE146" i="1"/>
  <c r="AE147" i="1"/>
  <c r="AE148" i="1"/>
  <c r="AE149" i="1"/>
  <c r="AE150" i="1"/>
  <c r="AE151" i="1"/>
  <c r="AE152" i="1"/>
  <c r="AE153" i="1"/>
  <c r="AE154" i="1"/>
  <c r="AE155" i="1"/>
  <c r="AE156" i="1"/>
  <c r="AE157" i="1"/>
  <c r="AE158" i="1"/>
  <c r="AE159" i="1"/>
  <c r="AE160" i="1"/>
  <c r="AE161" i="1"/>
  <c r="AE162" i="1"/>
  <c r="AE163" i="1"/>
  <c r="AE164" i="1"/>
  <c r="AE165" i="1"/>
  <c r="AE166" i="1"/>
  <c r="AE167" i="1"/>
  <c r="AE168" i="1"/>
  <c r="AE169" i="1"/>
  <c r="AE170" i="1"/>
  <c r="AE171" i="1"/>
  <c r="AE172" i="1"/>
  <c r="AE173" i="1"/>
  <c r="AE174" i="1"/>
  <c r="AE175" i="1"/>
  <c r="AE176" i="1"/>
  <c r="AE177" i="1"/>
  <c r="AE178" i="1"/>
  <c r="AE179" i="1"/>
  <c r="AE180" i="1"/>
  <c r="AE181" i="1"/>
  <c r="AE182" i="1"/>
  <c r="AE183" i="1"/>
  <c r="AE184" i="1"/>
  <c r="AE185" i="1"/>
  <c r="AE186" i="1"/>
  <c r="AE3" i="1"/>
  <c r="AE2" i="1"/>
  <c r="V2" i="1" a="1"/>
  <c r="V2" i="1" s="1"/>
  <c r="AB149" i="1" a="1"/>
  <c r="AB149" i="1" s="1"/>
  <c r="AD149" i="1" s="1"/>
  <c r="AC149" i="1"/>
  <c r="V149" i="1" s="1" a="1"/>
  <c r="V149" i="1" s="1"/>
  <c r="AB31" i="1" a="1"/>
  <c r="AB31" i="1" s="1"/>
  <c r="AD31" i="1" s="1"/>
  <c r="V31" i="1" a="1"/>
  <c r="V31" i="1" s="1"/>
  <c r="AB15" i="1" a="1"/>
  <c r="AB15" i="1" s="1"/>
  <c r="AD15" i="1" s="1"/>
  <c r="V15" i="1" a="1"/>
  <c r="V15" i="1" s="1"/>
  <c r="AB55" i="1" a="1"/>
  <c r="AB55" i="1" s="1"/>
  <c r="AD55" i="1" s="1"/>
  <c r="V55" i="1" a="1"/>
  <c r="V55" i="1" s="1"/>
  <c r="AB27" i="1" a="1"/>
  <c r="AB27" i="1" s="1"/>
  <c r="AD27" i="1" s="1"/>
  <c r="V27" i="1" a="1"/>
  <c r="V27" i="1" s="1"/>
  <c r="AB24" i="1" a="1"/>
  <c r="AB24" i="1" s="1"/>
  <c r="AD24" i="1" s="1"/>
  <c r="V24" i="1" a="1"/>
  <c r="V24" i="1" s="1"/>
  <c r="AB185" i="1" a="1"/>
  <c r="AB185" i="1" s="1"/>
  <c r="AD185" i="1" s="1"/>
  <c r="AC185" i="1"/>
  <c r="V185" i="1" s="1" a="1"/>
  <c r="V185" i="1" s="1"/>
  <c r="AB113" i="1" a="1"/>
  <c r="AB113" i="1" s="1"/>
  <c r="AD113" i="1" s="1"/>
  <c r="AC113" i="1"/>
  <c r="V113" i="1" s="1" a="1"/>
  <c r="V113" i="1" s="1"/>
  <c r="AB172" i="1" a="1"/>
  <c r="AB172" i="1" s="1"/>
  <c r="AD172" i="1" s="1"/>
  <c r="AC172" i="1"/>
  <c r="V172" i="1" s="1" a="1"/>
  <c r="V172" i="1" s="1"/>
  <c r="AB2" i="1" a="1"/>
  <c r="AB2" i="1" s="1"/>
  <c r="AD2" i="1" s="1"/>
  <c r="AB106" i="1" a="1"/>
  <c r="AB106" i="1" s="1"/>
  <c r="AD106" i="1" s="1"/>
  <c r="AC106" i="1"/>
  <c r="V106" i="1" s="1" a="1"/>
  <c r="V106" i="1" s="1"/>
  <c r="AB107" i="1" a="1"/>
  <c r="AB107" i="1" s="1"/>
  <c r="AD107" i="1" s="1"/>
  <c r="AC107" i="1"/>
  <c r="V107" i="1" s="1" a="1"/>
  <c r="V107" i="1" s="1"/>
  <c r="AB10" i="1" a="1"/>
  <c r="AB10" i="1" s="1"/>
  <c r="AD10" i="1" s="1"/>
  <c r="V10" i="1" a="1"/>
  <c r="V10" i="1" s="1"/>
  <c r="AB65" i="1" a="1"/>
  <c r="AB65" i="1" s="1"/>
  <c r="AD65" i="1" s="1"/>
  <c r="AC65" i="1"/>
  <c r="V65" i="1" s="1" a="1"/>
  <c r="V65" i="1" s="1"/>
  <c r="AB87" i="1" a="1"/>
  <c r="AB87" i="1" s="1"/>
  <c r="AD87" i="1" s="1"/>
  <c r="AC87" i="1"/>
  <c r="V87" i="1" s="1" a="1"/>
  <c r="V87" i="1" s="1"/>
  <c r="AB173" i="1" a="1"/>
  <c r="AB173" i="1" s="1"/>
  <c r="AD173" i="1" s="1"/>
  <c r="AC173" i="1"/>
  <c r="V173" i="1" s="1" a="1"/>
  <c r="V173" i="1" s="1"/>
  <c r="AB88" i="1" a="1"/>
  <c r="AB88" i="1" s="1"/>
  <c r="AD88" i="1" s="1"/>
  <c r="AC88" i="1"/>
  <c r="V88" i="1" s="1" a="1"/>
  <c r="V88" i="1" s="1"/>
  <c r="AB114" i="1" a="1"/>
  <c r="AB114" i="1" s="1"/>
  <c r="AD114" i="1" s="1"/>
  <c r="AC114" i="1"/>
  <c r="V114" i="1" s="1" a="1"/>
  <c r="V114" i="1" s="1"/>
  <c r="AB124" i="1" a="1"/>
  <c r="AB124" i="1" s="1"/>
  <c r="AD124" i="1" s="1"/>
  <c r="AC124" i="1"/>
  <c r="V124" i="1" s="1" a="1"/>
  <c r="V124" i="1" s="1"/>
  <c r="AB142" i="1" a="1"/>
  <c r="AB142" i="1" s="1"/>
  <c r="AD142" i="1" s="1"/>
  <c r="AC142" i="1"/>
  <c r="V142" i="1" s="1" a="1"/>
  <c r="V142" i="1" s="1"/>
  <c r="AB115" i="1" a="1"/>
  <c r="AB115" i="1" s="1"/>
  <c r="AD115" i="1" s="1"/>
  <c r="AC115" i="1"/>
  <c r="V115" i="1" s="1" a="1"/>
  <c r="V115" i="1" s="1"/>
  <c r="AB3" i="1" a="1"/>
  <c r="AB3" i="1" s="1"/>
  <c r="AD3" i="1" s="1"/>
  <c r="V3" i="1" a="1"/>
  <c r="V3" i="1" s="1"/>
  <c r="AB174" i="1" a="1"/>
  <c r="AB174" i="1" s="1"/>
  <c r="AD174" i="1" s="1"/>
  <c r="AC174" i="1"/>
  <c r="V174" i="1" s="1" a="1"/>
  <c r="V174" i="1" s="1"/>
  <c r="AB11" i="1" a="1"/>
  <c r="AB11" i="1" s="1"/>
  <c r="AD11" i="1" s="1"/>
  <c r="V11" i="1" a="1"/>
  <c r="V11" i="1" s="1"/>
  <c r="AB56" i="1" a="1"/>
  <c r="AB56" i="1" s="1"/>
  <c r="AD56" i="1" s="1"/>
  <c r="V56" i="1" a="1"/>
  <c r="V56" i="1" s="1"/>
  <c r="AB125" i="1" a="1"/>
  <c r="AB125" i="1" s="1"/>
  <c r="AD125" i="1" s="1"/>
  <c r="AC125" i="1"/>
  <c r="V125" i="1" s="1" a="1"/>
  <c r="V125" i="1" s="1"/>
  <c r="AB5" i="1" a="1"/>
  <c r="AB5" i="1" s="1"/>
  <c r="AD5" i="1" s="1"/>
  <c r="V5" i="1" a="1"/>
  <c r="V5" i="1" s="1"/>
  <c r="AB143" i="1" a="1"/>
  <c r="AB143" i="1" s="1"/>
  <c r="AD143" i="1" s="1"/>
  <c r="AC143" i="1"/>
  <c r="V143" i="1" s="1" a="1"/>
  <c r="V143" i="1" s="1"/>
  <c r="AB89" i="1" a="1"/>
  <c r="AB89" i="1" s="1"/>
  <c r="AD89" i="1" s="1"/>
  <c r="AC89" i="1"/>
  <c r="V89" i="1" s="1" a="1"/>
  <c r="V89" i="1" s="1"/>
  <c r="V186" i="1" a="1"/>
  <c r="V186" i="1" s="1"/>
  <c r="AB186" i="1" a="1"/>
  <c r="AB186" i="1" s="1"/>
  <c r="AD186" i="1" s="1"/>
  <c r="AC186" i="1"/>
  <c r="AB121" i="1" a="1"/>
  <c r="AB121" i="1" s="1"/>
  <c r="AD121" i="1" s="1"/>
  <c r="AC121" i="1"/>
  <c r="V121" i="1" s="1" a="1"/>
  <c r="V121" i="1" s="1"/>
  <c r="AB175" i="1" a="1"/>
  <c r="AB175" i="1" s="1"/>
  <c r="AD175" i="1" s="1"/>
  <c r="AC175" i="1"/>
  <c r="V175" i="1" s="1" a="1"/>
  <c r="V175" i="1" s="1"/>
  <c r="AB176" i="1" a="1"/>
  <c r="AB176" i="1" s="1"/>
  <c r="AD176" i="1" s="1"/>
  <c r="AC176" i="1"/>
  <c r="V176" i="1" s="1" a="1"/>
  <c r="V176" i="1" s="1"/>
  <c r="AB6" i="1" a="1"/>
  <c r="AB6" i="1" s="1"/>
  <c r="AD6" i="1" s="1"/>
  <c r="V6" i="1" a="1"/>
  <c r="V6" i="1" s="1"/>
  <c r="AB177" i="1" a="1"/>
  <c r="AB177" i="1" s="1"/>
  <c r="AD177" i="1" s="1"/>
  <c r="AC177" i="1"/>
  <c r="V177" i="1" s="1" a="1"/>
  <c r="V177" i="1" s="1"/>
  <c r="AB116" i="1" a="1"/>
  <c r="AB116" i="1" s="1"/>
  <c r="AD116" i="1" s="1"/>
  <c r="AC116" i="1"/>
  <c r="V116" i="1" s="1" a="1"/>
  <c r="V116" i="1" s="1"/>
  <c r="AB158" i="1" a="1"/>
  <c r="AB158" i="1" s="1"/>
  <c r="AD158" i="1" s="1"/>
  <c r="AC158" i="1"/>
  <c r="V158" i="1" s="1" a="1"/>
  <c r="V158" i="1" s="1"/>
  <c r="AB144" i="1" a="1"/>
  <c r="AB144" i="1" s="1"/>
  <c r="AD144" i="1" s="1"/>
  <c r="AC144" i="1"/>
  <c r="V144" i="1" s="1" a="1"/>
  <c r="V144" i="1" s="1"/>
  <c r="AB90" i="1" a="1"/>
  <c r="AB90" i="1" s="1"/>
  <c r="AD90" i="1" s="1"/>
  <c r="AC90" i="1"/>
  <c r="V90" i="1" s="1" a="1"/>
  <c r="V90" i="1" s="1"/>
  <c r="AB44" i="1" a="1"/>
  <c r="AB44" i="1" s="1"/>
  <c r="AD44" i="1" s="1"/>
  <c r="V44" i="1" a="1"/>
  <c r="V44" i="1" s="1"/>
  <c r="AB91" i="1" a="1"/>
  <c r="AB91" i="1" s="1"/>
  <c r="AD91" i="1" s="1"/>
  <c r="AC91" i="1"/>
  <c r="V91" i="1" s="1" a="1"/>
  <c r="V91" i="1" s="1"/>
  <c r="AB101" i="1" a="1"/>
  <c r="AB101" i="1" s="1"/>
  <c r="AD101" i="1" s="1"/>
  <c r="AC101" i="1"/>
  <c r="V101" i="1" s="1" a="1"/>
  <c r="V101" i="1" s="1"/>
  <c r="AB150" i="1" a="1"/>
  <c r="AB150" i="1" s="1"/>
  <c r="AD150" i="1" s="1"/>
  <c r="AC150" i="1"/>
  <c r="V150" i="1" s="1" a="1"/>
  <c r="V150" i="1" s="1"/>
  <c r="V159" i="1" a="1"/>
  <c r="V159" i="1" s="1"/>
  <c r="AB159" i="1" a="1"/>
  <c r="AB159" i="1" s="1"/>
  <c r="AD159" i="1" s="1"/>
  <c r="AC159" i="1"/>
  <c r="AB38" i="1" a="1"/>
  <c r="AB38" i="1" s="1"/>
  <c r="AD38" i="1" s="1"/>
  <c r="V38" i="1" a="1"/>
  <c r="V38" i="1" s="1"/>
  <c r="AB66" i="1" a="1"/>
  <c r="AB66" i="1" s="1"/>
  <c r="AD66" i="1" s="1"/>
  <c r="AC66" i="1"/>
  <c r="V66" i="1" s="1" a="1"/>
  <c r="V66" i="1" s="1"/>
  <c r="AB178" i="1" a="1"/>
  <c r="AB178" i="1" s="1"/>
  <c r="AD178" i="1" s="1"/>
  <c r="AC178" i="1"/>
  <c r="V178" i="1" s="1" a="1"/>
  <c r="V178" i="1" s="1"/>
  <c r="V151" i="1" a="1"/>
  <c r="V151" i="1" s="1"/>
  <c r="AB151" i="1" a="1"/>
  <c r="AB151" i="1" s="1"/>
  <c r="AD151" i="1" s="1"/>
  <c r="AC151" i="1"/>
  <c r="AB19" i="1" a="1"/>
  <c r="AB19" i="1" s="1"/>
  <c r="AD19" i="1" s="1"/>
  <c r="AC19" i="1"/>
  <c r="V19" i="1" s="1" a="1"/>
  <c r="V19" i="1" s="1"/>
  <c r="AB152" i="1" a="1"/>
  <c r="AB152" i="1" s="1"/>
  <c r="AD152" i="1" s="1"/>
  <c r="AC152" i="1"/>
  <c r="V152" i="1" s="1" a="1"/>
  <c r="V152" i="1" s="1"/>
  <c r="AB45" i="1" a="1"/>
  <c r="AB45" i="1" s="1"/>
  <c r="AD45" i="1" s="1"/>
  <c r="V45" i="1" a="1"/>
  <c r="V45" i="1" s="1"/>
  <c r="AB4" i="1" a="1"/>
  <c r="AB4" i="1" s="1"/>
  <c r="AD4" i="1" s="1"/>
  <c r="V4" i="1" a="1"/>
  <c r="V4" i="1" s="1"/>
  <c r="AB126" i="1" a="1"/>
  <c r="AB126" i="1" s="1"/>
  <c r="AD126" i="1" s="1"/>
  <c r="AC126" i="1"/>
  <c r="V126" i="1" s="1" a="1"/>
  <c r="V126" i="1" s="1"/>
  <c r="AB57" i="1" a="1"/>
  <c r="AB57" i="1" s="1"/>
  <c r="AD57" i="1" s="1"/>
  <c r="V57" i="1" a="1"/>
  <c r="V57" i="1" s="1"/>
  <c r="AB127" i="1" a="1"/>
  <c r="AB127" i="1" s="1"/>
  <c r="AD127" i="1" s="1"/>
  <c r="AC127" i="1"/>
  <c r="V127" i="1" s="1" a="1"/>
  <c r="V127" i="1" s="1"/>
  <c r="AB49" i="1" a="1"/>
  <c r="AB49" i="1" s="1"/>
  <c r="AD49" i="1" s="1"/>
  <c r="V49" i="1" a="1"/>
  <c r="V49" i="1" s="1"/>
  <c r="AB32" i="1" a="1"/>
  <c r="AB32" i="1" s="1"/>
  <c r="AD32" i="1" s="1"/>
  <c r="AC32" i="1"/>
  <c r="V32" i="1" s="1" a="1"/>
  <c r="V32" i="1" s="1"/>
  <c r="AB33" i="1" a="1"/>
  <c r="AB33" i="1" s="1"/>
  <c r="AD33" i="1" s="1"/>
  <c r="AC33" i="1"/>
  <c r="V33" i="1" s="1" a="1"/>
  <c r="V33" i="1" s="1"/>
  <c r="AB53" i="1" a="1"/>
  <c r="AB53" i="1" s="1"/>
  <c r="AD53" i="1" s="1"/>
  <c r="V53" i="1" a="1"/>
  <c r="V53" i="1" s="1"/>
  <c r="AB92" i="1" a="1"/>
  <c r="AB92" i="1" s="1"/>
  <c r="AD92" i="1" s="1"/>
  <c r="AC92" i="1"/>
  <c r="V92" i="1" s="1" a="1"/>
  <c r="V92" i="1" s="1"/>
  <c r="AB108" i="1" a="1"/>
  <c r="AB108" i="1" s="1"/>
  <c r="AD108" i="1" s="1"/>
  <c r="AC108" i="1"/>
  <c r="V108" i="1" s="1" a="1"/>
  <c r="V108" i="1" s="1"/>
  <c r="AB160" i="1" a="1"/>
  <c r="AB160" i="1" s="1"/>
  <c r="AD160" i="1" s="1"/>
  <c r="AC160" i="1"/>
  <c r="V160" i="1" s="1" a="1"/>
  <c r="V160" i="1" s="1"/>
  <c r="AB161" i="1" a="1"/>
  <c r="AB161" i="1" s="1"/>
  <c r="AD161" i="1" s="1"/>
  <c r="AC161" i="1"/>
  <c r="V161" i="1" s="1" a="1"/>
  <c r="V161" i="1" s="1"/>
  <c r="AB145" i="1" a="1"/>
  <c r="AB145" i="1" s="1"/>
  <c r="AD145" i="1" s="1"/>
  <c r="AC145" i="1"/>
  <c r="V145" i="1" s="1" a="1"/>
  <c r="V145" i="1" s="1"/>
  <c r="AB69" i="1" a="1"/>
  <c r="AB69" i="1" s="1"/>
  <c r="AD69" i="1" s="1"/>
  <c r="AC69" i="1"/>
  <c r="V69" i="1" s="1" a="1"/>
  <c r="V69" i="1" s="1"/>
  <c r="AB75" i="1" a="1"/>
  <c r="AB75" i="1" s="1"/>
  <c r="AD75" i="1" s="1"/>
  <c r="AC75" i="1"/>
  <c r="V75" i="1" s="1" a="1"/>
  <c r="V75" i="1" s="1"/>
  <c r="AB93" i="1" a="1"/>
  <c r="AB93" i="1" s="1"/>
  <c r="AD93" i="1" s="1"/>
  <c r="AC93" i="1"/>
  <c r="V93" i="1" s="1" a="1"/>
  <c r="V93" i="1" s="1"/>
  <c r="AB140" i="1" a="1"/>
  <c r="AB140" i="1"/>
  <c r="AD140" i="1" s="1"/>
  <c r="AC140" i="1"/>
  <c r="V140" i="1" s="1" a="1"/>
  <c r="V140" i="1" s="1"/>
  <c r="AB58" i="1" a="1"/>
  <c r="AB58" i="1" s="1"/>
  <c r="AD58" i="1" s="1"/>
  <c r="V58" i="1" a="1"/>
  <c r="V58" i="1" s="1"/>
  <c r="AB20" i="1" a="1"/>
  <c r="AB20" i="1" s="1"/>
  <c r="AD20" i="1" s="1"/>
  <c r="AC20" i="1"/>
  <c r="V20" i="1" s="1" a="1"/>
  <c r="V20" i="1" s="1"/>
  <c r="AB146" i="1" a="1"/>
  <c r="AB146" i="1" s="1"/>
  <c r="AD146" i="1" s="1"/>
  <c r="AC146" i="1"/>
  <c r="V146" i="1" s="1" a="1"/>
  <c r="V146" i="1" s="1"/>
  <c r="AB179" i="1" a="1"/>
  <c r="AB179" i="1" s="1"/>
  <c r="AD179" i="1" s="1"/>
  <c r="AC179" i="1"/>
  <c r="V179" i="1" s="1" a="1"/>
  <c r="V179" i="1" s="1"/>
  <c r="AB102" i="1" a="1"/>
  <c r="AB102" i="1" s="1"/>
  <c r="AD102" i="1" s="1"/>
  <c r="AC102" i="1"/>
  <c r="V102" i="1" s="1" a="1"/>
  <c r="V102" i="1" s="1"/>
  <c r="V180" i="1" a="1"/>
  <c r="V180" i="1" s="1"/>
  <c r="AB180" i="1" a="1"/>
  <c r="AB180" i="1" s="1"/>
  <c r="AD180" i="1" s="1"/>
  <c r="AC180" i="1"/>
  <c r="AB25" i="1" a="1"/>
  <c r="AB25" i="1" s="1"/>
  <c r="AD25" i="1" s="1"/>
  <c r="V25" i="1" a="1"/>
  <c r="V25" i="1" s="1"/>
  <c r="AB59" i="1" a="1"/>
  <c r="AB59" i="1" s="1"/>
  <c r="AD59" i="1" s="1"/>
  <c r="V59" i="1" a="1"/>
  <c r="V59" i="1" s="1"/>
  <c r="AB46" i="1" a="1"/>
  <c r="AB46" i="1" s="1"/>
  <c r="AD46" i="1" s="1"/>
  <c r="V46" i="1" a="1"/>
  <c r="V46" i="1" s="1"/>
  <c r="V109" i="1" a="1"/>
  <c r="V109" i="1" s="1"/>
  <c r="AB109" i="1" a="1"/>
  <c r="AB109" i="1" s="1"/>
  <c r="AD109" i="1" s="1"/>
  <c r="AC109" i="1"/>
  <c r="AB34" i="1" a="1"/>
  <c r="AB34" i="1" s="1"/>
  <c r="AD34" i="1" s="1"/>
  <c r="V34" i="1" a="1"/>
  <c r="V34" i="1" s="1"/>
  <c r="AB47" i="1" a="1"/>
  <c r="AB47" i="1" s="1"/>
  <c r="AD47" i="1" s="1"/>
  <c r="V47" i="1" a="1"/>
  <c r="V47" i="1" s="1"/>
  <c r="AB94" i="1" a="1"/>
  <c r="AB94" i="1" s="1"/>
  <c r="AD94" i="1" s="1"/>
  <c r="AC94" i="1"/>
  <c r="V94" i="1" s="1" a="1"/>
  <c r="V94" i="1" s="1"/>
  <c r="AB8" i="1" a="1"/>
  <c r="AB8" i="1" s="1"/>
  <c r="AD8" i="1" s="1"/>
  <c r="V8" i="1" a="1"/>
  <c r="V8" i="1" s="1"/>
  <c r="AB162" i="1" a="1"/>
  <c r="AB162" i="1" s="1"/>
  <c r="AD162" i="1" s="1"/>
  <c r="AC162" i="1"/>
  <c r="V162" i="1" s="1" a="1"/>
  <c r="V162" i="1" s="1"/>
  <c r="AB110" i="1" a="1"/>
  <c r="AB110" i="1" s="1"/>
  <c r="AD110" i="1" s="1"/>
  <c r="AC110" i="1"/>
  <c r="V110" i="1" s="1" a="1"/>
  <c r="V110" i="1" s="1"/>
  <c r="AB28" i="1" a="1"/>
  <c r="AB28" i="1" s="1"/>
  <c r="AD28" i="1" s="1"/>
  <c r="V28" i="1" a="1"/>
  <c r="V28" i="1" s="1"/>
  <c r="AB76" i="1" a="1"/>
  <c r="AB76" i="1" s="1"/>
  <c r="AD76" i="1" s="1"/>
  <c r="AC76" i="1"/>
  <c r="V76" i="1" s="1" a="1"/>
  <c r="V76" i="1" s="1"/>
  <c r="AB103" i="1" a="1"/>
  <c r="AB103" i="1" s="1"/>
  <c r="AD103" i="1" s="1"/>
  <c r="AC103" i="1"/>
  <c r="V103" i="1" s="1" a="1"/>
  <c r="V103" i="1" s="1"/>
  <c r="AB147" i="1" a="1"/>
  <c r="AB147" i="1" s="1"/>
  <c r="AD147" i="1" s="1"/>
  <c r="AC147" i="1"/>
  <c r="V147" i="1" s="1" a="1"/>
  <c r="V147" i="1" s="1"/>
  <c r="AB83" i="1" a="1"/>
  <c r="AB83" i="1" s="1"/>
  <c r="AD83" i="1" s="1"/>
  <c r="AC83" i="1"/>
  <c r="V83" i="1" s="1" a="1"/>
  <c r="V83" i="1" s="1"/>
  <c r="AB136" i="1" a="1"/>
  <c r="AB136" i="1" s="1"/>
  <c r="AD136" i="1" s="1"/>
  <c r="AC136" i="1"/>
  <c r="V136" i="1" s="1" a="1"/>
  <c r="V136" i="1" s="1"/>
  <c r="AB29" i="1" a="1"/>
  <c r="AB29" i="1" s="1"/>
  <c r="AD29" i="1" s="1"/>
  <c r="V29" i="1" a="1"/>
  <c r="V29" i="1" s="1"/>
  <c r="AB77" i="1" a="1"/>
  <c r="AB77" i="1" s="1"/>
  <c r="AD77" i="1" s="1"/>
  <c r="AC77" i="1"/>
  <c r="V77" i="1" s="1" a="1"/>
  <c r="V77" i="1" s="1"/>
  <c r="AB78" i="1" a="1"/>
  <c r="AB78" i="1"/>
  <c r="AD78" i="1" s="1"/>
  <c r="AC78" i="1"/>
  <c r="V78" i="1" s="1" a="1"/>
  <c r="V78" i="1" s="1"/>
  <c r="AB60" i="1" a="1"/>
  <c r="AB60" i="1" s="1"/>
  <c r="AD60" i="1" s="1"/>
  <c r="V60" i="1" a="1"/>
  <c r="V60" i="1" s="1"/>
  <c r="AB21" i="1" a="1"/>
  <c r="AB21" i="1" s="1"/>
  <c r="AD21" i="1" s="1"/>
  <c r="AC21" i="1"/>
  <c r="V21" i="1" s="1" a="1"/>
  <c r="V21" i="1" s="1"/>
  <c r="AB95" i="1" a="1"/>
  <c r="AB95" i="1" s="1"/>
  <c r="AD95" i="1" s="1"/>
  <c r="AC95" i="1"/>
  <c r="V95" i="1" s="1" a="1"/>
  <c r="V95" i="1" s="1"/>
  <c r="AB153" i="1" a="1"/>
  <c r="AB153" i="1" s="1"/>
  <c r="AD153" i="1" s="1"/>
  <c r="AC153" i="1"/>
  <c r="V153" i="1" s="1" a="1"/>
  <c r="V153" i="1" s="1"/>
  <c r="AB61" i="1" a="1"/>
  <c r="AB61" i="1" s="1"/>
  <c r="AD61" i="1" s="1"/>
  <c r="AC61" i="1"/>
  <c r="V61" i="1" s="1" a="1"/>
  <c r="V61" i="1" s="1"/>
  <c r="AB163" i="1" a="1"/>
  <c r="AB163" i="1" s="1"/>
  <c r="AD163" i="1" s="1"/>
  <c r="AC163" i="1"/>
  <c r="V163" i="1" s="1" a="1"/>
  <c r="V163" i="1" s="1"/>
  <c r="AB137" i="1" a="1"/>
  <c r="AB137" i="1" s="1"/>
  <c r="AD137" i="1" s="1"/>
  <c r="AC137" i="1"/>
  <c r="V137" i="1" s="1" a="1"/>
  <c r="V137" i="1" s="1"/>
  <c r="AB104" i="1" a="1"/>
  <c r="AB104" i="1" s="1"/>
  <c r="AD104" i="1" s="1"/>
  <c r="AC104" i="1"/>
  <c r="V104" i="1" s="1" a="1"/>
  <c r="V104" i="1" s="1"/>
  <c r="AB67" i="1" a="1"/>
  <c r="AB67" i="1" s="1"/>
  <c r="AD67" i="1" s="1"/>
  <c r="AC67" i="1"/>
  <c r="V67" i="1" s="1" a="1"/>
  <c r="V67" i="1" s="1"/>
  <c r="AB128" i="1" a="1"/>
  <c r="AB128" i="1" s="1"/>
  <c r="AD128" i="1" s="1"/>
  <c r="AC128" i="1"/>
  <c r="V128" i="1" s="1" a="1"/>
  <c r="V128" i="1" s="1"/>
  <c r="AB129" i="1" a="1"/>
  <c r="AB129" i="1" s="1"/>
  <c r="AD129" i="1" s="1"/>
  <c r="AC129" i="1"/>
  <c r="V129" i="1" s="1" a="1"/>
  <c r="V129" i="1" s="1"/>
  <c r="AB138" i="1" a="1"/>
  <c r="AB138" i="1" s="1"/>
  <c r="AD138" i="1" s="1"/>
  <c r="AC138" i="1"/>
  <c r="V138" i="1" s="1" a="1"/>
  <c r="V138" i="1" s="1"/>
  <c r="AB39" i="1" a="1"/>
  <c r="AB39" i="1" s="1"/>
  <c r="AD39" i="1" s="1"/>
  <c r="V39" i="1" a="1"/>
  <c r="V39" i="1" s="1"/>
  <c r="AB181" i="1" a="1"/>
  <c r="AB181" i="1" s="1"/>
  <c r="AD181" i="1" s="1"/>
  <c r="AC181" i="1"/>
  <c r="V181" i="1" s="1" a="1"/>
  <c r="V181" i="1" s="1"/>
  <c r="AB35" i="1" a="1"/>
  <c r="AB35" i="1" s="1"/>
  <c r="AD35" i="1" s="1"/>
  <c r="V35" i="1" a="1"/>
  <c r="V35" i="1" s="1"/>
  <c r="AB36" i="1" a="1"/>
  <c r="AB36" i="1" s="1"/>
  <c r="AD36" i="1" s="1"/>
  <c r="V36" i="1" a="1"/>
  <c r="V36" i="1" s="1"/>
  <c r="AB16" i="1" a="1"/>
  <c r="AB16" i="1" s="1"/>
  <c r="AD16" i="1" s="1"/>
  <c r="AC16" i="1"/>
  <c r="V16" i="1" s="1" a="1"/>
  <c r="V16" i="1" s="1"/>
  <c r="V154" i="1"/>
  <c r="AB154" i="1" a="1"/>
  <c r="AB154" i="1" s="1"/>
  <c r="AD154" i="1" s="1"/>
  <c r="AC154" i="1"/>
  <c r="V154" i="1" s="1" a="1"/>
  <c r="AB182" i="1" a="1"/>
  <c r="AB182" i="1" s="1"/>
  <c r="AD182" i="1" s="1"/>
  <c r="AC182" i="1"/>
  <c r="V182" i="1" s="1" a="1"/>
  <c r="V182" i="1" s="1"/>
  <c r="AB62" i="1" a="1"/>
  <c r="AB62" i="1" s="1"/>
  <c r="AD62" i="1" s="1"/>
  <c r="AC62" i="1"/>
  <c r="V62" i="1" s="1" a="1"/>
  <c r="V62" i="1" s="1"/>
  <c r="AB155" i="1" a="1"/>
  <c r="AB155" i="1" s="1"/>
  <c r="AD155" i="1" s="1"/>
  <c r="AC155" i="1"/>
  <c r="V155" i="1" s="1" a="1"/>
  <c r="V155" i="1" s="1"/>
  <c r="AB79" i="1" a="1"/>
  <c r="AB79" i="1" s="1"/>
  <c r="AD79" i="1" s="1"/>
  <c r="AC79" i="1"/>
  <c r="V79" i="1" s="1" a="1"/>
  <c r="V79" i="1" s="1"/>
  <c r="AB12" i="1" a="1"/>
  <c r="AB12" i="1" s="1"/>
  <c r="AD12" i="1" s="1"/>
  <c r="V12" i="1" a="1"/>
  <c r="V12" i="1" s="1"/>
  <c r="AB84" i="1" a="1"/>
  <c r="AB84" i="1" s="1"/>
  <c r="AD84" i="1" s="1"/>
  <c r="AC84" i="1"/>
  <c r="V84" i="1" s="1" a="1"/>
  <c r="V84" i="1" s="1"/>
  <c r="AB164" i="1" a="1"/>
  <c r="AB164" i="1" s="1"/>
  <c r="AD164" i="1" s="1"/>
  <c r="AC164" i="1"/>
  <c r="V164" i="1" s="1" a="1"/>
  <c r="V164" i="1" s="1"/>
  <c r="AB165" i="1" a="1"/>
  <c r="AB165" i="1" s="1"/>
  <c r="AD165" i="1" s="1"/>
  <c r="AC165" i="1"/>
  <c r="V165" i="1" s="1" a="1"/>
  <c r="V165" i="1" s="1"/>
  <c r="AB54" i="1" a="1"/>
  <c r="AB54" i="1" s="1"/>
  <c r="AD54" i="1" s="1"/>
  <c r="V54" i="1" a="1"/>
  <c r="V54" i="1" s="1"/>
  <c r="V105" i="1" a="1"/>
  <c r="V105" i="1" s="1"/>
  <c r="AB105" i="1" a="1"/>
  <c r="AB105" i="1" s="1"/>
  <c r="AD105" i="1" s="1"/>
  <c r="AC105" i="1"/>
  <c r="AB40" i="1" a="1"/>
  <c r="AB40" i="1" s="1"/>
  <c r="AD40" i="1" s="1"/>
  <c r="V40" i="1" a="1"/>
  <c r="V40" i="1" s="1"/>
  <c r="AB26" i="1" a="1"/>
  <c r="AB26" i="1" s="1"/>
  <c r="AD26" i="1" s="1"/>
  <c r="V26" i="1" a="1"/>
  <c r="V26" i="1" s="1"/>
  <c r="AB50" i="1" a="1"/>
  <c r="AB50" i="1" s="1"/>
  <c r="AD50" i="1" s="1"/>
  <c r="V50" i="1" a="1"/>
  <c r="V50" i="1" s="1"/>
  <c r="AB68" i="1" a="1"/>
  <c r="AB68" i="1" s="1"/>
  <c r="AD68" i="1" s="1"/>
  <c r="AC68" i="1"/>
  <c r="V68" i="1" s="1" a="1"/>
  <c r="V68" i="1" s="1"/>
  <c r="AB166" i="1" a="1"/>
  <c r="AB166" i="1" s="1"/>
  <c r="AD166" i="1" s="1"/>
  <c r="AC166" i="1"/>
  <c r="V166" i="1" s="1" a="1"/>
  <c r="V166" i="1" s="1"/>
  <c r="AB70" i="1" a="1"/>
  <c r="AB70" i="1" s="1"/>
  <c r="AD70" i="1" s="1"/>
  <c r="AC70" i="1"/>
  <c r="V70" i="1" s="1" a="1"/>
  <c r="V70" i="1" s="1"/>
  <c r="AB41" i="1" a="1"/>
  <c r="AB41" i="1" s="1"/>
  <c r="AD41" i="1" s="1"/>
  <c r="V41" i="1" a="1"/>
  <c r="V41" i="1" s="1"/>
  <c r="AB9" i="1" a="1"/>
  <c r="AB9" i="1" s="1"/>
  <c r="AD9" i="1" s="1"/>
  <c r="V9" i="1" a="1"/>
  <c r="V9" i="1" s="1"/>
  <c r="AB148" i="1" a="1"/>
  <c r="AB148" i="1" s="1"/>
  <c r="AD148" i="1" s="1"/>
  <c r="AC148" i="1"/>
  <c r="V148" i="1" s="1" a="1"/>
  <c r="V148" i="1" s="1"/>
  <c r="AB17" i="1" a="1"/>
  <c r="AB17" i="1" s="1"/>
  <c r="AD17" i="1" s="1"/>
  <c r="AC17" i="1"/>
  <c r="V17" i="1" s="1" a="1"/>
  <c r="V17" i="1" s="1"/>
  <c r="AB111" i="1" a="1"/>
  <c r="AB111" i="1" s="1"/>
  <c r="AD111" i="1" s="1"/>
  <c r="AC111" i="1"/>
  <c r="V111" i="1" s="1" a="1"/>
  <c r="V111" i="1" s="1"/>
  <c r="AB112" i="1" a="1"/>
  <c r="AB112" i="1" s="1"/>
  <c r="AD112" i="1" s="1"/>
  <c r="AC112" i="1"/>
  <c r="V112" i="1" s="1" a="1"/>
  <c r="V112" i="1" s="1"/>
  <c r="AB130" i="1" a="1"/>
  <c r="AB130" i="1" s="1"/>
  <c r="AD130" i="1" s="1"/>
  <c r="AC130" i="1"/>
  <c r="V130" i="1" s="1" a="1"/>
  <c r="V130" i="1" s="1"/>
  <c r="AB183" i="1" a="1"/>
  <c r="AB183" i="1" s="1"/>
  <c r="AD183" i="1" s="1"/>
  <c r="AC183" i="1"/>
  <c r="V183" i="1" s="1" a="1"/>
  <c r="V183" i="1" s="1"/>
  <c r="AB139" i="1" a="1"/>
  <c r="AB139" i="1" s="1"/>
  <c r="AD139" i="1" s="1"/>
  <c r="AC139" i="1"/>
  <c r="V139" i="1" s="1" a="1"/>
  <c r="V139" i="1" s="1"/>
  <c r="AB71" i="1" a="1"/>
  <c r="AB71" i="1" s="1"/>
  <c r="AD71" i="1" s="1"/>
  <c r="AC71" i="1"/>
  <c r="V71" i="1" s="1" a="1"/>
  <c r="V71" i="1" s="1"/>
  <c r="AB72" i="1" a="1"/>
  <c r="AB72" i="1" s="1"/>
  <c r="AD72" i="1" s="1"/>
  <c r="AC72" i="1"/>
  <c r="V72" i="1" s="1" a="1"/>
  <c r="V72" i="1" s="1"/>
  <c r="AB80" i="1" a="1"/>
  <c r="AB80" i="1" s="1"/>
  <c r="AD80" i="1" s="1"/>
  <c r="AC80" i="1"/>
  <c r="V80" i="1" s="1" a="1"/>
  <c r="V80" i="1" s="1"/>
  <c r="AB42" i="1" a="1"/>
  <c r="AB42" i="1" s="1"/>
  <c r="AD42" i="1" s="1"/>
  <c r="V42" i="1" a="1"/>
  <c r="V42" i="1" s="1"/>
  <c r="AB156" i="1" a="1"/>
  <c r="AB156" i="1" s="1"/>
  <c r="AD156" i="1" s="1"/>
  <c r="AC156" i="1"/>
  <c r="V156" i="1" s="1" a="1"/>
  <c r="V156" i="1" s="1"/>
  <c r="AB96" i="1" a="1"/>
  <c r="AB96" i="1" s="1"/>
  <c r="AD96" i="1" s="1"/>
  <c r="AC96" i="1"/>
  <c r="V96" i="1" s="1" a="1"/>
  <c r="V96" i="1" s="1"/>
  <c r="AB97" i="1" a="1"/>
  <c r="AB97" i="1" s="1"/>
  <c r="AD97" i="1" s="1"/>
  <c r="AC97" i="1"/>
  <c r="V97" i="1" s="1" a="1"/>
  <c r="V97" i="1" s="1"/>
  <c r="AB98" i="1" a="1"/>
  <c r="AB98" i="1" s="1"/>
  <c r="AD98" i="1" s="1"/>
  <c r="AC98" i="1"/>
  <c r="V98" i="1" s="1" a="1"/>
  <c r="V98" i="1" s="1"/>
  <c r="AB22" i="1" a="1"/>
  <c r="AB22" i="1" s="1"/>
  <c r="AD22" i="1" s="1"/>
  <c r="V22" i="1" a="1"/>
  <c r="V22" i="1" s="1"/>
  <c r="V37" i="1" a="1"/>
  <c r="V37" i="1" s="1"/>
  <c r="AB37" i="1" a="1"/>
  <c r="AB37" i="1" s="1"/>
  <c r="AD37" i="1" s="1"/>
  <c r="AB167" i="1" a="1"/>
  <c r="AB167" i="1" s="1"/>
  <c r="AD167" i="1" s="1"/>
  <c r="AC167" i="1"/>
  <c r="V167" i="1" s="1" a="1"/>
  <c r="V167" i="1" s="1"/>
  <c r="AB81" i="1" a="1"/>
  <c r="AB81" i="1" s="1"/>
  <c r="AD81" i="1" s="1"/>
  <c r="AC81" i="1"/>
  <c r="V81" i="1" s="1" a="1"/>
  <c r="V81" i="1" s="1"/>
  <c r="AB117" i="1" a="1"/>
  <c r="AB117" i="1" s="1"/>
  <c r="AD117" i="1" s="1"/>
  <c r="AC117" i="1"/>
  <c r="V117" i="1" s="1" a="1"/>
  <c r="V117" i="1" s="1"/>
  <c r="AB118" i="1" a="1"/>
  <c r="AB118" i="1" s="1"/>
  <c r="AD118" i="1" s="1"/>
  <c r="AC118" i="1"/>
  <c r="V118" i="1" s="1" a="1"/>
  <c r="V118" i="1" s="1"/>
  <c r="AB82" i="1" a="1"/>
  <c r="AB82" i="1" s="1"/>
  <c r="AD82" i="1" s="1"/>
  <c r="AC82" i="1"/>
  <c r="V82" i="1" s="1" a="1"/>
  <c r="V82" i="1" s="1"/>
  <c r="AB119" i="1" a="1"/>
  <c r="AB119" i="1" s="1"/>
  <c r="AD119" i="1" s="1"/>
  <c r="AC119" i="1"/>
  <c r="V119" i="1" s="1" a="1"/>
  <c r="V119" i="1" s="1"/>
  <c r="AB122" i="1" a="1"/>
  <c r="AB122" i="1" s="1"/>
  <c r="AD122" i="1" s="1"/>
  <c r="AC122" i="1"/>
  <c r="V122" i="1" s="1" a="1"/>
  <c r="V122" i="1" s="1"/>
  <c r="AB51" i="1" a="1"/>
  <c r="AB51" i="1" s="1"/>
  <c r="AD51" i="1" s="1"/>
  <c r="V51" i="1" a="1"/>
  <c r="V51" i="1" s="1"/>
  <c r="AB120" i="1" a="1"/>
  <c r="AB120" i="1" s="1"/>
  <c r="AD120" i="1" s="1"/>
  <c r="AC120" i="1"/>
  <c r="V120" i="1" s="1" a="1"/>
  <c r="V120" i="1" s="1"/>
  <c r="AB85" i="1" a="1"/>
  <c r="AB85" i="1" s="1"/>
  <c r="AD85" i="1" s="1"/>
  <c r="V85" i="1" a="1"/>
  <c r="V85" i="1" s="1"/>
  <c r="AB43" i="1" a="1"/>
  <c r="AB43" i="1" s="1"/>
  <c r="AD43" i="1" s="1"/>
  <c r="V43" i="1" a="1"/>
  <c r="V43" i="1" s="1"/>
  <c r="AB141" i="1" a="1"/>
  <c r="AB141" i="1" s="1"/>
  <c r="AD141" i="1" s="1"/>
  <c r="AC141" i="1"/>
  <c r="V141" i="1" s="1" a="1"/>
  <c r="V141" i="1" s="1"/>
  <c r="AB157" i="1" a="1"/>
  <c r="AB157" i="1" s="1"/>
  <c r="AD157" i="1" s="1"/>
  <c r="AC157" i="1"/>
  <c r="V157" i="1" s="1" a="1"/>
  <c r="V157" i="1" s="1"/>
  <c r="AB169" i="1" a="1"/>
  <c r="AB169" i="1" s="1"/>
  <c r="AD169" i="1" s="1"/>
  <c r="AC169" i="1"/>
  <c r="V169" i="1" s="1" a="1"/>
  <c r="V169" i="1" s="1"/>
  <c r="AB74" i="1" a="1"/>
  <c r="AB74" i="1" s="1"/>
  <c r="AD74" i="1" s="1"/>
  <c r="AC74" i="1"/>
  <c r="V74" i="1" s="1" a="1"/>
  <c r="V74" i="1" s="1"/>
  <c r="AB52" i="1" a="1"/>
  <c r="AB52" i="1"/>
  <c r="AD52" i="1" s="1"/>
  <c r="V52" i="1" a="1"/>
  <c r="V52" i="1" s="1"/>
  <c r="AB170" i="1" a="1"/>
  <c r="AB170" i="1" s="1"/>
  <c r="AD170" i="1" s="1"/>
  <c r="AC170" i="1"/>
  <c r="V170" i="1" s="1" a="1"/>
  <c r="V170" i="1" s="1"/>
  <c r="AB133" i="1" a="1"/>
  <c r="AB133" i="1" s="1"/>
  <c r="AD133" i="1" s="1"/>
  <c r="AC133" i="1"/>
  <c r="V133" i="1" s="1" a="1"/>
  <c r="V133" i="1" s="1"/>
  <c r="AB23" i="1" a="1"/>
  <c r="AB23" i="1" s="1"/>
  <c r="AD23" i="1" s="1"/>
  <c r="V23" i="1" a="1"/>
  <c r="V23" i="1" s="1"/>
  <c r="AB48" i="1" a="1"/>
  <c r="AB48" i="1" s="1"/>
  <c r="AD48" i="1" s="1"/>
  <c r="V48" i="1" a="1"/>
  <c r="V48" i="1" s="1"/>
  <c r="AB134" i="1" a="1"/>
  <c r="AB134" i="1" s="1"/>
  <c r="AD134" i="1" s="1"/>
  <c r="AC134" i="1"/>
  <c r="V134" i="1" s="1" a="1"/>
  <c r="V134" i="1" s="1"/>
  <c r="AB135" i="1" a="1"/>
  <c r="AB135" i="1" s="1"/>
  <c r="AD135" i="1" s="1"/>
  <c r="AC135" i="1"/>
  <c r="V135" i="1" s="1" a="1"/>
  <c r="V135" i="1" s="1"/>
  <c r="AB13" i="1" a="1"/>
  <c r="AB13" i="1" s="1"/>
  <c r="AD13" i="1" s="1"/>
  <c r="V13" i="1" a="1"/>
  <c r="V13" i="1" s="1"/>
  <c r="AB14" i="1" a="1"/>
  <c r="AB14" i="1" s="1"/>
  <c r="AD14" i="1" s="1"/>
  <c r="V14" i="1" a="1"/>
  <c r="V14" i="1" s="1"/>
  <c r="AB30" i="1" a="1"/>
  <c r="AB30" i="1" s="1"/>
  <c r="AD30" i="1" s="1"/>
  <c r="V30" i="1" a="1"/>
  <c r="V30" i="1" s="1"/>
  <c r="AB123" i="1" a="1"/>
  <c r="AB123" i="1" s="1"/>
  <c r="AD123" i="1" s="1"/>
  <c r="AC123" i="1"/>
  <c r="V123" i="1" s="1" a="1"/>
  <c r="V123" i="1" s="1"/>
  <c r="AB86" i="1" a="1"/>
  <c r="AB86" i="1" s="1"/>
  <c r="AD86" i="1" s="1"/>
  <c r="AC86" i="1"/>
  <c r="V86" i="1" s="1" a="1"/>
  <c r="V86" i="1" s="1"/>
  <c r="V171" i="1" a="1"/>
  <c r="V171" i="1" s="1"/>
  <c r="AB171" i="1" a="1"/>
  <c r="AB171" i="1" s="1"/>
  <c r="AD171" i="1" s="1"/>
  <c r="AC171" i="1"/>
  <c r="AB18" i="1" a="1"/>
  <c r="AB18" i="1" s="1"/>
  <c r="AD18" i="1" s="1"/>
  <c r="AC18" i="1"/>
  <c r="V18" i="1" s="1" a="1"/>
  <c r="V18" i="1" s="1"/>
  <c r="AB184" i="1" a="1"/>
  <c r="AB184" i="1" s="1"/>
  <c r="AD184" i="1" s="1"/>
  <c r="AC184" i="1"/>
  <c r="V184" i="1" s="1" a="1"/>
  <c r="V184" i="1" s="1"/>
  <c r="AB168" i="1" l="1" a="1"/>
  <c r="AB168" i="1" s="1"/>
  <c r="AD168" i="1" s="1"/>
  <c r="AC168" i="1"/>
  <c r="V168" i="1" s="1" a="1"/>
  <c r="V168" i="1" s="1"/>
  <c r="AB63" i="1" a="1"/>
  <c r="AB63" i="1" s="1"/>
  <c r="AD63" i="1" s="1"/>
  <c r="AC63" i="1"/>
  <c r="V63" i="1" s="1" a="1"/>
  <c r="V63" i="1" s="1"/>
  <c r="AB64" i="1" a="1"/>
  <c r="AB64" i="1" s="1"/>
  <c r="AD64" i="1" s="1"/>
  <c r="AC64" i="1"/>
  <c r="V64" i="1" s="1" a="1"/>
  <c r="V64" i="1" s="1"/>
  <c r="AB73" i="1" a="1"/>
  <c r="AB73" i="1" s="1"/>
  <c r="AD73" i="1" s="1"/>
  <c r="AC73" i="1"/>
  <c r="V73" i="1" s="1" a="1"/>
  <c r="V73" i="1" s="1"/>
  <c r="AB131" i="1" a="1"/>
  <c r="AB131" i="1" s="1"/>
  <c r="AD131" i="1" s="1"/>
  <c r="AC131" i="1"/>
  <c r="V131" i="1" s="1" a="1"/>
  <c r="V131" i="1" s="1"/>
  <c r="AB7" i="1" a="1"/>
  <c r="AB7" i="1" s="1"/>
  <c r="AD7" i="1" s="1"/>
  <c r="V7" i="1" a="1"/>
  <c r="V7" i="1" s="1"/>
  <c r="AB99" i="1" a="1"/>
  <c r="AB99" i="1" s="1"/>
  <c r="AD99" i="1" s="1"/>
  <c r="AC99" i="1"/>
  <c r="V99" i="1" s="1" a="1"/>
  <c r="V99" i="1" s="1"/>
  <c r="AB100" i="1" a="1"/>
  <c r="AB100" i="1" s="1"/>
  <c r="AD100" i="1" s="1"/>
  <c r="AC100" i="1"/>
  <c r="V100" i="1" s="1" a="1"/>
  <c r="V100" i="1" s="1"/>
  <c r="AB132" i="1" a="1"/>
  <c r="AB132" i="1" s="1"/>
  <c r="AD132" i="1" s="1"/>
  <c r="AC132" i="1"/>
  <c r="V132" i="1" s="1" a="1"/>
  <c r="V132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<sst xmlns="http://schemas.openxmlformats.org/spreadsheetml/2006/main" count="5824" uniqueCount="1995">
  <si>
    <t>location</t>
  </si>
  <si>
    <t>date</t>
  </si>
  <si>
    <t>reserved_at</t>
  </si>
  <si>
    <t>appointment_type</t>
  </si>
  <si>
    <t>status</t>
  </si>
  <si>
    <t>first_name</t>
  </si>
  <si>
    <t>last_name</t>
  </si>
  <si>
    <t>address_line_1</t>
  </si>
  <si>
    <t>address_line_2</t>
  </si>
  <si>
    <t>address_line_3</t>
  </si>
  <si>
    <t>address_line_4</t>
  </si>
  <si>
    <t>address_line_5</t>
  </si>
  <si>
    <t>Postcode</t>
  </si>
  <si>
    <t>sex_at_birth</t>
  </si>
  <si>
    <t>dob</t>
  </si>
  <si>
    <t>Age</t>
  </si>
  <si>
    <t>reference</t>
  </si>
  <si>
    <t>phone</t>
  </si>
  <si>
    <t>product_code</t>
  </si>
  <si>
    <t>extra_product_options</t>
  </si>
  <si>
    <t>totals</t>
  </si>
  <si>
    <t>process_status</t>
  </si>
  <si>
    <t>tags</t>
  </si>
  <si>
    <t>FHM_Identifier</t>
  </si>
  <si>
    <t>patient_id_number_prefix</t>
  </si>
  <si>
    <t>single_use_invitation_code</t>
  </si>
  <si>
    <t>postcode_region</t>
  </si>
  <si>
    <t>Prefix</t>
  </si>
  <si>
    <t>screening</t>
  </si>
  <si>
    <t>Booked</t>
  </si>
  <si>
    <t>Advanced Plus</t>
  </si>
  <si>
    <t>UJ2</t>
  </si>
  <si>
    <t>UI1</t>
  </si>
  <si>
    <t>UI2</t>
  </si>
  <si>
    <t>ALV</t>
  </si>
  <si>
    <t>Advanced</t>
  </si>
  <si>
    <t>UH8</t>
  </si>
  <si>
    <t>THO</t>
  </si>
  <si>
    <t>UN9</t>
  </si>
  <si>
    <t>R99</t>
  </si>
  <si>
    <t>T33</t>
  </si>
  <si>
    <t>UG6</t>
  </si>
  <si>
    <t>LIH</t>
  </si>
  <si>
    <t>PSA</t>
  </si>
  <si>
    <t>U37</t>
  </si>
  <si>
    <t>TY2</t>
  </si>
  <si>
    <t>CHI</t>
  </si>
  <si>
    <t>M03</t>
  </si>
  <si>
    <t>T63</t>
  </si>
  <si>
    <t>UN3</t>
  </si>
  <si>
    <t>MM1</t>
  </si>
  <si>
    <t>MB9</t>
  </si>
  <si>
    <t>UL3</t>
  </si>
  <si>
    <t>SF1</t>
  </si>
  <si>
    <t>MV0</t>
  </si>
  <si>
    <t>UD3</t>
  </si>
  <si>
    <t>UI4</t>
  </si>
  <si>
    <t>ALX</t>
  </si>
  <si>
    <t>UD0</t>
  </si>
  <si>
    <t>UR2</t>
  </si>
  <si>
    <t>U22</t>
  </si>
  <si>
    <t>R98</t>
  </si>
  <si>
    <t>MK</t>
  </si>
  <si>
    <t>T84</t>
  </si>
  <si>
    <t>TD8</t>
  </si>
  <si>
    <t>ME6</t>
  </si>
  <si>
    <t>Stephen</t>
  </si>
  <si>
    <t>U79</t>
  </si>
  <si>
    <t>MV2</t>
  </si>
  <si>
    <t>M01</t>
  </si>
  <si>
    <t>T73</t>
  </si>
  <si>
    <t>UC8</t>
  </si>
  <si>
    <t>GAR</t>
  </si>
  <si>
    <t>MW4</t>
  </si>
  <si>
    <t>U67</t>
  </si>
  <si>
    <t>UN5</t>
  </si>
  <si>
    <t>SE2</t>
  </si>
  <si>
    <t>MJ4</t>
  </si>
  <si>
    <t>MT4</t>
  </si>
  <si>
    <t>BN</t>
  </si>
  <si>
    <t>MJ5</t>
  </si>
  <si>
    <t>MT7</t>
  </si>
  <si>
    <t>UR1</t>
  </si>
  <si>
    <t>U85</t>
  </si>
  <si>
    <t>TD0</t>
  </si>
  <si>
    <t>UQ1</t>
  </si>
  <si>
    <t>ML6</t>
  </si>
  <si>
    <t>TX5</t>
  </si>
  <si>
    <t>UH6</t>
  </si>
  <si>
    <t>TC6</t>
  </si>
  <si>
    <t>MQ9</t>
  </si>
  <si>
    <t>UA7</t>
  </si>
  <si>
    <t>ML7</t>
  </si>
  <si>
    <t>MX1</t>
  </si>
  <si>
    <t>MD7</t>
  </si>
  <si>
    <t>TX4</t>
  </si>
  <si>
    <t>MC6</t>
  </si>
  <si>
    <t>UF1</t>
  </si>
  <si>
    <t>NG</t>
  </si>
  <si>
    <t>UQ6</t>
  </si>
  <si>
    <t>UQ5</t>
  </si>
  <si>
    <t>TC0</t>
  </si>
  <si>
    <t>SE</t>
  </si>
  <si>
    <t>AC4</t>
  </si>
  <si>
    <t>MS4</t>
  </si>
  <si>
    <t>UN7</t>
  </si>
  <si>
    <t>UB5</t>
  </si>
  <si>
    <t>T81</t>
  </si>
  <si>
    <t>SE1</t>
  </si>
  <si>
    <t>MG0</t>
  </si>
  <si>
    <t>UQ8</t>
  </si>
  <si>
    <t>SD5</t>
  </si>
  <si>
    <t>M99</t>
  </si>
  <si>
    <t>MX8</t>
  </si>
  <si>
    <t>MB4</t>
  </si>
  <si>
    <t>MY3</t>
  </si>
  <si>
    <t>UI3</t>
  </si>
  <si>
    <t>U01</t>
  </si>
  <si>
    <t>T49</t>
  </si>
  <si>
    <t>TE5</t>
  </si>
  <si>
    <t>T80</t>
  </si>
  <si>
    <t>UJ7</t>
  </si>
  <si>
    <t>TW4</t>
  </si>
  <si>
    <t>T62</t>
  </si>
  <si>
    <t>MJ6</t>
  </si>
  <si>
    <t>MR5</t>
  </si>
  <si>
    <t>T61</t>
  </si>
  <si>
    <t>MH2</t>
  </si>
  <si>
    <t>T75</t>
  </si>
  <si>
    <t>U39</t>
  </si>
  <si>
    <t>U48</t>
  </si>
  <si>
    <t>MJ3</t>
  </si>
  <si>
    <t>UQ9</t>
  </si>
  <si>
    <t>MW3</t>
  </si>
  <si>
    <t>TX2</t>
  </si>
  <si>
    <t>T68</t>
  </si>
  <si>
    <t>MF1</t>
  </si>
  <si>
    <t>MF4</t>
  </si>
  <si>
    <t>AXA</t>
  </si>
  <si>
    <t>UG4</t>
  </si>
  <si>
    <t>U81</t>
  </si>
  <si>
    <t>MA1</t>
  </si>
  <si>
    <t>MN1</t>
  </si>
  <si>
    <t>UH7</t>
  </si>
  <si>
    <t>M80</t>
  </si>
  <si>
    <t>M82</t>
  </si>
  <si>
    <t>TD2</t>
  </si>
  <si>
    <t>U82</t>
  </si>
  <si>
    <t>TE4</t>
  </si>
  <si>
    <t>U10</t>
  </si>
  <si>
    <t>UJ8</t>
  </si>
  <si>
    <t>TU6</t>
  </si>
  <si>
    <t>U47</t>
  </si>
  <si>
    <t>UN6</t>
  </si>
  <si>
    <t>U84</t>
  </si>
  <si>
    <t>UE1</t>
  </si>
  <si>
    <t>UQ7</t>
  </si>
  <si>
    <t>T71</t>
  </si>
  <si>
    <t>U76</t>
  </si>
  <si>
    <t>T35</t>
  </si>
  <si>
    <t>UB4</t>
  </si>
  <si>
    <t>UJ6</t>
  </si>
  <si>
    <t>UD9</t>
  </si>
  <si>
    <t>UJ9</t>
  </si>
  <si>
    <t>MF0</t>
  </si>
  <si>
    <t>MP8</t>
  </si>
  <si>
    <t>S4J</t>
  </si>
  <si>
    <t>T42</t>
  </si>
  <si>
    <t>TU2</t>
  </si>
  <si>
    <t>R83</t>
  </si>
  <si>
    <t>UH0</t>
  </si>
  <si>
    <t>UN4</t>
  </si>
  <si>
    <t>MU9</t>
  </si>
  <si>
    <t>T20</t>
  </si>
  <si>
    <t>Select</t>
  </si>
  <si>
    <t>TY4</t>
  </si>
  <si>
    <t>U18</t>
  </si>
  <si>
    <t>UH9</t>
  </si>
  <si>
    <t>UL2</t>
  </si>
  <si>
    <t>MF5</t>
  </si>
  <si>
    <t>UJ4</t>
  </si>
  <si>
    <t>UH5</t>
  </si>
  <si>
    <t>TY7</t>
  </si>
  <si>
    <t>ME5</t>
  </si>
  <si>
    <t>MF9</t>
  </si>
  <si>
    <t>BA</t>
  </si>
  <si>
    <t>M64</t>
  </si>
  <si>
    <t>T13</t>
  </si>
  <si>
    <t>U16</t>
  </si>
  <si>
    <t>UL1</t>
  </si>
  <si>
    <t>UB7</t>
  </si>
  <si>
    <t>MU6</t>
  </si>
  <si>
    <t>M06</t>
  </si>
  <si>
    <t>M07</t>
  </si>
  <si>
    <t>M05</t>
  </si>
  <si>
    <t>MC3</t>
  </si>
  <si>
    <t>U33</t>
  </si>
  <si>
    <t>Essential</t>
  </si>
  <si>
    <t>U21</t>
  </si>
  <si>
    <t>GSK P4P</t>
  </si>
  <si>
    <t>MN4</t>
  </si>
  <si>
    <t>MH0</t>
  </si>
  <si>
    <t>UL0</t>
  </si>
  <si>
    <t>T83</t>
  </si>
  <si>
    <t>PA</t>
  </si>
  <si>
    <t>SE5</t>
  </si>
  <si>
    <t>SN</t>
  </si>
  <si>
    <t>AB</t>
  </si>
  <si>
    <t>B</t>
  </si>
  <si>
    <t>BS</t>
  </si>
  <si>
    <t>G</t>
  </si>
  <si>
    <t>GU</t>
  </si>
  <si>
    <t>CV</t>
  </si>
  <si>
    <t>SL</t>
  </si>
  <si>
    <t>Client Name</t>
  </si>
  <si>
    <t>Client Type</t>
  </si>
  <si>
    <t>Product Code</t>
  </si>
  <si>
    <t>Price</t>
  </si>
  <si>
    <t>Price Agreement Effective From,</t>
  </si>
  <si>
    <t xml:space="preserve">3D Leisure </t>
  </si>
  <si>
    <t>Self Pay</t>
  </si>
  <si>
    <t>Mammogram</t>
  </si>
  <si>
    <t xml:space="preserve">A.I.A.C.E. </t>
  </si>
  <si>
    <t xml:space="preserve">Airpark Service Ltd – Birmingham </t>
  </si>
  <si>
    <t>Corporate</t>
  </si>
  <si>
    <t xml:space="preserve">Airpark Services Ltd - Luton   </t>
  </si>
  <si>
    <t>AKWEL Chippenham UK Ltd</t>
  </si>
  <si>
    <t xml:space="preserve">All England Lawn Tennis &amp; Croquet Club </t>
  </si>
  <si>
    <t>Allianz Worldwide Care</t>
  </si>
  <si>
    <t xml:space="preserve">Authors Licensing &amp; Collecting Society </t>
  </si>
  <si>
    <t xml:space="preserve">Aviva </t>
  </si>
  <si>
    <t>Avon Protection plc</t>
  </si>
  <si>
    <t>AXA GSK</t>
  </si>
  <si>
    <t xml:space="preserve">Axa Policy Holders Promotion </t>
  </si>
  <si>
    <t>Baily Thomas Provident Fund</t>
  </si>
  <si>
    <t xml:space="preserve">Belron - Friends &amp; Family </t>
  </si>
  <si>
    <t xml:space="preserve">Belron International Ltd  </t>
  </si>
  <si>
    <t xml:space="preserve">Belron UK Limited  </t>
  </si>
  <si>
    <t>BHSF Group Limited</t>
  </si>
  <si>
    <t xml:space="preserve">BMI Friends and Family Discount </t>
  </si>
  <si>
    <t xml:space="preserve">Bosch Thermotechnology Ltd   </t>
  </si>
  <si>
    <t xml:space="preserve">BP Collins LLP  </t>
  </si>
  <si>
    <t>Brennan Building &amp; Civil Engineering Limited</t>
  </si>
  <si>
    <t xml:space="preserve">British Telecom  </t>
  </si>
  <si>
    <t>Brown &amp; Co Property &amp; Business Consultants LLP</t>
  </si>
  <si>
    <t xml:space="preserve">Canterbury City Council  </t>
  </si>
  <si>
    <t xml:space="preserve">Charterhouse </t>
  </si>
  <si>
    <t xml:space="preserve">Cigna International  </t>
  </si>
  <si>
    <t>CNOOC Petroleum Europe Limited</t>
  </si>
  <si>
    <t>Confederation of Passenger Transport UK</t>
  </si>
  <si>
    <t xml:space="preserve">Costco Wholesale UK Ltd </t>
  </si>
  <si>
    <t xml:space="preserve">Costco Wholesale UK Ltd  </t>
  </si>
  <si>
    <t>CPW Services Ltd</t>
  </si>
  <si>
    <t xml:space="preserve">Crane Authentication                                                   </t>
  </si>
  <si>
    <t xml:space="preserve">Crest Nicholson plc </t>
  </si>
  <si>
    <t xml:space="preserve">Crest Nicholson plc  </t>
  </si>
  <si>
    <t>Crown Media Ltd</t>
  </si>
  <si>
    <t xml:space="preserve">Dairy Crest Ltd  </t>
  </si>
  <si>
    <t xml:space="preserve">De La Rue </t>
  </si>
  <si>
    <t xml:space="preserve">Dean &amp; Wood </t>
  </si>
  <si>
    <t xml:space="preserve">Deloitte LLP  </t>
  </si>
  <si>
    <t xml:space="preserve">Dentons UK and Middle East Legal Services </t>
  </si>
  <si>
    <t xml:space="preserve">Dentons UK and Middle East LLP </t>
  </si>
  <si>
    <t>Corporate Flex</t>
  </si>
  <si>
    <t xml:space="preserve">Deutsche Telekom </t>
  </si>
  <si>
    <t>Deutsche Telekom Global Business Solutions UK Ltd</t>
  </si>
  <si>
    <t xml:space="preserve">Dragon Capital Markets </t>
  </si>
  <si>
    <t xml:space="preserve">Dun &amp; Bradstreet Europe  </t>
  </si>
  <si>
    <t xml:space="preserve">European Space Agency </t>
  </si>
  <si>
    <t>F. R. Monkhouse Ltd</t>
  </si>
  <si>
    <t>Fedcap</t>
  </si>
  <si>
    <t>REN</t>
  </si>
  <si>
    <t xml:space="preserve">First Rate Exchange Services Ltd  </t>
  </si>
  <si>
    <t xml:space="preserve">Fluor Ltd F </t>
  </si>
  <si>
    <t xml:space="preserve">Forester Holdings </t>
  </si>
  <si>
    <t xml:space="preserve">Fresca Group Ltd </t>
  </si>
  <si>
    <t>Fulford Hall Ltd</t>
  </si>
  <si>
    <t>G2 Ocean</t>
  </si>
  <si>
    <t>Gatsby</t>
  </si>
  <si>
    <t xml:space="preserve">Gearbulk </t>
  </si>
  <si>
    <t xml:space="preserve">Geest Line Limited  </t>
  </si>
  <si>
    <t xml:space="preserve">Gemelli Solutions Ltd </t>
  </si>
  <si>
    <t xml:space="preserve">GKF Wealth Management </t>
  </si>
  <si>
    <t xml:space="preserve">Global Compass UK Ltd  </t>
  </si>
  <si>
    <t xml:space="preserve">Grant and Stone Ltd </t>
  </si>
  <si>
    <t xml:space="preserve">Grundfos Pumps Ltd </t>
  </si>
  <si>
    <t>GSM Automotive</t>
  </si>
  <si>
    <t>Hadley Group</t>
  </si>
  <si>
    <t xml:space="preserve">Hanesbrands UK Ltd </t>
  </si>
  <si>
    <t xml:space="preserve">Healix Health Services </t>
  </si>
  <si>
    <t>Health Management Limited</t>
  </si>
  <si>
    <t>Henner SAS</t>
  </si>
  <si>
    <t xml:space="preserve">Hidden Hearing Ltd  </t>
  </si>
  <si>
    <t>Hitachi Digital Service UK Ltd</t>
  </si>
  <si>
    <t>Hitachi Digital Service UK Ltd  -</t>
  </si>
  <si>
    <t xml:space="preserve">Hitachi Europe Ltd  </t>
  </si>
  <si>
    <t xml:space="preserve">Hitachi High-Tech Europe GmbH  </t>
  </si>
  <si>
    <t xml:space="preserve">Hitachi Information Control Systems Europe Ltd </t>
  </si>
  <si>
    <t xml:space="preserve">Hitachi Rail Europe Ltd </t>
  </si>
  <si>
    <t xml:space="preserve">Hitachi Solutions Europe </t>
  </si>
  <si>
    <t xml:space="preserve">Hitachi Vantara Limited           </t>
  </si>
  <si>
    <t>Hitachi Vantara Limited - Flex</t>
  </si>
  <si>
    <t>Hitachi ZeroCarbon Ltd</t>
  </si>
  <si>
    <t>Holiday Extras</t>
  </si>
  <si>
    <t xml:space="preserve">Infor </t>
  </si>
  <si>
    <t xml:space="preserve">Institute of Chartered Accountants </t>
  </si>
  <si>
    <t>Instituto Cervantes London</t>
  </si>
  <si>
    <t xml:space="preserve">Intergraph UK Ltd </t>
  </si>
  <si>
    <t>ITN Productions</t>
  </si>
  <si>
    <t xml:space="preserve">Jenner </t>
  </si>
  <si>
    <t>JW Hinks</t>
  </si>
  <si>
    <t>Kering UK Services Limited</t>
  </si>
  <si>
    <t xml:space="preserve">Kodak Limited </t>
  </si>
  <si>
    <t xml:space="preserve">Korber Technologies Ltd </t>
  </si>
  <si>
    <t xml:space="preserve">Korean Development Bank </t>
  </si>
  <si>
    <t xml:space="preserve">Kreston Reeves LLP  </t>
  </si>
  <si>
    <t xml:space="preserve">Kuwait Investment Bank  </t>
  </si>
  <si>
    <t xml:space="preserve">Land Energy Girvan </t>
  </si>
  <si>
    <t xml:space="preserve">MacIntyre Hudson  </t>
  </si>
  <si>
    <t xml:space="preserve">MAN Truck &amp; Bus UK Ltd  </t>
  </si>
  <si>
    <t>Medical Expense Consulting</t>
  </si>
  <si>
    <t xml:space="preserve">Medigold Health Consultancy Ltd  </t>
  </si>
  <si>
    <t>Menwith Hill Firefighters</t>
  </si>
  <si>
    <t>TBC</t>
  </si>
  <si>
    <t>Mercury Financial Management Ltd</t>
  </si>
  <si>
    <t>Merlin Attractions Operations Ltd</t>
  </si>
  <si>
    <t>Mitie Limited</t>
  </si>
  <si>
    <t xml:space="preserve">Multivac UK Ltd  </t>
  </si>
  <si>
    <t xml:space="preserve">North East Atlantic Fisheries Commission  </t>
  </si>
  <si>
    <t xml:space="preserve">Novuna </t>
  </si>
  <si>
    <t xml:space="preserve">Optima Health </t>
  </si>
  <si>
    <t xml:space="preserve">Oracle Financial Services  </t>
  </si>
  <si>
    <t>Orix Corporation</t>
  </si>
  <si>
    <t xml:space="preserve">Park-It Solutions Ltd </t>
  </si>
  <si>
    <t>PETERSONS</t>
  </si>
  <si>
    <t xml:space="preserve">Pfeifer Drako Ltd </t>
  </si>
  <si>
    <t>Piper Sandler Ltd</t>
  </si>
  <si>
    <t xml:space="preserve">Police Healthcare Scheme </t>
  </si>
  <si>
    <t xml:space="preserve">Proctor Group Limited </t>
  </si>
  <si>
    <t xml:space="preserve">RCI Financial Services Ltd </t>
  </si>
  <si>
    <t xml:space="preserve">Renault UK Ltd  </t>
  </si>
  <si>
    <t xml:space="preserve">Rentokil Initial Plc </t>
  </si>
  <si>
    <t xml:space="preserve">REV Ocean Inc </t>
  </si>
  <si>
    <t>Richardson Swift</t>
  </si>
  <si>
    <t xml:space="preserve">RJM Corporation </t>
  </si>
  <si>
    <t xml:space="preserve">Roodlane Medical </t>
  </si>
  <si>
    <t xml:space="preserve">Roodlane Medical–Ernst &amp; Young/Pilot </t>
  </si>
  <si>
    <t xml:space="preserve">Russell Finex Ltd  </t>
  </si>
  <si>
    <t xml:space="preserve">SAFECHEM Europe GmBh </t>
  </si>
  <si>
    <t xml:space="preserve">Sainsbury's Supermarkets Ltd </t>
  </si>
  <si>
    <t xml:space="preserve">Sainsburys Supermarkets Ltd  </t>
  </si>
  <si>
    <t xml:space="preserve">Scania Finance Great Britain Ltd  </t>
  </si>
  <si>
    <t xml:space="preserve">Scania GB Ltd  </t>
  </si>
  <si>
    <t>SELF PAY Recalls 15% Discount</t>
  </si>
  <si>
    <t xml:space="preserve">Self Pay Retail </t>
  </si>
  <si>
    <t>Self-Pay Discount 10%</t>
  </si>
  <si>
    <t>Self-Pay Discount 15%</t>
  </si>
  <si>
    <t>Self-Pay Discount 20%</t>
  </si>
  <si>
    <t>Self-Pay Discount 25%</t>
  </si>
  <si>
    <t xml:space="preserve">Serco Limited  </t>
  </si>
  <si>
    <t>Sprints Capital Management Limited</t>
  </si>
  <si>
    <t xml:space="preserve">Sprints Capital Management Limited </t>
  </si>
  <si>
    <t>STORK</t>
  </si>
  <si>
    <t>Strategic Blue Services Limited</t>
  </si>
  <si>
    <t xml:space="preserve">Surrey Police  </t>
  </si>
  <si>
    <t xml:space="preserve">T H March &amp; Co. Ltd  </t>
  </si>
  <si>
    <t>T SQUARED SHARED LTD</t>
  </si>
  <si>
    <t xml:space="preserve">Tankers UK Agencies Ltd </t>
  </si>
  <si>
    <t xml:space="preserve">Taylor &amp; Emmet LLP  </t>
  </si>
  <si>
    <t>Texas Instruments Ltd</t>
  </si>
  <si>
    <t xml:space="preserve">Texo </t>
  </si>
  <si>
    <t>The Dean Trust</t>
  </si>
  <si>
    <t xml:space="preserve">The International Bible Students Association </t>
  </si>
  <si>
    <t>Tillotts</t>
  </si>
  <si>
    <t xml:space="preserve">Timpson Limited </t>
  </si>
  <si>
    <t xml:space="preserve">Tomrods Ltd  </t>
  </si>
  <si>
    <t xml:space="preserve">T-Systems Limited </t>
  </si>
  <si>
    <t xml:space="preserve">UK SBS  </t>
  </si>
  <si>
    <t>Vincent Timber</t>
  </si>
  <si>
    <t>Vinci Construction Management) - UC8</t>
  </si>
  <si>
    <t>Wells &amp; Co</t>
  </si>
  <si>
    <t>Wessex Water  Services Limited</t>
  </si>
  <si>
    <t xml:space="preserve">Western Provident Association </t>
  </si>
  <si>
    <t xml:space="preserve">Willmott Dixon Holdings Ltd and Subsidiaries and Associates </t>
  </si>
  <si>
    <t xml:space="preserve">Yandell Publishing  </t>
  </si>
  <si>
    <t>Zest Business Group</t>
  </si>
  <si>
    <t xml:space="preserve">Zurich Employment Services Limited </t>
  </si>
  <si>
    <t>male</t>
  </si>
  <si>
    <t>female</t>
  </si>
  <si>
    <t>MNR</t>
  </si>
  <si>
    <t>Wakefield</t>
  </si>
  <si>
    <t>HP</t>
  </si>
  <si>
    <t>HG</t>
  </si>
  <si>
    <t>RG</t>
  </si>
  <si>
    <t>KT</t>
  </si>
  <si>
    <t>SW</t>
  </si>
  <si>
    <t>SK</t>
  </si>
  <si>
    <t>DL</t>
  </si>
  <si>
    <t>IP</t>
  </si>
  <si>
    <t>RH</t>
  </si>
  <si>
    <t>AIA</t>
  </si>
  <si>
    <t>Postcode area</t>
  </si>
  <si>
    <t>Aberdeen</t>
  </si>
  <si>
    <t>AL</t>
  </si>
  <si>
    <t>St Albans</t>
  </si>
  <si>
    <t>Birmingham</t>
  </si>
  <si>
    <t>Bath</t>
  </si>
  <si>
    <t>BB</t>
  </si>
  <si>
    <t>Blackburn</t>
  </si>
  <si>
    <t>BD</t>
  </si>
  <si>
    <t>Bradford</t>
  </si>
  <si>
    <t>BH</t>
  </si>
  <si>
    <t>Bournemouth</t>
  </si>
  <si>
    <t>BL</t>
  </si>
  <si>
    <t>Bolton</t>
  </si>
  <si>
    <t>Brighton</t>
  </si>
  <si>
    <t>BR</t>
  </si>
  <si>
    <t>Bromley</t>
  </si>
  <si>
    <t>Bristol</t>
  </si>
  <si>
    <t>BT</t>
  </si>
  <si>
    <t>Belfast</t>
  </si>
  <si>
    <t>CA</t>
  </si>
  <si>
    <t>Carlisle</t>
  </si>
  <si>
    <t>CB</t>
  </si>
  <si>
    <t>Cambridge</t>
  </si>
  <si>
    <t>CF</t>
  </si>
  <si>
    <t>Cardiff</t>
  </si>
  <si>
    <t>CH</t>
  </si>
  <si>
    <t>Chester</t>
  </si>
  <si>
    <t>CM</t>
  </si>
  <si>
    <t>Chelmsford</t>
  </si>
  <si>
    <t>CO</t>
  </si>
  <si>
    <t>Colchester</t>
  </si>
  <si>
    <t>CR</t>
  </si>
  <si>
    <t>Croydon</t>
  </si>
  <si>
    <t>CT</t>
  </si>
  <si>
    <t>Canterbury</t>
  </si>
  <si>
    <t>Coventry</t>
  </si>
  <si>
    <t>CW</t>
  </si>
  <si>
    <t>Crewe</t>
  </si>
  <si>
    <t>DA</t>
  </si>
  <si>
    <t>Dartford</t>
  </si>
  <si>
    <t>DD</t>
  </si>
  <si>
    <t>Dundee</t>
  </si>
  <si>
    <t>DE</t>
  </si>
  <si>
    <t>Derby</t>
  </si>
  <si>
    <t>DG</t>
  </si>
  <si>
    <t>DH</t>
  </si>
  <si>
    <t>Durham</t>
  </si>
  <si>
    <t>Darlington</t>
  </si>
  <si>
    <t>DN</t>
  </si>
  <si>
    <t>Doncaster</t>
  </si>
  <si>
    <t>DT</t>
  </si>
  <si>
    <t>Dorchester</t>
  </si>
  <si>
    <t>DY</t>
  </si>
  <si>
    <t>Dudley</t>
  </si>
  <si>
    <t>E</t>
  </si>
  <si>
    <t>East London</t>
  </si>
  <si>
    <t>EC</t>
  </si>
  <si>
    <t>East Central London</t>
  </si>
  <si>
    <t>EH</t>
  </si>
  <si>
    <t>Edinburgh</t>
  </si>
  <si>
    <t>EN</t>
  </si>
  <si>
    <t>Enfield</t>
  </si>
  <si>
    <t>EX</t>
  </si>
  <si>
    <t>Exeter</t>
  </si>
  <si>
    <t>FK</t>
  </si>
  <si>
    <t>Falkirk</t>
  </si>
  <si>
    <t>FY</t>
  </si>
  <si>
    <t>Glasgow</t>
  </si>
  <si>
    <t>GL</t>
  </si>
  <si>
    <t>Gloucester</t>
  </si>
  <si>
    <t>Guildford</t>
  </si>
  <si>
    <t>HA</t>
  </si>
  <si>
    <t>Harrow</t>
  </si>
  <si>
    <t>HD</t>
  </si>
  <si>
    <t>Huddersfield</t>
  </si>
  <si>
    <t>Harrogate</t>
  </si>
  <si>
    <t>Hemel Hempstead</t>
  </si>
  <si>
    <t>HR</t>
  </si>
  <si>
    <t>Hereford</t>
  </si>
  <si>
    <t>HS</t>
  </si>
  <si>
    <t>Hebrides</t>
  </si>
  <si>
    <t>HU</t>
  </si>
  <si>
    <t>Hull</t>
  </si>
  <si>
    <t>HX</t>
  </si>
  <si>
    <t>Halifax</t>
  </si>
  <si>
    <t>IG</t>
  </si>
  <si>
    <t>Ilford</t>
  </si>
  <si>
    <t>Ipswich</t>
  </si>
  <si>
    <t>IV</t>
  </si>
  <si>
    <t>Inverness</t>
  </si>
  <si>
    <t>KA</t>
  </si>
  <si>
    <t>Kilmarnock</t>
  </si>
  <si>
    <t>Kingston upon Thames</t>
  </si>
  <si>
    <t>KW</t>
  </si>
  <si>
    <t>Kirkwall</t>
  </si>
  <si>
    <t>KY</t>
  </si>
  <si>
    <t>Kirkcaldy</t>
  </si>
  <si>
    <t>L</t>
  </si>
  <si>
    <t>Liverpool</t>
  </si>
  <si>
    <t>LA</t>
  </si>
  <si>
    <t>Lancaster</t>
  </si>
  <si>
    <t>LD</t>
  </si>
  <si>
    <t>LE</t>
  </si>
  <si>
    <t>Leicester</t>
  </si>
  <si>
    <t>LL</t>
  </si>
  <si>
    <t>Llandudno</t>
  </si>
  <si>
    <t>LN</t>
  </si>
  <si>
    <t>Lincoln</t>
  </si>
  <si>
    <t>LS</t>
  </si>
  <si>
    <t>Leeds</t>
  </si>
  <si>
    <t>LU</t>
  </si>
  <si>
    <t>Luton</t>
  </si>
  <si>
    <t>M</t>
  </si>
  <si>
    <t>Manchester</t>
  </si>
  <si>
    <t>ME</t>
  </si>
  <si>
    <t>Rochester</t>
  </si>
  <si>
    <t>Milton Keynes</t>
  </si>
  <si>
    <t>ML</t>
  </si>
  <si>
    <t>Motherwell</t>
  </si>
  <si>
    <t>N</t>
  </si>
  <si>
    <t>North London</t>
  </si>
  <si>
    <t>NE</t>
  </si>
  <si>
    <t>Nottingham</t>
  </si>
  <si>
    <t>NN</t>
  </si>
  <si>
    <t>Northampton</t>
  </si>
  <si>
    <t>NP</t>
  </si>
  <si>
    <t>Newport</t>
  </si>
  <si>
    <t>NR</t>
  </si>
  <si>
    <t>Norwich</t>
  </si>
  <si>
    <t>NW</t>
  </si>
  <si>
    <t>North West London</t>
  </si>
  <si>
    <t>OL</t>
  </si>
  <si>
    <t>Oldham</t>
  </si>
  <si>
    <t>OX</t>
  </si>
  <si>
    <t>Oxford</t>
  </si>
  <si>
    <t>Paisley</t>
  </si>
  <si>
    <t>PE</t>
  </si>
  <si>
    <t>Peterborough</t>
  </si>
  <si>
    <t>PH</t>
  </si>
  <si>
    <t>Perth</t>
  </si>
  <si>
    <t>PL</t>
  </si>
  <si>
    <t>Plymouth</t>
  </si>
  <si>
    <t>PO</t>
  </si>
  <si>
    <t>Portsmouth</t>
  </si>
  <si>
    <t>PR</t>
  </si>
  <si>
    <t>Preston</t>
  </si>
  <si>
    <t>Reading</t>
  </si>
  <si>
    <t>Redhill</t>
  </si>
  <si>
    <t>RM</t>
  </si>
  <si>
    <t>Romford</t>
  </si>
  <si>
    <t>S</t>
  </si>
  <si>
    <t>Sheffield</t>
  </si>
  <si>
    <t>SA</t>
  </si>
  <si>
    <t>Swansea</t>
  </si>
  <si>
    <t>South East London</t>
  </si>
  <si>
    <t>SG</t>
  </si>
  <si>
    <t>Stevenage</t>
  </si>
  <si>
    <t>Stockport</t>
  </si>
  <si>
    <t>Slough</t>
  </si>
  <si>
    <t>SM</t>
  </si>
  <si>
    <t>Swindon</t>
  </si>
  <si>
    <t>SO</t>
  </si>
  <si>
    <t>Southampton</t>
  </si>
  <si>
    <t>SP</t>
  </si>
  <si>
    <t>Salisbury</t>
  </si>
  <si>
    <t>SR</t>
  </si>
  <si>
    <t>Sunderland</t>
  </si>
  <si>
    <t>SS</t>
  </si>
  <si>
    <t>Southend-on-Sea</t>
  </si>
  <si>
    <t>ST</t>
  </si>
  <si>
    <t>Stoke-on-Trent</t>
  </si>
  <si>
    <t>South West London</t>
  </si>
  <si>
    <t>SY</t>
  </si>
  <si>
    <t>Shrewsbury</t>
  </si>
  <si>
    <t>TA</t>
  </si>
  <si>
    <t>Taunton</t>
  </si>
  <si>
    <t>TD</t>
  </si>
  <si>
    <t>Galashiels</t>
  </si>
  <si>
    <t>TF</t>
  </si>
  <si>
    <t>Telford</t>
  </si>
  <si>
    <t>TN</t>
  </si>
  <si>
    <t>TQ</t>
  </si>
  <si>
    <t>Torquay</t>
  </si>
  <si>
    <t>TR</t>
  </si>
  <si>
    <t>Truro</t>
  </si>
  <si>
    <t>TS</t>
  </si>
  <si>
    <t>Cleveland</t>
  </si>
  <si>
    <t>TW</t>
  </si>
  <si>
    <t>Twickenham</t>
  </si>
  <si>
    <t>UB</t>
  </si>
  <si>
    <t>W</t>
  </si>
  <si>
    <t>West London</t>
  </si>
  <si>
    <t>WA</t>
  </si>
  <si>
    <t>Warrington</t>
  </si>
  <si>
    <t>WC</t>
  </si>
  <si>
    <t>West Central London</t>
  </si>
  <si>
    <t>WD</t>
  </si>
  <si>
    <t>Watford</t>
  </si>
  <si>
    <t>WF</t>
  </si>
  <si>
    <t>WN</t>
  </si>
  <si>
    <t>Wigan</t>
  </si>
  <si>
    <t>WR</t>
  </si>
  <si>
    <t>Worcester</t>
  </si>
  <si>
    <t>WS</t>
  </si>
  <si>
    <t>Walsall</t>
  </si>
  <si>
    <t>WV</t>
  </si>
  <si>
    <t>Wolverhampton</t>
  </si>
  <si>
    <t>YO</t>
  </si>
  <si>
    <t>York</t>
  </si>
  <si>
    <t>ZE</t>
  </si>
  <si>
    <t>Llandrindod Wells</t>
  </si>
  <si>
    <t>Newcastle upon Tyne</t>
  </si>
  <si>
    <t>Tunbridge Wells</t>
  </si>
  <si>
    <t>Postcode area name</t>
  </si>
  <si>
    <t>Dumfries</t>
  </si>
  <si>
    <t>Blackpool</t>
  </si>
  <si>
    <t>Sutton</t>
  </si>
  <si>
    <t>Southall</t>
  </si>
  <si>
    <t>Lerwick</t>
  </si>
  <si>
    <t>Column1</t>
  </si>
  <si>
    <t>Column2</t>
  </si>
  <si>
    <t>Region</t>
  </si>
  <si>
    <t>PRK</t>
  </si>
  <si>
    <t>Philip</t>
  </si>
  <si>
    <t>GSK</t>
  </si>
  <si>
    <t>F11</t>
  </si>
  <si>
    <t>MAMMOGRAM</t>
  </si>
  <si>
    <t>dispatched</t>
  </si>
  <si>
    <t>SF4</t>
  </si>
  <si>
    <t>SMARKETS</t>
  </si>
  <si>
    <t>INT</t>
  </si>
  <si>
    <t>M04</t>
  </si>
  <si>
    <t>Marchmont Investment</t>
  </si>
  <si>
    <t>SF2</t>
  </si>
  <si>
    <t>paid,fasting,online,ecg_uploaded,viewed_online</t>
  </si>
  <si>
    <t>paid,phone_call_required,fasting,online,ecg_uploaded,viewed_online</t>
  </si>
  <si>
    <t>paid,fasting,online</t>
  </si>
  <si>
    <t>paid,phone_call_required,fasting,amber,online,viewed_online</t>
  </si>
  <si>
    <t>paid,phone_call_required,fasting,red,online,ecg_uploaded,viewed_online</t>
  </si>
  <si>
    <t>paid,phone_call_required,fasting,online,viewed_online</t>
  </si>
  <si>
    <t>paid,fasting,amber,online,ecg_uploaded,viewed_online</t>
  </si>
  <si>
    <t>viewed_online,paid,fasting,online,ecg_uploaded</t>
  </si>
  <si>
    <t>Email</t>
  </si>
  <si>
    <t>ALB</t>
  </si>
  <si>
    <t>RHB</t>
  </si>
  <si>
    <t>BTH</t>
  </si>
  <si>
    <t>Roger</t>
  </si>
  <si>
    <t>SLO</t>
  </si>
  <si>
    <t>SYC</t>
  </si>
  <si>
    <t>PRI</t>
  </si>
  <si>
    <t>HGT</t>
  </si>
  <si>
    <t>RID</t>
  </si>
  <si>
    <t xml:space="preserve"> GU34 3AW</t>
  </si>
  <si>
    <t>SRD</t>
  </si>
  <si>
    <t xml:space="preserve"> CT14 8EW</t>
  </si>
  <si>
    <t>LIN</t>
  </si>
  <si>
    <t xml:space="preserve"> LN4 2JW</t>
  </si>
  <si>
    <t>BSE</t>
  </si>
  <si>
    <t>Hugh</t>
  </si>
  <si>
    <t xml:space="preserve"> IP30 0DT</t>
  </si>
  <si>
    <t xml:space="preserve"> GU3 2BZ</t>
  </si>
  <si>
    <t xml:space="preserve"> RH4 3NX</t>
  </si>
  <si>
    <t xml:space="preserve"> SN3 4FX</t>
  </si>
  <si>
    <t xml:space="preserve"> SN13 8DY</t>
  </si>
  <si>
    <t>Harry</t>
  </si>
  <si>
    <t xml:space="preserve"> AB12 5GD</t>
  </si>
  <si>
    <t xml:space="preserve"> AB15 8GW</t>
  </si>
  <si>
    <t xml:space="preserve"> AB15 9LQ</t>
  </si>
  <si>
    <t>Szymaniak</t>
  </si>
  <si>
    <t xml:space="preserve"> AB16 7HT</t>
  </si>
  <si>
    <t xml:space="preserve"> AB21 0UT</t>
  </si>
  <si>
    <t>Reid</t>
  </si>
  <si>
    <t xml:space="preserve"> AB30 1EW</t>
  </si>
  <si>
    <t xml:space="preserve"> AB31 5UE</t>
  </si>
  <si>
    <t>Chris</t>
  </si>
  <si>
    <t xml:space="preserve"> AB41 6EE</t>
  </si>
  <si>
    <t>George</t>
  </si>
  <si>
    <t xml:space="preserve"> AL1 1SN</t>
  </si>
  <si>
    <t xml:space="preserve"> AL4 0AD</t>
  </si>
  <si>
    <t>Ben</t>
  </si>
  <si>
    <t xml:space="preserve"> B15 3HS</t>
  </si>
  <si>
    <t>Rowe</t>
  </si>
  <si>
    <t xml:space="preserve"> B50 4HJ</t>
  </si>
  <si>
    <t xml:space="preserve"> B92 8BU</t>
  </si>
  <si>
    <t>Danielle</t>
  </si>
  <si>
    <t xml:space="preserve"> BA1 2PH</t>
  </si>
  <si>
    <t xml:space="preserve"> BA1 3RS</t>
  </si>
  <si>
    <t xml:space="preserve"> BA1 5TU</t>
  </si>
  <si>
    <t xml:space="preserve"> BA1 9AZ</t>
  </si>
  <si>
    <t xml:space="preserve"> BA10 0PQ</t>
  </si>
  <si>
    <t xml:space="preserve"> BA13 4AW</t>
  </si>
  <si>
    <t xml:space="preserve"> BA2 5JL</t>
  </si>
  <si>
    <t xml:space="preserve"> BA2 6BD</t>
  </si>
  <si>
    <t>CCL</t>
  </si>
  <si>
    <t>HAM</t>
  </si>
  <si>
    <t xml:space="preserve"> BH7 6PE</t>
  </si>
  <si>
    <t xml:space="preserve"> BN1 3FF</t>
  </si>
  <si>
    <t xml:space="preserve"> BN14 7EW</t>
  </si>
  <si>
    <t xml:space="preserve"> BR1 3HY</t>
  </si>
  <si>
    <t xml:space="preserve"> BR4 9FA</t>
  </si>
  <si>
    <t xml:space="preserve"> BR6 8ES</t>
  </si>
  <si>
    <t xml:space="preserve"> BS27 3GL</t>
  </si>
  <si>
    <t xml:space="preserve"> BS31 2GE</t>
  </si>
  <si>
    <t xml:space="preserve"> CB22 7PT</t>
  </si>
  <si>
    <t xml:space="preserve"> CM23 4JP</t>
  </si>
  <si>
    <t xml:space="preserve"> CO10 0QX</t>
  </si>
  <si>
    <t>Hewitt</t>
  </si>
  <si>
    <t xml:space="preserve"> CO5 0PX</t>
  </si>
  <si>
    <t xml:space="preserve"> CR3 6JF</t>
  </si>
  <si>
    <t xml:space="preserve"> CT5 4AH</t>
  </si>
  <si>
    <t>Duffy</t>
  </si>
  <si>
    <t>Dow</t>
  </si>
  <si>
    <t xml:space="preserve"> DL8 4HB</t>
  </si>
  <si>
    <t xml:space="preserve"> DY8 2TQ</t>
  </si>
  <si>
    <t xml:space="preserve"> E1 5FZ</t>
  </si>
  <si>
    <t>Antoine</t>
  </si>
  <si>
    <t xml:space="preserve"> E16 2XJ</t>
  </si>
  <si>
    <t xml:space="preserve"> E4 7JX</t>
  </si>
  <si>
    <t xml:space="preserve"> EC1M 5UG</t>
  </si>
  <si>
    <t xml:space="preserve"> G66 5BS</t>
  </si>
  <si>
    <t xml:space="preserve"> GL56 0QT</t>
  </si>
  <si>
    <t xml:space="preserve"> GU1 2SJ</t>
  </si>
  <si>
    <t xml:space="preserve"> GU1 2ST</t>
  </si>
  <si>
    <t xml:space="preserve"> GU22 7EE</t>
  </si>
  <si>
    <t>Kirsten</t>
  </si>
  <si>
    <t xml:space="preserve"> HA2 8PP</t>
  </si>
  <si>
    <t>Maria</t>
  </si>
  <si>
    <t xml:space="preserve"> HA5 5HX</t>
  </si>
  <si>
    <t xml:space="preserve"> HD9 3FA</t>
  </si>
  <si>
    <t>Shawn</t>
  </si>
  <si>
    <t xml:space="preserve"> HP14 3EY</t>
  </si>
  <si>
    <t xml:space="preserve"> HP17 8AS</t>
  </si>
  <si>
    <t xml:space="preserve"> HP5 3PA</t>
  </si>
  <si>
    <t xml:space="preserve"> HP7 0LW</t>
  </si>
  <si>
    <t>Garth</t>
  </si>
  <si>
    <t xml:space="preserve"> HP9 2YW</t>
  </si>
  <si>
    <t xml:space="preserve"> HR9 7JZ</t>
  </si>
  <si>
    <t xml:space="preserve"> IG9 6EL</t>
  </si>
  <si>
    <t xml:space="preserve"> IP24 2JG</t>
  </si>
  <si>
    <t xml:space="preserve"> IP29 5LH</t>
  </si>
  <si>
    <t xml:space="preserve"> IP31 2SY</t>
  </si>
  <si>
    <t xml:space="preserve"> IV1 3YG</t>
  </si>
  <si>
    <t xml:space="preserve"> IV2 5AZ</t>
  </si>
  <si>
    <t xml:space="preserve"> KA10 7NG</t>
  </si>
  <si>
    <t xml:space="preserve"> KT10 9LU</t>
  </si>
  <si>
    <t xml:space="preserve"> KT11 2HY</t>
  </si>
  <si>
    <t xml:space="preserve"> KT12 1LQ</t>
  </si>
  <si>
    <t xml:space="preserve"> KT16 0RA</t>
  </si>
  <si>
    <t xml:space="preserve"> KT19 8JN</t>
  </si>
  <si>
    <t xml:space="preserve"> KT2 7BS</t>
  </si>
  <si>
    <t xml:space="preserve"> KT23 4HL</t>
  </si>
  <si>
    <t xml:space="preserve"> KT24 5RJ</t>
  </si>
  <si>
    <t xml:space="preserve"> LA3 3NR</t>
  </si>
  <si>
    <t xml:space="preserve"> LE14 4DD</t>
  </si>
  <si>
    <t xml:space="preserve"> LN10 6PJ</t>
  </si>
  <si>
    <t>Worthington</t>
  </si>
  <si>
    <t xml:space="preserve"> M40 8BW</t>
  </si>
  <si>
    <t>Nancy</t>
  </si>
  <si>
    <t xml:space="preserve"> MK11 1DW</t>
  </si>
  <si>
    <t xml:space="preserve"> MK16 9FG</t>
  </si>
  <si>
    <t xml:space="preserve"> MK18 2FD</t>
  </si>
  <si>
    <t>Desmond</t>
  </si>
  <si>
    <t xml:space="preserve"> MK43 0DS</t>
  </si>
  <si>
    <t xml:space="preserve"> MK43 0LD</t>
  </si>
  <si>
    <t xml:space="preserve"> MK44 2TA</t>
  </si>
  <si>
    <t xml:space="preserve"> MK44 3HD</t>
  </si>
  <si>
    <t xml:space="preserve"> MK46 5JS</t>
  </si>
  <si>
    <t>Garvey</t>
  </si>
  <si>
    <t>Brendan</t>
  </si>
  <si>
    <t xml:space="preserve"> N10 3DN</t>
  </si>
  <si>
    <t xml:space="preserve"> N16 8BF</t>
  </si>
  <si>
    <t xml:space="preserve"> N20 0RH</t>
  </si>
  <si>
    <t xml:space="preserve"> N20 8BZ</t>
  </si>
  <si>
    <t xml:space="preserve"> N5 1PL</t>
  </si>
  <si>
    <t xml:space="preserve"> NG14 7EB</t>
  </si>
  <si>
    <t xml:space="preserve"> NG15 9HD</t>
  </si>
  <si>
    <t xml:space="preserve"> NG21 9GA</t>
  </si>
  <si>
    <t xml:space="preserve"> NN13 5SG</t>
  </si>
  <si>
    <t xml:space="preserve"> NN7 1HD</t>
  </si>
  <si>
    <t xml:space="preserve"> NW3 4BY</t>
  </si>
  <si>
    <t xml:space="preserve"> NW9 6AB</t>
  </si>
  <si>
    <t xml:space="preserve"> OX10 6PP</t>
  </si>
  <si>
    <t xml:space="preserve"> OX33 1JT</t>
  </si>
  <si>
    <t xml:space="preserve"> PA13 4NU</t>
  </si>
  <si>
    <t xml:space="preserve"> PH25 3EG</t>
  </si>
  <si>
    <t xml:space="preserve"> PO4 9AU</t>
  </si>
  <si>
    <t xml:space="preserve"> RG1 7XX</t>
  </si>
  <si>
    <t xml:space="preserve"> RG2 7PW</t>
  </si>
  <si>
    <t xml:space="preserve"> RG25 2PA</t>
  </si>
  <si>
    <t xml:space="preserve"> RG30 4DP</t>
  </si>
  <si>
    <t xml:space="preserve"> RG4 6SY</t>
  </si>
  <si>
    <t xml:space="preserve"> RG41 4AT</t>
  </si>
  <si>
    <t xml:space="preserve"> RG45 6TX</t>
  </si>
  <si>
    <t>RUN</t>
  </si>
  <si>
    <t xml:space="preserve"> RH13 6RG</t>
  </si>
  <si>
    <t xml:space="preserve"> RH4 1ER</t>
  </si>
  <si>
    <t xml:space="preserve"> RM3 0SP</t>
  </si>
  <si>
    <t xml:space="preserve"> S10 3GX</t>
  </si>
  <si>
    <t xml:space="preserve"> S2 1WB</t>
  </si>
  <si>
    <t xml:space="preserve"> S44 5SA</t>
  </si>
  <si>
    <t>Drydale</t>
  </si>
  <si>
    <t xml:space="preserve"> SE1 8EH</t>
  </si>
  <si>
    <t xml:space="preserve"> SE10 8AS</t>
  </si>
  <si>
    <t xml:space="preserve"> SE13 7EJ</t>
  </si>
  <si>
    <t xml:space="preserve"> SE23 2UD</t>
  </si>
  <si>
    <t xml:space="preserve"> SE24 9AE</t>
  </si>
  <si>
    <t xml:space="preserve"> SE3 8BP</t>
  </si>
  <si>
    <t xml:space="preserve"> SE4 1RD</t>
  </si>
  <si>
    <t xml:space="preserve"> SG13 8BJ</t>
  </si>
  <si>
    <t xml:space="preserve"> SG19 2LP</t>
  </si>
  <si>
    <t xml:space="preserve"> SG4 9PN</t>
  </si>
  <si>
    <t>Chandler</t>
  </si>
  <si>
    <t>Aizlewood</t>
  </si>
  <si>
    <t xml:space="preserve"> SL5 7PF</t>
  </si>
  <si>
    <t xml:space="preserve"> SL5 9QH</t>
  </si>
  <si>
    <t xml:space="preserve"> SL6 3PZ</t>
  </si>
  <si>
    <t xml:space="preserve"> SL6 6SG</t>
  </si>
  <si>
    <t xml:space="preserve"> SL9 8JD</t>
  </si>
  <si>
    <t xml:space="preserve"> SN12 6FA</t>
  </si>
  <si>
    <t xml:space="preserve"> SN2 7QU</t>
  </si>
  <si>
    <t xml:space="preserve"> SN3 1PX</t>
  </si>
  <si>
    <t xml:space="preserve"> SN3 4JW</t>
  </si>
  <si>
    <t xml:space="preserve"> SO16 4JD</t>
  </si>
  <si>
    <t xml:space="preserve"> SO21 1AR</t>
  </si>
  <si>
    <t xml:space="preserve"> SO45 4BX</t>
  </si>
  <si>
    <t xml:space="preserve"> SP11 0JF</t>
  </si>
  <si>
    <t xml:space="preserve"> SW13 0AR</t>
  </si>
  <si>
    <t xml:space="preserve"> SW17 7DW</t>
  </si>
  <si>
    <t xml:space="preserve"> SW4 0HD</t>
  </si>
  <si>
    <t xml:space="preserve"> SW6 6QA</t>
  </si>
  <si>
    <t xml:space="preserve"> SW6 7BD</t>
  </si>
  <si>
    <t xml:space="preserve"> SW7 4NN</t>
  </si>
  <si>
    <t>Talbot</t>
  </si>
  <si>
    <t xml:space="preserve"> TN13 3BU</t>
  </si>
  <si>
    <t xml:space="preserve"> TW11 9HQ</t>
  </si>
  <si>
    <t xml:space="preserve"> TW13 7BJ</t>
  </si>
  <si>
    <t xml:space="preserve"> TW17 8AZ</t>
  </si>
  <si>
    <t xml:space="preserve"> TW8 8EL</t>
  </si>
  <si>
    <t xml:space="preserve"> W12 9RZ</t>
  </si>
  <si>
    <t xml:space="preserve"> W2 2NQ</t>
  </si>
  <si>
    <t xml:space="preserve"> W2 3AA</t>
  </si>
  <si>
    <t xml:space="preserve"> W3 9HF</t>
  </si>
  <si>
    <t xml:space="preserve"> W6 0BL</t>
  </si>
  <si>
    <t xml:space="preserve"> W8 4SB</t>
  </si>
  <si>
    <t xml:space="preserve"> W9 2PH</t>
  </si>
  <si>
    <t xml:space="preserve"> WA16 8EJ</t>
  </si>
  <si>
    <t xml:space="preserve"> WC1N 3PJ</t>
  </si>
  <si>
    <t xml:space="preserve"> WD23 3DS</t>
  </si>
  <si>
    <t xml:space="preserve"> WD4 8FY</t>
  </si>
  <si>
    <t xml:space="preserve"> WD7 8HT</t>
  </si>
  <si>
    <t xml:space="preserve"> WD7 9FP</t>
  </si>
  <si>
    <t>537FD23A</t>
  </si>
  <si>
    <t>A0DC1E99</t>
  </si>
  <si>
    <t>+44 7801022823</t>
  </si>
  <si>
    <t>9D91445B</t>
  </si>
  <si>
    <t>71F5D986</t>
  </si>
  <si>
    <t>6FFF4DAE</t>
  </si>
  <si>
    <t>B7327A40</t>
  </si>
  <si>
    <t>F958141F</t>
  </si>
  <si>
    <t>54523AD5</t>
  </si>
  <si>
    <t>F01C8028</t>
  </si>
  <si>
    <t>99B953F3</t>
  </si>
  <si>
    <t>2C20E681</t>
  </si>
  <si>
    <t>4B9A73B2</t>
  </si>
  <si>
    <t>775EC0B4</t>
  </si>
  <si>
    <t>421C2195</t>
  </si>
  <si>
    <t>6EBA8321</t>
  </si>
  <si>
    <t>D202EE3A</t>
  </si>
  <si>
    <t>5A15DB0D</t>
  </si>
  <si>
    <t>D2DD5931</t>
  </si>
  <si>
    <t>B9DA0697</t>
  </si>
  <si>
    <t>FFB1EC83</t>
  </si>
  <si>
    <t>4BBABA95</t>
  </si>
  <si>
    <t>8EAEFB28</t>
  </si>
  <si>
    <t>59DB436B</t>
  </si>
  <si>
    <t>DDFAAEE0</t>
  </si>
  <si>
    <t>BE0E6B99</t>
  </si>
  <si>
    <t>56C8ACF3</t>
  </si>
  <si>
    <t>F1B4315C</t>
  </si>
  <si>
    <t>18F69C3C</t>
  </si>
  <si>
    <t>87DEA04D</t>
  </si>
  <si>
    <t>F20576B6</t>
  </si>
  <si>
    <t>73ED65A8</t>
  </si>
  <si>
    <t>734645AE</t>
  </si>
  <si>
    <t>+44 7711835481</t>
  </si>
  <si>
    <t>BD175D54</t>
  </si>
  <si>
    <t>1B113C1B</t>
  </si>
  <si>
    <t>A99EF9DD</t>
  </si>
  <si>
    <t>+44 7767884682</t>
  </si>
  <si>
    <t>2C49C3BC</t>
  </si>
  <si>
    <t>217E65EE</t>
  </si>
  <si>
    <t>204EFB6E</t>
  </si>
  <si>
    <t>7DB36EBC</t>
  </si>
  <si>
    <t>777EFE6D</t>
  </si>
  <si>
    <t>1042CAAB</t>
  </si>
  <si>
    <t>C46E6058</t>
  </si>
  <si>
    <t>7F62DB78</t>
  </si>
  <si>
    <t>750DF5E6</t>
  </si>
  <si>
    <t>94F3FC73</t>
  </si>
  <si>
    <t>07452CA1</t>
  </si>
  <si>
    <t>D926FF09</t>
  </si>
  <si>
    <t>B757D151</t>
  </si>
  <si>
    <t>A420121A</t>
  </si>
  <si>
    <t>AA32E553</t>
  </si>
  <si>
    <t>898421FB</t>
  </si>
  <si>
    <t>DF76F695</t>
  </si>
  <si>
    <t>09D45ABC</t>
  </si>
  <si>
    <t>F43A1D37</t>
  </si>
  <si>
    <t>0C9E6F5F</t>
  </si>
  <si>
    <t>A9E8B973</t>
  </si>
  <si>
    <t>8691C58B</t>
  </si>
  <si>
    <t>+44 07719836024</t>
  </si>
  <si>
    <t>AA510A5E</t>
  </si>
  <si>
    <t>CB76CC26</t>
  </si>
  <si>
    <t>1020473D</t>
  </si>
  <si>
    <t>1BC710C0</t>
  </si>
  <si>
    <t>83EC217B</t>
  </si>
  <si>
    <t>B0A5466B</t>
  </si>
  <si>
    <t>799059A7</t>
  </si>
  <si>
    <t>5022DA3B</t>
  </si>
  <si>
    <t>F5D4FECC</t>
  </si>
  <si>
    <t>D343E783</t>
  </si>
  <si>
    <t>78E4C0EC</t>
  </si>
  <si>
    <t>B5D49A8D</t>
  </si>
  <si>
    <t>F10FAFDF</t>
  </si>
  <si>
    <t>F0DC5B7B</t>
  </si>
  <si>
    <t>DF23AF7C</t>
  </si>
  <si>
    <t>5FC593A6</t>
  </si>
  <si>
    <t>5DB09566</t>
  </si>
  <si>
    <t>6414EEA3</t>
  </si>
  <si>
    <t>0BB10AE6</t>
  </si>
  <si>
    <t>F6A85FD5</t>
  </si>
  <si>
    <t>AAA9554D</t>
  </si>
  <si>
    <t>67A50D23</t>
  </si>
  <si>
    <t>ED1DD45B</t>
  </si>
  <si>
    <t>B23057E3</t>
  </si>
  <si>
    <t>+44 07977267176</t>
  </si>
  <si>
    <t>AC6673F3</t>
  </si>
  <si>
    <t>8F29A6AB</t>
  </si>
  <si>
    <t>ACF2F7EB</t>
  </si>
  <si>
    <t>DAD3ED74</t>
  </si>
  <si>
    <t>7AEC2251</t>
  </si>
  <si>
    <t>C02A832F</t>
  </si>
  <si>
    <t>BD65DBE9</t>
  </si>
  <si>
    <t>8279A777</t>
  </si>
  <si>
    <t>1AAAB80A</t>
  </si>
  <si>
    <t>83E8A563</t>
  </si>
  <si>
    <t>1C643442</t>
  </si>
  <si>
    <t>+44 7717175174</t>
  </si>
  <si>
    <t>B826AB82</t>
  </si>
  <si>
    <t>E11C66D5</t>
  </si>
  <si>
    <t>B0B6C14C</t>
  </si>
  <si>
    <t>A959A8B7</t>
  </si>
  <si>
    <t>B9F9915F</t>
  </si>
  <si>
    <t>+44 7527386102</t>
  </si>
  <si>
    <t>C8F9078E</t>
  </si>
  <si>
    <t>8B53BEB1</t>
  </si>
  <si>
    <t>F77C5936</t>
  </si>
  <si>
    <t>CDA49621</t>
  </si>
  <si>
    <t>E999EE4D</t>
  </si>
  <si>
    <t>74C623C0</t>
  </si>
  <si>
    <t>8CD71EAD</t>
  </si>
  <si>
    <t>459CB3AB</t>
  </si>
  <si>
    <t>1571B110</t>
  </si>
  <si>
    <t>C79929F7</t>
  </si>
  <si>
    <t>0428289D</t>
  </si>
  <si>
    <t>D0DDABC2</t>
  </si>
  <si>
    <t>DE46BBC3</t>
  </si>
  <si>
    <t>791A3E48</t>
  </si>
  <si>
    <t>B5B724D4</t>
  </si>
  <si>
    <t>FD33201C</t>
  </si>
  <si>
    <t>D0FDC0E2</t>
  </si>
  <si>
    <t>26AC619F</t>
  </si>
  <si>
    <t>324CA53D</t>
  </si>
  <si>
    <t>7338A6D4</t>
  </si>
  <si>
    <t>D5280F62</t>
  </si>
  <si>
    <t>1127A092</t>
  </si>
  <si>
    <t>45EAEA25</t>
  </si>
  <si>
    <t>E0AA56C6</t>
  </si>
  <si>
    <t>15B2FEEB</t>
  </si>
  <si>
    <t>46D40403</t>
  </si>
  <si>
    <t>F7C29481</t>
  </si>
  <si>
    <t>BCD2115E</t>
  </si>
  <si>
    <t>C4B843A6</t>
  </si>
  <si>
    <t>6D9F4BF5</t>
  </si>
  <si>
    <t>27AB8ED8</t>
  </si>
  <si>
    <t>5392ED1A</t>
  </si>
  <si>
    <t>+44 7962969946</t>
  </si>
  <si>
    <t>A5E9272B</t>
  </si>
  <si>
    <t>DA2662BD</t>
  </si>
  <si>
    <t>+44 07748783007</t>
  </si>
  <si>
    <t>A15FDCD6</t>
  </si>
  <si>
    <t>880ABC6B</t>
  </si>
  <si>
    <t>81A206EA</t>
  </si>
  <si>
    <t>C8BE9C4E</t>
  </si>
  <si>
    <t>7E600672</t>
  </si>
  <si>
    <t>6B2DECC1</t>
  </si>
  <si>
    <t>2BDDDE1E</t>
  </si>
  <si>
    <t>62E44280</t>
  </si>
  <si>
    <t>CD77C3D1</t>
  </si>
  <si>
    <t>CE7A87C9</t>
  </si>
  <si>
    <t>EFBAA221</t>
  </si>
  <si>
    <t>AA8BBFA8</t>
  </si>
  <si>
    <t>5F17E637</t>
  </si>
  <si>
    <t>A2781577</t>
  </si>
  <si>
    <t>5FBC9C1A</t>
  </si>
  <si>
    <t>69BA402A</t>
  </si>
  <si>
    <t>6016B6D2</t>
  </si>
  <si>
    <t>6F8B1F3F</t>
  </si>
  <si>
    <t>229203DC</t>
  </si>
  <si>
    <t>C5A0AFF9</t>
  </si>
  <si>
    <t>67A69634</t>
  </si>
  <si>
    <t>9FE43FD4</t>
  </si>
  <si>
    <t>5D8D6F47</t>
  </si>
  <si>
    <t>515FF796</t>
  </si>
  <si>
    <t>D16B5535</t>
  </si>
  <si>
    <t>69861B8B</t>
  </si>
  <si>
    <t>+44 7775012704</t>
  </si>
  <si>
    <t>30D28005</t>
  </si>
  <si>
    <t>0FEFCE00</t>
  </si>
  <si>
    <t>E488AA44</t>
  </si>
  <si>
    <t>3E00691F</t>
  </si>
  <si>
    <t>4E9BA4ED</t>
  </si>
  <si>
    <t>13090BEF</t>
  </si>
  <si>
    <t>7F376539</t>
  </si>
  <si>
    <t>1E0A007D</t>
  </si>
  <si>
    <t>25D64F73</t>
  </si>
  <si>
    <t>A7A2D9D7</t>
  </si>
  <si>
    <t>862CB13E</t>
  </si>
  <si>
    <t>BE9F0D4D</t>
  </si>
  <si>
    <t>8EC497CD</t>
  </si>
  <si>
    <t>A2B1E98C</t>
  </si>
  <si>
    <t>BA464EAD</t>
  </si>
  <si>
    <t>5553DB50</t>
  </si>
  <si>
    <t>0629AAB9</t>
  </si>
  <si>
    <t>+44 7786911116</t>
  </si>
  <si>
    <t>94D9DA65</t>
  </si>
  <si>
    <t>F5064A01</t>
  </si>
  <si>
    <t>28FC25F5</t>
  </si>
  <si>
    <t>82EFDEB8</t>
  </si>
  <si>
    <t>D7673C98</t>
  </si>
  <si>
    <t>16137DC1</t>
  </si>
  <si>
    <t>D5E41E3B</t>
  </si>
  <si>
    <t>91CEB6BA</t>
  </si>
  <si>
    <t>D7BFB4CD</t>
  </si>
  <si>
    <t>rescheduled,viewed_online,paid,fasting,online</t>
  </si>
  <si>
    <t>paid,fasting,online,viewed_online</t>
  </si>
  <si>
    <t>rescheduled,paid,fasting,online,viewed_online</t>
  </si>
  <si>
    <t>rescheduled,paid,fasting,online,ecg_uploaded,viewed_online</t>
  </si>
  <si>
    <t>paid,fasting,red,online,ecg_uploaded,viewed_online</t>
  </si>
  <si>
    <t>paid,fasting,online,ecg_uploaded</t>
  </si>
  <si>
    <t>viewed_online,fasting,online,ecg_uploaded</t>
  </si>
  <si>
    <t>viewed_online,paid,phone_call_required,fasting,online</t>
  </si>
  <si>
    <t>rescheduled,paid,fasting,green,online,viewed_online</t>
  </si>
  <si>
    <t>viewed_online,paid,fasting,online</t>
  </si>
  <si>
    <t>rescheduled,paid,fasting,amber,online,viewed_online</t>
  </si>
  <si>
    <t>paid,fasting,green,online,viewed_online</t>
  </si>
  <si>
    <t>paid,fasting</t>
  </si>
  <si>
    <t>paid,fasting,viewed_online</t>
  </si>
  <si>
    <t>rescheduled,paid,fasting,amber,online,ecg_uploaded,viewed_online</t>
  </si>
  <si>
    <t>viewed_online,paid,fasting,amber,online,ecg_uploaded</t>
  </si>
  <si>
    <t>paid,fasting,amber,online,viewed_online</t>
  </si>
  <si>
    <t>rescheduled,paid,fasting,red,online,viewed_online</t>
  </si>
  <si>
    <t>paid,fasting,red,online,viewed_online</t>
  </si>
  <si>
    <t>paid,fasting,green,online,ecg_uploaded,viewed_online</t>
  </si>
  <si>
    <t>rescheduled,viewed_online,paid,fasting,online,ecg_uploaded</t>
  </si>
  <si>
    <t>paid,fasting,green,online,ecg_uploaded</t>
  </si>
  <si>
    <t>viewed_online,paid,fasting,amber,online</t>
  </si>
  <si>
    <t>paid,fasting,amber,online,ecg_uploaded</t>
  </si>
  <si>
    <t>rescheduled,paid,phone_call_required,fasting,online,viewed_online</t>
  </si>
  <si>
    <t>paid,phone_call_required,fasting,amber</t>
  </si>
  <si>
    <t>rescheduled,paid,fasting,red,online,ecg_uploaded,viewed_online</t>
  </si>
  <si>
    <t>paid,phone_call_required,fasting,red,online,viewed_online</t>
  </si>
  <si>
    <t>viewed_online,paid,phone_call_required,fasting,green,online</t>
  </si>
  <si>
    <t>viewed_online,paid,fasting,green,online</t>
  </si>
  <si>
    <t>viewed_online,paid,phone_call_required,fasting,online,ecg_uploaded</t>
  </si>
  <si>
    <t>rescheduled,paid,fasting,green,online,ecg_uploaded,viewed_online</t>
  </si>
  <si>
    <t>rescheduled,viewed_online,paid,fasting,red,online,ecg_uploaded</t>
  </si>
  <si>
    <t>rescheduled,fasting,green,online,ecg_uploaded,viewed_online</t>
  </si>
  <si>
    <t>M01Phone</t>
  </si>
  <si>
    <t>AXAMEMBER</t>
  </si>
  <si>
    <t>M01phone</t>
  </si>
  <si>
    <t>AXAMEMBEROFFER6SQCN9TJJL</t>
  </si>
  <si>
    <t>AXAMEMBEROFFERPAZXSX32ZD</t>
  </si>
  <si>
    <t>AXAMEMBEROFFER46M5LXGEVK</t>
  </si>
  <si>
    <t>AXAMEMBEROFFER</t>
  </si>
  <si>
    <t>AXAMEMBEROFFERJFSB8X49WU</t>
  </si>
  <si>
    <t>AXAMEMBEROFFER3NC95NSVFZ</t>
  </si>
  <si>
    <t>AXAMEMBEROFFEREG74FHXZA3</t>
  </si>
  <si>
    <t>T57</t>
  </si>
  <si>
    <t>AXAMEMBEROFFERP8BBK48NGG</t>
  </si>
  <si>
    <t>AXAONLINEQ4XDGQCBVX</t>
  </si>
  <si>
    <t>AXAMEMBEROFFERLKKADKVE87</t>
  </si>
  <si>
    <t>AXAMEMBEROFFERE68EVXYMT8</t>
  </si>
  <si>
    <t>AXAMEMBEROFFERU8ZXC25FJJ</t>
  </si>
  <si>
    <t>PM3531893</t>
  </si>
  <si>
    <t>AXAMEMBEROFFER6L8F5FPCPQ</t>
  </si>
  <si>
    <t>AXAMEMBEROFFERRPKNVNFELC</t>
  </si>
  <si>
    <t>AXAONLINEWYURQGK4PJ</t>
  </si>
  <si>
    <t>AXAMEMBEROFFERMES3DLWPAA</t>
  </si>
  <si>
    <t>AXAMEMBEROFFERPQRDHRTBZ4</t>
  </si>
  <si>
    <t>AXAONLINEKURB7M3M5U</t>
  </si>
  <si>
    <t>AXAMEMBEROFFERT4MEWKM8SQ</t>
  </si>
  <si>
    <t>AXAMEMBEROFFER4NJJLXDP59</t>
  </si>
  <si>
    <t>AXAMEMBEROFFERZB32XP9TZJ</t>
  </si>
  <si>
    <t>AXAMEMBEROFFER8RV8N5UWL8</t>
  </si>
  <si>
    <t>AXAMEMBEROFFERDK8PG9NZ8Q</t>
  </si>
  <si>
    <t>AXAONLINE2ENXFAAU2E</t>
  </si>
  <si>
    <t>AXAMEMBEROFFERNSG4AH5747</t>
  </si>
  <si>
    <t>AXAMEMBEROFFERZ6KVBJKQ84</t>
  </si>
  <si>
    <t>AXAMEMBEROFFERQSLCMX2HSA</t>
  </si>
  <si>
    <t>AXAONLINEVKCYK6SHN8</t>
  </si>
  <si>
    <t>AXAMEMBEROFFER88SZD5J4Y9</t>
  </si>
  <si>
    <t>AXAMEMBEROFFERF3FSBH2Y6H</t>
  </si>
  <si>
    <t>AXAMEMBEROFFERV7C3EX9XRT</t>
  </si>
  <si>
    <t>AXAMEMBEROFFER5MK8AXLXNJ</t>
  </si>
  <si>
    <t>AXAMEMBEROFFERC9HGXXUY3K</t>
  </si>
  <si>
    <t>AXAMEMBEROFFERURSFW8K9S4</t>
  </si>
  <si>
    <t>AXAMEMBEROFFER8DUCJUDDPF</t>
  </si>
  <si>
    <t>lburburough54@yandex.ru</t>
  </si>
  <si>
    <t>sbauer53@stanford.edu</t>
  </si>
  <si>
    <t>celiez52@usa.gov</t>
  </si>
  <si>
    <t>njaqueme51@ebay.co.uk</t>
  </si>
  <si>
    <t>abrando50@soundcloud.com</t>
  </si>
  <si>
    <t>sgronou4z@arizona.edu</t>
  </si>
  <si>
    <t>cgrimsditch4y@army.mil</t>
  </si>
  <si>
    <t>myegorov4x@vistaprint.com</t>
  </si>
  <si>
    <t>dadamek4w@jimdo.com</t>
  </si>
  <si>
    <t>jharbage4v@japanpost.jp</t>
  </si>
  <si>
    <t>mcoupland4u@is.gd</t>
  </si>
  <si>
    <t>amenci4t@photobucket.com</t>
  </si>
  <si>
    <t>loldaker4s@apple.com</t>
  </si>
  <si>
    <t>gredmain4r@jigsy.com</t>
  </si>
  <si>
    <t>dcotillard4q@over-blog.com</t>
  </si>
  <si>
    <t>dchatten4p@github.com</t>
  </si>
  <si>
    <t>cbettesworth4o@squidoo.com</t>
  </si>
  <si>
    <t>pszymaniak4n@elpais.com</t>
  </si>
  <si>
    <t>hgrewes4m@ning.com</t>
  </si>
  <si>
    <t>cairton4l@ask.com</t>
  </si>
  <si>
    <t>warman4k@japanpost.jp</t>
  </si>
  <si>
    <t>groiz4j@weebly.com</t>
  </si>
  <si>
    <t>lcowell4i@taobao.com</t>
  </si>
  <si>
    <t>cmoggle4h@google.co.jp</t>
  </si>
  <si>
    <t>ojodrelle4g@latimes.com</t>
  </si>
  <si>
    <t>ostollery4f@ihg.com</t>
  </si>
  <si>
    <t>sdavydzenko4e@amazon.de</t>
  </si>
  <si>
    <t>npatching4d@ebay.co.uk</t>
  </si>
  <si>
    <t>estiggles4c@uiuc.edu</t>
  </si>
  <si>
    <t>drogans4b@nydailynews.com</t>
  </si>
  <si>
    <t>bfishlee4a@mlb.com</t>
  </si>
  <si>
    <t>gspaight49@delicious.com</t>
  </si>
  <si>
    <t>fcurnick48@ucoz.com</t>
  </si>
  <si>
    <t>hmcnelly47@bloomberg.com</t>
  </si>
  <si>
    <t>aassel46@intel.com</t>
  </si>
  <si>
    <t>rgorgl45@google.co.jp</t>
  </si>
  <si>
    <t>nrounsefull44@taobao.com</t>
  </si>
  <si>
    <t>rmcphelimey43@nbcnews.com</t>
  </si>
  <si>
    <t>awhall42@howstuffworks.com</t>
  </si>
  <si>
    <t>djaquet41@wikipedia.org</t>
  </si>
  <si>
    <t>fboldry40@tuttocitta.it</t>
  </si>
  <si>
    <t>ahoggetts3z@canalblog.com</t>
  </si>
  <si>
    <t>rvedyasov3y@issuu.com</t>
  </si>
  <si>
    <t>hantoniottii3x@kickstarter.com</t>
  </si>
  <si>
    <t>vhawkslee3w@cocolog-nifty.com</t>
  </si>
  <si>
    <t>syosselevitch3v@stumbleupon.com</t>
  </si>
  <si>
    <t>lbereford3u@aol.com</t>
  </si>
  <si>
    <t>rlanglands3t@github.com</t>
  </si>
  <si>
    <t>skupke3s@linkedin.com</t>
  </si>
  <si>
    <t>nhayesman3r@bloomberg.com</t>
  </si>
  <si>
    <t>svanbrug3q@hao123.com</t>
  </si>
  <si>
    <t>jkerswill3p@addthis.com</t>
  </si>
  <si>
    <t>segglestone3o@sphinn.com</t>
  </si>
  <si>
    <t>prosier3n@sun.com</t>
  </si>
  <si>
    <t>adornan3m@techcrunch.com</t>
  </si>
  <si>
    <t>aferry3l@cnn.com</t>
  </si>
  <si>
    <t>aenrigo3k@europa.eu</t>
  </si>
  <si>
    <t>pbrugsma3j@facebook.com</t>
  </si>
  <si>
    <t>kjendricke3i@wikimedia.org</t>
  </si>
  <si>
    <t>omacpadene3h@simplemachines.org</t>
  </si>
  <si>
    <t>wpiris3g@devhub.com</t>
  </si>
  <si>
    <t>fgrebert3f@go.com</t>
  </si>
  <si>
    <t>ktynan3e@paypal.com</t>
  </si>
  <si>
    <t>gkoles3d@msu.edu</t>
  </si>
  <si>
    <t>gpoundsford3c@plala.or.jp</t>
  </si>
  <si>
    <t>solagen3b@ustream.tv</t>
  </si>
  <si>
    <t>bivermee3a@ox.ac.uk</t>
  </si>
  <si>
    <t>amathiot39@ovh.net</t>
  </si>
  <si>
    <t>dnorcock38@domainmarket.com</t>
  </si>
  <si>
    <t>ashapcote37@mail.ru</t>
  </si>
  <si>
    <t>wcarloni36@eepurl.com</t>
  </si>
  <si>
    <t>bmantrup35@trellian.com</t>
  </si>
  <si>
    <t>bthay34@mac.com</t>
  </si>
  <si>
    <t>ogouck33@hugedomains.com</t>
  </si>
  <si>
    <t>klope32@loc.gov</t>
  </si>
  <si>
    <t>bfiddymont31@abc.net.au</t>
  </si>
  <si>
    <t>tguidera30@about.me</t>
  </si>
  <si>
    <t>gmilesop2z@fda.gov</t>
  </si>
  <si>
    <t>dleades2y@newyorker.com</t>
  </si>
  <si>
    <t>kmartusewicz2x@1und1.de</t>
  </si>
  <si>
    <t>atallowin2w@yahoo.co.jp</t>
  </si>
  <si>
    <t>lgabbot2v@123-reg.co.uk</t>
  </si>
  <si>
    <t>sburgoine2u@nhs.uk</t>
  </si>
  <si>
    <t>tackerman2t@symantec.com</t>
  </si>
  <si>
    <t>aevelyn2s@vistaprint.com</t>
  </si>
  <si>
    <t>gfennelow2r@vistaprint.com</t>
  </si>
  <si>
    <t>wgrowden2q@tripadvisor.com</t>
  </si>
  <si>
    <t>abartot2p@1und1.de</t>
  </si>
  <si>
    <t>astein2o@alexa.com</t>
  </si>
  <si>
    <t>jwinterton2n@stanford.edu</t>
  </si>
  <si>
    <t>jbagshawe2m@economist.com</t>
  </si>
  <si>
    <t>npovall2l@freewebs.com</t>
  </si>
  <si>
    <t>vmeecher2k@mysql.com</t>
  </si>
  <si>
    <t>rcurle2j@about.me</t>
  </si>
  <si>
    <t>lslane2i@surveymonkey.com</t>
  </si>
  <si>
    <t>mradloff2h@wsj.com</t>
  </si>
  <si>
    <t>gscaice2g@google.com</t>
  </si>
  <si>
    <t>ebramont2f@about.com</t>
  </si>
  <si>
    <t>bjorioz2e@sakura.ne.jp</t>
  </si>
  <si>
    <t>aclymo2d@woothemes.com</t>
  </si>
  <si>
    <t>hcorkan2c@wired.com</t>
  </si>
  <si>
    <t>amew2b@delicious.com</t>
  </si>
  <si>
    <t>dspikings2a@google.pl</t>
  </si>
  <si>
    <t>scroisdall29@slashdot.org</t>
  </si>
  <si>
    <t>apittendreigh28@google.pl</t>
  </si>
  <si>
    <t>vdain27@tmall.com</t>
  </si>
  <si>
    <t>sdines26@howstuffworks.com</t>
  </si>
  <si>
    <t>npadmore25@symantec.com</t>
  </si>
  <si>
    <t>ipetrolli24@printfriendly.com</t>
  </si>
  <si>
    <t>swordley23@seesaa.net</t>
  </si>
  <si>
    <t>ksebborn22@ycombinator.com</t>
  </si>
  <si>
    <t>gmontilla21@canalblog.com</t>
  </si>
  <si>
    <t>jtomaello20@chicagotribune.com</t>
  </si>
  <si>
    <t>mremirez1z@fotki.com</t>
  </si>
  <si>
    <t>ghoudmont1y@ustream.tv</t>
  </si>
  <si>
    <t>sabrahmson1x@jiathis.com</t>
  </si>
  <si>
    <t>msavins1w@zimbio.com</t>
  </si>
  <si>
    <t>baxworthy1v@hp.com</t>
  </si>
  <si>
    <t>oogilvie1u@comcast.net</t>
  </si>
  <si>
    <t>hdrydale1t@amazonaws.com</t>
  </si>
  <si>
    <t>ssteuhlmeyer1s@gnu.org</t>
  </si>
  <si>
    <t>hbulmer1r@google.cn</t>
  </si>
  <si>
    <t>phillyatt1q@exblog.jp</t>
  </si>
  <si>
    <t>dcoulling1p@usa.gov</t>
  </si>
  <si>
    <t>gallum1o@seattletimes.com</t>
  </si>
  <si>
    <t>rpoundford1n@mac.com</t>
  </si>
  <si>
    <t>sswanton1m@cmu.edu</t>
  </si>
  <si>
    <t>fwhetnall1l@clickbank.net</t>
  </si>
  <si>
    <t>tcornhill1k@sitemeter.com</t>
  </si>
  <si>
    <t>dtort1j@feedburner.com</t>
  </si>
  <si>
    <t>kallberry1i@hugedomains.com</t>
  </si>
  <si>
    <t>tcasbon1h@unesco.org</t>
  </si>
  <si>
    <t>elarchier1g@4shared.com</t>
  </si>
  <si>
    <t>gbuzzing1f@harvard.edu</t>
  </si>
  <si>
    <t>hpund1e@about.me</t>
  </si>
  <si>
    <t>avigars1d@uol.com.br</t>
  </si>
  <si>
    <t>dgidley1c@ucla.edu</t>
  </si>
  <si>
    <t>bmcavin1b@cdbaby.com</t>
  </si>
  <si>
    <t>hbereford1a@army.mil</t>
  </si>
  <si>
    <t>gsails19@deviantart.com</t>
  </si>
  <si>
    <t>tolczyk18@canalblog.com</t>
  </si>
  <si>
    <t>charly17@comsenz.com</t>
  </si>
  <si>
    <t>bnickerson16@arstechnica.com</t>
  </si>
  <si>
    <t>rtremlett15@gnu.org</t>
  </si>
  <si>
    <t>mdaglish14@prnewswire.com</t>
  </si>
  <si>
    <t>edow13@examiner.com</t>
  </si>
  <si>
    <t>eallcott12@amazon.de</t>
  </si>
  <si>
    <t>cbrumhead11@yelp.com</t>
  </si>
  <si>
    <t>bdarrach10@chronoengine.com</t>
  </si>
  <si>
    <t>rberrimanz@harvard.edu</t>
  </si>
  <si>
    <t>fblaszczynskiy@tamu.edu</t>
  </si>
  <si>
    <t>raizlewoodx@bing.com</t>
  </si>
  <si>
    <t>ssydew@google.es</t>
  </si>
  <si>
    <t>mdemalcharv@admin.ch</t>
  </si>
  <si>
    <t>fjozaitisu@topsy.com</t>
  </si>
  <si>
    <t>ateacyt@g.co</t>
  </si>
  <si>
    <t>rcharnocks@bbc.co.uk</t>
  </si>
  <si>
    <t>fagdahlr@alibaba.com</t>
  </si>
  <si>
    <t>kstogillq@slashdot.org</t>
  </si>
  <si>
    <t>nmckeaneyp@goo.ne.jp</t>
  </si>
  <si>
    <t>fsadliero@github.com</t>
  </si>
  <si>
    <t>lbotwoodn@digg.com</t>
  </si>
  <si>
    <t>kvincem@fema.gov</t>
  </si>
  <si>
    <t>astollenbeckerl@plala.or.jp</t>
  </si>
  <si>
    <t>ksnodink@mediafire.com</t>
  </si>
  <si>
    <t>gberrej@wired.com</t>
  </si>
  <si>
    <t>uswedelandi@sciencedaily.com</t>
  </si>
  <si>
    <t>vstoyleh@typepad.com</t>
  </si>
  <si>
    <t>fsparshuttg@wsj.com</t>
  </si>
  <si>
    <t>fosbanf@surveymonkey.com</t>
  </si>
  <si>
    <t>ajozsikae@youtu.be</t>
  </si>
  <si>
    <t>mmaldend@istockphoto.com</t>
  </si>
  <si>
    <t>mdelayglesiac@eepurl.com</t>
  </si>
  <si>
    <t>dnolletb@hc360.com</t>
  </si>
  <si>
    <t>cdanieluta@cam.ac.uk</t>
  </si>
  <si>
    <t>gspurrett9@ucoz.ru</t>
  </si>
  <si>
    <t>fpoleye8@techcrunch.com</t>
  </si>
  <si>
    <t>hyakunchikov7@google.es</t>
  </si>
  <si>
    <t>switherup6@zimbio.com</t>
  </si>
  <si>
    <t>sbaskerville5@ask.com</t>
  </si>
  <si>
    <t>mtrathen4@howstuffworks.com</t>
  </si>
  <si>
    <t>rfisk3@mashable.com</t>
  </si>
  <si>
    <t>wkynsey2@squidoo.com</t>
  </si>
  <si>
    <t>ctowson1@aboutads.info</t>
  </si>
  <si>
    <t>velsip0@microsoft.com</t>
  </si>
  <si>
    <t>Valentin</t>
  </si>
  <si>
    <t>Elsip</t>
  </si>
  <si>
    <t>80749 Washington Junction</t>
  </si>
  <si>
    <t>Room 1862</t>
  </si>
  <si>
    <t>Carlin</t>
  </si>
  <si>
    <t>Towson</t>
  </si>
  <si>
    <t>2 Rieder Center</t>
  </si>
  <si>
    <t>Apt 153</t>
  </si>
  <si>
    <t>Woodie</t>
  </si>
  <si>
    <t>Kynsey</t>
  </si>
  <si>
    <t>5418 Debra Court</t>
  </si>
  <si>
    <t>PO Box 20094</t>
  </si>
  <si>
    <t>Randal</t>
  </si>
  <si>
    <t>Fisk</t>
  </si>
  <si>
    <t>3 Waxwing Pass</t>
  </si>
  <si>
    <t>Apt 382</t>
  </si>
  <si>
    <t>Marie-ann</t>
  </si>
  <si>
    <t>Trathen</t>
  </si>
  <si>
    <t>73 Vernon Junction</t>
  </si>
  <si>
    <t>Room 1463</t>
  </si>
  <si>
    <t>Siusan</t>
  </si>
  <si>
    <t>Baskerville</t>
  </si>
  <si>
    <t>724 Darwin Junction</t>
  </si>
  <si>
    <t>PO Box 56845</t>
  </si>
  <si>
    <t>Seth</t>
  </si>
  <si>
    <t>Witherup</t>
  </si>
  <si>
    <t>993 Cherokee Junction</t>
  </si>
  <si>
    <t>Room 1765</t>
  </si>
  <si>
    <t>Yakunchikov</t>
  </si>
  <si>
    <t>59 Michigan Hill</t>
  </si>
  <si>
    <t>Apt 219</t>
  </si>
  <si>
    <t>Ferd</t>
  </si>
  <si>
    <t>Poleye</t>
  </si>
  <si>
    <t>0 Melody Road</t>
  </si>
  <si>
    <t>Room 1024</t>
  </si>
  <si>
    <t>Spurrett</t>
  </si>
  <si>
    <t>87662 Express Parkway</t>
  </si>
  <si>
    <t>Apt 608</t>
  </si>
  <si>
    <t>Carlina</t>
  </si>
  <si>
    <t>Danielut</t>
  </si>
  <si>
    <t>18 Larry Trail</t>
  </si>
  <si>
    <t>Suite 70</t>
  </si>
  <si>
    <t>Drew</t>
  </si>
  <si>
    <t>Nollet</t>
  </si>
  <si>
    <t>82103 Kipling Trail</t>
  </si>
  <si>
    <t>Room 278</t>
  </si>
  <si>
    <t>Man</t>
  </si>
  <si>
    <t>De la Yglesia</t>
  </si>
  <si>
    <t>83 Holy Cross Lane</t>
  </si>
  <si>
    <t>PO Box 99290</t>
  </si>
  <si>
    <t>Munmro</t>
  </si>
  <si>
    <t>Malden</t>
  </si>
  <si>
    <t>90 Katie Way</t>
  </si>
  <si>
    <t>Apt 1246</t>
  </si>
  <si>
    <t>Alli</t>
  </si>
  <si>
    <t>Jozsika</t>
  </si>
  <si>
    <t>00 Sachtjen Terrace</t>
  </si>
  <si>
    <t>Apt 116</t>
  </si>
  <si>
    <t>Flossy</t>
  </si>
  <si>
    <t>Osban</t>
  </si>
  <si>
    <t>97648 Forest Dale Parkway</t>
  </si>
  <si>
    <t>Suite 89</t>
  </si>
  <si>
    <t>Felic</t>
  </si>
  <si>
    <t>Sparshutt</t>
  </si>
  <si>
    <t>2 Park Meadow Lane</t>
  </si>
  <si>
    <t>Suite 94</t>
  </si>
  <si>
    <t>Vince</t>
  </si>
  <si>
    <t>Stoyle</t>
  </si>
  <si>
    <t>6 Truax Crossing</t>
  </si>
  <si>
    <t>PO Box 88818</t>
  </si>
  <si>
    <t>Ulrick</t>
  </si>
  <si>
    <t>Swedeland</t>
  </si>
  <si>
    <t>71132 Nobel Road</t>
  </si>
  <si>
    <t>PO Box 84101</t>
  </si>
  <si>
    <t>Georgine</t>
  </si>
  <si>
    <t>Berre</t>
  </si>
  <si>
    <t>26 Fordem Junction</t>
  </si>
  <si>
    <t>1st Floor</t>
  </si>
  <si>
    <t>Kermie</t>
  </si>
  <si>
    <t>Snodin</t>
  </si>
  <si>
    <t>488 Talisman Hill</t>
  </si>
  <si>
    <t>Room 885</t>
  </si>
  <si>
    <t>Arri</t>
  </si>
  <si>
    <t>Stollenbecker</t>
  </si>
  <si>
    <t>511 Melvin Hill</t>
  </si>
  <si>
    <t>Room 1639</t>
  </si>
  <si>
    <t>Kimmie</t>
  </si>
  <si>
    <t>799 Hayes Drive</t>
  </si>
  <si>
    <t>Room 1685</t>
  </si>
  <si>
    <t>Ludovika</t>
  </si>
  <si>
    <t>Botwood</t>
  </si>
  <si>
    <t>8 Westend Alley</t>
  </si>
  <si>
    <t>PO Box 62728</t>
  </si>
  <si>
    <t>Fairleigh</t>
  </si>
  <si>
    <t>Sadlier</t>
  </si>
  <si>
    <t>2 6th Lane</t>
  </si>
  <si>
    <t>14th Floor</t>
  </si>
  <si>
    <t>Nickola</t>
  </si>
  <si>
    <t>McKeaney</t>
  </si>
  <si>
    <t>4 Stephen Alley</t>
  </si>
  <si>
    <t>Apt 1786</t>
  </si>
  <si>
    <t>Stogill</t>
  </si>
  <si>
    <t>871 Coolidge Park</t>
  </si>
  <si>
    <t>Suite 28</t>
  </si>
  <si>
    <t>Fabe</t>
  </si>
  <si>
    <t>Agdahl</t>
  </si>
  <si>
    <t>1749 Jana Point</t>
  </si>
  <si>
    <t>Suite 45</t>
  </si>
  <si>
    <t>Redford</t>
  </si>
  <si>
    <t>Charnock</t>
  </si>
  <si>
    <t>333 Kingsford Alley</t>
  </si>
  <si>
    <t>15th Floor</t>
  </si>
  <si>
    <t>Artemus</t>
  </si>
  <si>
    <t>Teacy</t>
  </si>
  <si>
    <t>363 Ramsey Trail</t>
  </si>
  <si>
    <t>PO Box 48667</t>
  </si>
  <si>
    <t>Ferdinande</t>
  </si>
  <si>
    <t>Jozaitis</t>
  </si>
  <si>
    <t>5 Brown Parkway</t>
  </si>
  <si>
    <t>Suite 68</t>
  </si>
  <si>
    <t>Manuel</t>
  </si>
  <si>
    <t>De Malchar</t>
  </si>
  <si>
    <t>6 Northwestern Place</t>
  </si>
  <si>
    <t>Room 1879</t>
  </si>
  <si>
    <t>Sascha</t>
  </si>
  <si>
    <t>Syde</t>
  </si>
  <si>
    <t>4868 Vidon Park</t>
  </si>
  <si>
    <t>Suite 38</t>
  </si>
  <si>
    <t>6702 Sugar Plaza</t>
  </si>
  <si>
    <t>Room 855</t>
  </si>
  <si>
    <t>Fenelia</t>
  </si>
  <si>
    <t>Blaszczynski</t>
  </si>
  <si>
    <t>015 Hollow Ridge Trail</t>
  </si>
  <si>
    <t>13th Floor</t>
  </si>
  <si>
    <t>Rosalie</t>
  </si>
  <si>
    <t>Berriman</t>
  </si>
  <si>
    <t>06 6th Lane</t>
  </si>
  <si>
    <t>PO Box 75460</t>
  </si>
  <si>
    <t>Brynn</t>
  </si>
  <si>
    <t>Darrach</t>
  </si>
  <si>
    <t>9 Village Place</t>
  </si>
  <si>
    <t>Suite 88</t>
  </si>
  <si>
    <t>Chelsey</t>
  </si>
  <si>
    <t>Brumhead</t>
  </si>
  <si>
    <t>69066 Manufacturers Hill</t>
  </si>
  <si>
    <t>17th Floor</t>
  </si>
  <si>
    <t>Eduino</t>
  </si>
  <si>
    <t>Allcott</t>
  </si>
  <si>
    <t>13 Redwing Court</t>
  </si>
  <si>
    <t>Emile</t>
  </si>
  <si>
    <t>13 Esker Plaza</t>
  </si>
  <si>
    <t>9th Floor</t>
  </si>
  <si>
    <t>Margaux</t>
  </si>
  <si>
    <t>Daglish</t>
  </si>
  <si>
    <t>658 Prentice Place</t>
  </si>
  <si>
    <t>Room 759</t>
  </si>
  <si>
    <t>Randy</t>
  </si>
  <si>
    <t>Tremlett</t>
  </si>
  <si>
    <t>27898 Butterfield Lane</t>
  </si>
  <si>
    <t>PO Box 26710</t>
  </si>
  <si>
    <t>Bernita</t>
  </si>
  <si>
    <t>Nickerson</t>
  </si>
  <si>
    <t>014 Everett Court</t>
  </si>
  <si>
    <t>PO Box 9757</t>
  </si>
  <si>
    <t>Carline</t>
  </si>
  <si>
    <t>Harly</t>
  </si>
  <si>
    <t>1034 Stone Corner Lane</t>
  </si>
  <si>
    <t>Suite 95</t>
  </si>
  <si>
    <t>Tybi</t>
  </si>
  <si>
    <t>Olczyk</t>
  </si>
  <si>
    <t>836 Saint Paul Lane</t>
  </si>
  <si>
    <t>Sails</t>
  </si>
  <si>
    <t>41853 Golden Leaf Crossing</t>
  </si>
  <si>
    <t>Apt 1635</t>
  </si>
  <si>
    <t>Hinda</t>
  </si>
  <si>
    <t>Bereford</t>
  </si>
  <si>
    <t>75 Maywood Alley</t>
  </si>
  <si>
    <t>3rd Floor</t>
  </si>
  <si>
    <t>Berkeley</t>
  </si>
  <si>
    <t>McAvin</t>
  </si>
  <si>
    <t>157 Barnett Parkway</t>
  </si>
  <si>
    <t>Dre</t>
  </si>
  <si>
    <t>Gidley</t>
  </si>
  <si>
    <t>85906 Iowa Road</t>
  </si>
  <si>
    <t>16th Floor</t>
  </si>
  <si>
    <t>Albertina</t>
  </si>
  <si>
    <t>Vigars</t>
  </si>
  <si>
    <t>031 Continental Terrace</t>
  </si>
  <si>
    <t>PO Box 19220</t>
  </si>
  <si>
    <t>Herbie</t>
  </si>
  <si>
    <t>Pund</t>
  </si>
  <si>
    <t>981 Morning Point</t>
  </si>
  <si>
    <t>PO Box 66206</t>
  </si>
  <si>
    <t>Gard</t>
  </si>
  <si>
    <t>Buzzing</t>
  </si>
  <si>
    <t>9 Trailsway Way</t>
  </si>
  <si>
    <t>Ephraim</t>
  </si>
  <si>
    <t>Larchier</t>
  </si>
  <si>
    <t>62 Tony Place</t>
  </si>
  <si>
    <t>Suite 76</t>
  </si>
  <si>
    <t>Thatch</t>
  </si>
  <si>
    <t>Casbon</t>
  </si>
  <si>
    <t>83 Ridgeview Junction</t>
  </si>
  <si>
    <t>PO Box 96685</t>
  </si>
  <si>
    <t>Kaylil</t>
  </si>
  <si>
    <t>Allberry</t>
  </si>
  <si>
    <t>20386 Fairview Crossing</t>
  </si>
  <si>
    <t>PO Box 19206</t>
  </si>
  <si>
    <t>Dorelle</t>
  </si>
  <si>
    <t>Tort</t>
  </si>
  <si>
    <t>12 Express Drive</t>
  </si>
  <si>
    <t>Apt 1633</t>
  </si>
  <si>
    <t>Thurstan</t>
  </si>
  <si>
    <t>cornhill</t>
  </si>
  <si>
    <t>4484 Carey Place</t>
  </si>
  <si>
    <t>PO Box 24122</t>
  </si>
  <si>
    <t>Fancie</t>
  </si>
  <si>
    <t>Whetnall</t>
  </si>
  <si>
    <t>977 Dottie Pass</t>
  </si>
  <si>
    <t>Room 630</t>
  </si>
  <si>
    <t>Sapphira</t>
  </si>
  <si>
    <t>Swanton</t>
  </si>
  <si>
    <t>03685 Schiller Trail</t>
  </si>
  <si>
    <t>PO Box 18349</t>
  </si>
  <si>
    <t>Ringo</t>
  </si>
  <si>
    <t>Poundford</t>
  </si>
  <si>
    <t>09 Thompson Street</t>
  </si>
  <si>
    <t>Suite 33</t>
  </si>
  <si>
    <t>Allum</t>
  </si>
  <si>
    <t>8 Fulton Lane</t>
  </si>
  <si>
    <t>PO Box 13866</t>
  </si>
  <si>
    <t>Dodie</t>
  </si>
  <si>
    <t>Coulling</t>
  </si>
  <si>
    <t>2882 Wayridge Avenue</t>
  </si>
  <si>
    <t>PO Box 36240</t>
  </si>
  <si>
    <t>Parnell</t>
  </si>
  <si>
    <t>Hillyatt</t>
  </si>
  <si>
    <t>0552 Summerview Street</t>
  </si>
  <si>
    <t>4th Floor</t>
  </si>
  <si>
    <t>Bulmer</t>
  </si>
  <si>
    <t>62 Eastwood Junction</t>
  </si>
  <si>
    <t>Apt 1796</t>
  </si>
  <si>
    <t>Sigvard</t>
  </si>
  <si>
    <t>Steuhlmeyer</t>
  </si>
  <si>
    <t>6 Anniversary Point</t>
  </si>
  <si>
    <t>Room 487</t>
  </si>
  <si>
    <t>1425 Butterfield Alley</t>
  </si>
  <si>
    <t>Suite 51</t>
  </si>
  <si>
    <t>Odele</t>
  </si>
  <si>
    <t>Ogilvie</t>
  </si>
  <si>
    <t>63 Tony Road</t>
  </si>
  <si>
    <t>Apt 1628</t>
  </si>
  <si>
    <t>Brittany</t>
  </si>
  <si>
    <t>Axworthy</t>
  </si>
  <si>
    <t>4246 Bayside Lane</t>
  </si>
  <si>
    <t>Apt 1459</t>
  </si>
  <si>
    <t>Mattheus</t>
  </si>
  <si>
    <t>Savins</t>
  </si>
  <si>
    <t>8421 Mcbride Road</t>
  </si>
  <si>
    <t>Room 636</t>
  </si>
  <si>
    <t>Stanly</t>
  </si>
  <si>
    <t>Abrahmson</t>
  </si>
  <si>
    <t>5 Buhler Plaza</t>
  </si>
  <si>
    <t>Giffer</t>
  </si>
  <si>
    <t>Houdmont</t>
  </si>
  <si>
    <t>696 Myrtle Park</t>
  </si>
  <si>
    <t>Myrtle</t>
  </si>
  <si>
    <t>Remirez</t>
  </si>
  <si>
    <t>605 Leroy Avenue</t>
  </si>
  <si>
    <t>Room 979</t>
  </si>
  <si>
    <t>Johnny</t>
  </si>
  <si>
    <t>Tomaello</t>
  </si>
  <si>
    <t>0649 1st Point</t>
  </si>
  <si>
    <t>Gottfried</t>
  </si>
  <si>
    <t>Montilla</t>
  </si>
  <si>
    <t>20615 Hoffman Crossing</t>
  </si>
  <si>
    <t>Room 642</t>
  </si>
  <si>
    <t>Kellyann</t>
  </si>
  <si>
    <t>Sebborn</t>
  </si>
  <si>
    <t>7853 Bluestem Crossing</t>
  </si>
  <si>
    <t>Room 783</t>
  </si>
  <si>
    <t>Sandye</t>
  </si>
  <si>
    <t>Wordley</t>
  </si>
  <si>
    <t>6 Grim Street</t>
  </si>
  <si>
    <t>19th Floor</t>
  </si>
  <si>
    <t>Ira</t>
  </si>
  <si>
    <t>Petrolli</t>
  </si>
  <si>
    <t>40 Wayridge Trail</t>
  </si>
  <si>
    <t>PO Box 67302</t>
  </si>
  <si>
    <t>Padmore</t>
  </si>
  <si>
    <t>09926 West Terrace</t>
  </si>
  <si>
    <t>6th Floor</t>
  </si>
  <si>
    <t>Scarlet</t>
  </si>
  <si>
    <t>Dines</t>
  </si>
  <si>
    <t>75 High Crossing Center</t>
  </si>
  <si>
    <t>Room 1409</t>
  </si>
  <si>
    <t>Vitia</t>
  </si>
  <si>
    <t>Dain</t>
  </si>
  <si>
    <t>6249 Golf Road</t>
  </si>
  <si>
    <t>Audre</t>
  </si>
  <si>
    <t>Pittendreigh</t>
  </si>
  <si>
    <t>24 Declaration Plaza</t>
  </si>
  <si>
    <t>Suite 3</t>
  </si>
  <si>
    <t>Croisdall</t>
  </si>
  <si>
    <t>8 Nancy Park</t>
  </si>
  <si>
    <t>Suite 91</t>
  </si>
  <si>
    <t>Spikings</t>
  </si>
  <si>
    <t>3231 Jenifer Place</t>
  </si>
  <si>
    <t>7th Floor</t>
  </si>
  <si>
    <t>Alisa</t>
  </si>
  <si>
    <t>Mew</t>
  </si>
  <si>
    <t>7 Fieldstone Point</t>
  </si>
  <si>
    <t>Suite 59</t>
  </si>
  <si>
    <t>Harmonie</t>
  </si>
  <si>
    <t>Corkan</t>
  </si>
  <si>
    <t>7345 Mosinee Plaza</t>
  </si>
  <si>
    <t>Suite 32</t>
  </si>
  <si>
    <t>Amalie</t>
  </si>
  <si>
    <t>Clymo</t>
  </si>
  <si>
    <t>24 Bowman Terrace</t>
  </si>
  <si>
    <t>Apt 857</t>
  </si>
  <si>
    <t>Banky</t>
  </si>
  <si>
    <t>Jorioz</t>
  </si>
  <si>
    <t>7860 Miller Hill</t>
  </si>
  <si>
    <t>PO Box 57048</t>
  </si>
  <si>
    <t>Elfrieda</t>
  </si>
  <si>
    <t>Bramont</t>
  </si>
  <si>
    <t>6 Vahlen Trail</t>
  </si>
  <si>
    <t>Apt 821</t>
  </si>
  <si>
    <t>Guntar</t>
  </si>
  <si>
    <t>Scaice</t>
  </si>
  <si>
    <t>290 Pine View Way</t>
  </si>
  <si>
    <t>Room 1490</t>
  </si>
  <si>
    <t>Miner</t>
  </si>
  <si>
    <t>Radloff</t>
  </si>
  <si>
    <t>76 Nobel Pass</t>
  </si>
  <si>
    <t>Suite 5</t>
  </si>
  <si>
    <t>Ludvig</t>
  </si>
  <si>
    <t>Slane</t>
  </si>
  <si>
    <t>3 Mayer Way</t>
  </si>
  <si>
    <t>Apt 380</t>
  </si>
  <si>
    <t>Curle</t>
  </si>
  <si>
    <t>522 Homewood Terrace</t>
  </si>
  <si>
    <t>Apt 489</t>
  </si>
  <si>
    <t>Vanna</t>
  </si>
  <si>
    <t>Meecher</t>
  </si>
  <si>
    <t>38176 Hazelcrest Lane</t>
  </si>
  <si>
    <t>Apt 306</t>
  </si>
  <si>
    <t>Natala</t>
  </si>
  <si>
    <t>Povall</t>
  </si>
  <si>
    <t>06702 Bunker Hill Place</t>
  </si>
  <si>
    <t>Room 1311</t>
  </si>
  <si>
    <t>Jimmie</t>
  </si>
  <si>
    <t>Bagshawe</t>
  </si>
  <si>
    <t>66903 Dwight Circle</t>
  </si>
  <si>
    <t>Suite 85</t>
  </si>
  <si>
    <t>Judd</t>
  </si>
  <si>
    <t>Winterton</t>
  </si>
  <si>
    <t>8007 Elgar Junction</t>
  </si>
  <si>
    <t>5th Floor</t>
  </si>
  <si>
    <t>Stein</t>
  </si>
  <si>
    <t>918 Dakota Place</t>
  </si>
  <si>
    <t>Apt 1248</t>
  </si>
  <si>
    <t>Andros</t>
  </si>
  <si>
    <t>Bartot</t>
  </si>
  <si>
    <t>9 Stone Corner Lane</t>
  </si>
  <si>
    <t>PO Box 73984</t>
  </si>
  <si>
    <t>Wilmer</t>
  </si>
  <si>
    <t>Growden</t>
  </si>
  <si>
    <t>9 Kenwood Park</t>
  </si>
  <si>
    <t>Apt 97</t>
  </si>
  <si>
    <t>Gaspar</t>
  </si>
  <si>
    <t>Fennelow</t>
  </si>
  <si>
    <t>9 Annamark Parkway</t>
  </si>
  <si>
    <t>PO Box 534</t>
  </si>
  <si>
    <t>Ashia</t>
  </si>
  <si>
    <t>Evelyn</t>
  </si>
  <si>
    <t>27177 Lakeland Point</t>
  </si>
  <si>
    <t>Room 1623</t>
  </si>
  <si>
    <t>Thomasina</t>
  </si>
  <si>
    <t>Ackerman</t>
  </si>
  <si>
    <t>545 Grim Circle</t>
  </si>
  <si>
    <t>PO Box 83516</t>
  </si>
  <si>
    <t>Scotti</t>
  </si>
  <si>
    <t>Burgoine</t>
  </si>
  <si>
    <t>2081 Westridge Crossing</t>
  </si>
  <si>
    <t>PO Box 87405</t>
  </si>
  <si>
    <t>Luther</t>
  </si>
  <si>
    <t>Gabbot</t>
  </si>
  <si>
    <t>99084 Burning Wood Avenue</t>
  </si>
  <si>
    <t>Apt 504</t>
  </si>
  <si>
    <t>Asher</t>
  </si>
  <si>
    <t>Tallowin</t>
  </si>
  <si>
    <t>2 Banding Pass</t>
  </si>
  <si>
    <t>Apt 594</t>
  </si>
  <si>
    <t>Kalinda</t>
  </si>
  <si>
    <t>Martusewicz</t>
  </si>
  <si>
    <t>2 Carioca Terrace</t>
  </si>
  <si>
    <t>Suite 4</t>
  </si>
  <si>
    <t>Des</t>
  </si>
  <si>
    <t>Leades</t>
  </si>
  <si>
    <t>748 Hoard Street</t>
  </si>
  <si>
    <t>Gnni</t>
  </si>
  <si>
    <t>Milesop</t>
  </si>
  <si>
    <t>8 Petterle Hill</t>
  </si>
  <si>
    <t>Apt 1480</t>
  </si>
  <si>
    <t>Guidera</t>
  </si>
  <si>
    <t>97848 Tennyson Center</t>
  </si>
  <si>
    <t>Apt 1348</t>
  </si>
  <si>
    <t>Barnebas</t>
  </si>
  <si>
    <t>Fiddymont</t>
  </si>
  <si>
    <t>490 Monica Avenue</t>
  </si>
  <si>
    <t>Karlotte</t>
  </si>
  <si>
    <t>Lope</t>
  </si>
  <si>
    <t>783 Badeau Road</t>
  </si>
  <si>
    <t>Apt 50</t>
  </si>
  <si>
    <t>Octavius</t>
  </si>
  <si>
    <t>Gouck</t>
  </si>
  <si>
    <t>8593 Orin Pass</t>
  </si>
  <si>
    <t>8th Floor</t>
  </si>
  <si>
    <t>Bram</t>
  </si>
  <si>
    <t>Thay</t>
  </si>
  <si>
    <t>9 Dovetail Way</t>
  </si>
  <si>
    <t>Apt 1606</t>
  </si>
  <si>
    <t>Mantrup</t>
  </si>
  <si>
    <t>6867 Fisk Hill</t>
  </si>
  <si>
    <t>Suite 52</t>
  </si>
  <si>
    <t>Woody</t>
  </si>
  <si>
    <t>Carloni</t>
  </si>
  <si>
    <t>697 Mockingbird Drive</t>
  </si>
  <si>
    <t>PO Box 67217</t>
  </si>
  <si>
    <t>Amalita</t>
  </si>
  <si>
    <t>Shapcote</t>
  </si>
  <si>
    <t>37839 Vera Way</t>
  </si>
  <si>
    <t>Dorita</t>
  </si>
  <si>
    <t>Norcock</t>
  </si>
  <si>
    <t>624 Valley Edge Trail</t>
  </si>
  <si>
    <t>Alexei</t>
  </si>
  <si>
    <t>Mathiot</t>
  </si>
  <si>
    <t>07 Prairieview Trail</t>
  </si>
  <si>
    <t>PO Box 8097</t>
  </si>
  <si>
    <t>Ivermee</t>
  </si>
  <si>
    <t>6950 Brentwood Circle</t>
  </si>
  <si>
    <t>Suite 36</t>
  </si>
  <si>
    <t>Samara</t>
  </si>
  <si>
    <t>O'Lagen</t>
  </si>
  <si>
    <t>2340 Becker Trail</t>
  </si>
  <si>
    <t>Apt 1335</t>
  </si>
  <si>
    <t>Gordy</t>
  </si>
  <si>
    <t>Poundsford</t>
  </si>
  <si>
    <t>033 Arkansas Place</t>
  </si>
  <si>
    <t>Room 1521</t>
  </si>
  <si>
    <t>Gretta</t>
  </si>
  <si>
    <t>Koles</t>
  </si>
  <si>
    <t>0041 Elka Park</t>
  </si>
  <si>
    <t>Room 1914</t>
  </si>
  <si>
    <t>Kathi</t>
  </si>
  <si>
    <t>Tynan</t>
  </si>
  <si>
    <t>5788 Manitowish Court</t>
  </si>
  <si>
    <t>Room 1287</t>
  </si>
  <si>
    <t>Felipe</t>
  </si>
  <si>
    <t>Grebert</t>
  </si>
  <si>
    <t>066 Village Green Lane</t>
  </si>
  <si>
    <t>Room 1529</t>
  </si>
  <si>
    <t>Piris</t>
  </si>
  <si>
    <t>013 Nevada Hill</t>
  </si>
  <si>
    <t>Orren</t>
  </si>
  <si>
    <t>MacPadene</t>
  </si>
  <si>
    <t>67362 Anthes Street</t>
  </si>
  <si>
    <t>Room 964</t>
  </si>
  <si>
    <t>Kailey</t>
  </si>
  <si>
    <t>Jendricke</t>
  </si>
  <si>
    <t>411 Corscot Point</t>
  </si>
  <si>
    <t>Suite 35</t>
  </si>
  <si>
    <t>Brugsma</t>
  </si>
  <si>
    <t>28756 Dwight Center</t>
  </si>
  <si>
    <t>Room 1822</t>
  </si>
  <si>
    <t>Aurelea</t>
  </si>
  <si>
    <t>Enrigo</t>
  </si>
  <si>
    <t>44486 Petterle Pass</t>
  </si>
  <si>
    <t>Suite 9</t>
  </si>
  <si>
    <t>Alis</t>
  </si>
  <si>
    <t>Ferry</t>
  </si>
  <si>
    <t>4523 Summerview Point</t>
  </si>
  <si>
    <t>Artie</t>
  </si>
  <si>
    <t>Dornan</t>
  </si>
  <si>
    <t>17 Prairieview Court</t>
  </si>
  <si>
    <t>Penelopa</t>
  </si>
  <si>
    <t>Rosier</t>
  </si>
  <si>
    <t>4002 Norway Maple Parkway</t>
  </si>
  <si>
    <t>PO Box 28745</t>
  </si>
  <si>
    <t>Shaughn</t>
  </si>
  <si>
    <t>Egglestone</t>
  </si>
  <si>
    <t>0357 Florence Alley</t>
  </si>
  <si>
    <t>Room 1578</t>
  </si>
  <si>
    <t>Jaye</t>
  </si>
  <si>
    <t>Kerswill</t>
  </si>
  <si>
    <t>6 Jackson Road</t>
  </si>
  <si>
    <t>Apt 125</t>
  </si>
  <si>
    <t>Sharai</t>
  </si>
  <si>
    <t>Van Brug</t>
  </si>
  <si>
    <t>163 South Avenue</t>
  </si>
  <si>
    <t>PO Box 21245</t>
  </si>
  <si>
    <t>Napoleon</t>
  </si>
  <si>
    <t>Hayesman</t>
  </si>
  <si>
    <t>0900 Columbus Court</t>
  </si>
  <si>
    <t>Silvia</t>
  </si>
  <si>
    <t>Kupke</t>
  </si>
  <si>
    <t>19 Doe Crossing Drive</t>
  </si>
  <si>
    <t>12th Floor</t>
  </si>
  <si>
    <t>Ring</t>
  </si>
  <si>
    <t>Langlands</t>
  </si>
  <si>
    <t>24151 Anzinger Trail</t>
  </si>
  <si>
    <t>PO Box 19597</t>
  </si>
  <si>
    <t>Loni</t>
  </si>
  <si>
    <t>85 Kim Center</t>
  </si>
  <si>
    <t>Room 1901</t>
  </si>
  <si>
    <t>Starlin</t>
  </si>
  <si>
    <t>Yosselevitch</t>
  </si>
  <si>
    <t>1340 Express Plaza</t>
  </si>
  <si>
    <t>Apt 719</t>
  </si>
  <si>
    <t>Verney</t>
  </si>
  <si>
    <t>Hawkslee</t>
  </si>
  <si>
    <t>1677 Basil Plaza</t>
  </si>
  <si>
    <t>PO Box 46958</t>
  </si>
  <si>
    <t>Herschel</t>
  </si>
  <si>
    <t>Antoniottii</t>
  </si>
  <si>
    <t>73497 Jackson Lane</t>
  </si>
  <si>
    <t>Room 1027</t>
  </si>
  <si>
    <t>Raddy</t>
  </si>
  <si>
    <t>Vedyasov</t>
  </si>
  <si>
    <t>865 Eagle Crest Place</t>
  </si>
  <si>
    <t>Suite 22</t>
  </si>
  <si>
    <t>Ardyth</t>
  </si>
  <si>
    <t>Hoggetts</t>
  </si>
  <si>
    <t>284 New Castle Park</t>
  </si>
  <si>
    <t>Fred</t>
  </si>
  <si>
    <t>Boldry</t>
  </si>
  <si>
    <t>0 Pepper Wood Center</t>
  </si>
  <si>
    <t>Apt 1251</t>
  </si>
  <si>
    <t>Jaquet</t>
  </si>
  <si>
    <t>37 Randy Avenue</t>
  </si>
  <si>
    <t>Arthur</t>
  </si>
  <si>
    <t>Whall</t>
  </si>
  <si>
    <t>504 Walton Street</t>
  </si>
  <si>
    <t>PO Box 11244</t>
  </si>
  <si>
    <t>Raychel</t>
  </si>
  <si>
    <t>McPhelimey</t>
  </si>
  <si>
    <t>2520 Twin Pines Hill</t>
  </si>
  <si>
    <t>PO Box 85544</t>
  </si>
  <si>
    <t>Nalani</t>
  </si>
  <si>
    <t>Rounsefull</t>
  </si>
  <si>
    <t>81248 Jay Drive</t>
  </si>
  <si>
    <t>Suite 6</t>
  </si>
  <si>
    <t>Gorgl</t>
  </si>
  <si>
    <t>3 Cardinal Road</t>
  </si>
  <si>
    <t>Room 1377</t>
  </si>
  <si>
    <t>Anastassia</t>
  </si>
  <si>
    <t>Assel</t>
  </si>
  <si>
    <t>78951 Continental Street</t>
  </si>
  <si>
    <t>Hieronymus</t>
  </si>
  <si>
    <t>McNelly</t>
  </si>
  <si>
    <t>47382 Division Point</t>
  </si>
  <si>
    <t>Room 1985</t>
  </si>
  <si>
    <t>Filmore</t>
  </si>
  <si>
    <t>Curnick</t>
  </si>
  <si>
    <t>4 South Crossing</t>
  </si>
  <si>
    <t>Room 439</t>
  </si>
  <si>
    <t>Gale</t>
  </si>
  <si>
    <t>Spaight</t>
  </si>
  <si>
    <t>889 Shasta Drive</t>
  </si>
  <si>
    <t>Apt 418</t>
  </si>
  <si>
    <t>Bethanne</t>
  </si>
  <si>
    <t>Fishlee</t>
  </si>
  <si>
    <t>00901 Steensland Court</t>
  </si>
  <si>
    <t>Apt 825</t>
  </si>
  <si>
    <t>Don</t>
  </si>
  <si>
    <t>Rogans</t>
  </si>
  <si>
    <t>36 Marcy Pass</t>
  </si>
  <si>
    <t>10th Floor</t>
  </si>
  <si>
    <t>Elise</t>
  </si>
  <si>
    <t>Stiggles</t>
  </si>
  <si>
    <t>0 American Avenue</t>
  </si>
  <si>
    <t>Apt 1346</t>
  </si>
  <si>
    <t>Nanice</t>
  </si>
  <si>
    <t>Patching</t>
  </si>
  <si>
    <t>65 Ridgeview Circle</t>
  </si>
  <si>
    <t>Apt 1389</t>
  </si>
  <si>
    <t>Seumas</t>
  </si>
  <si>
    <t>Davydzenko</t>
  </si>
  <si>
    <t>6 Cambridge Park</t>
  </si>
  <si>
    <t>PO Box 13889</t>
  </si>
  <si>
    <t>Opalina</t>
  </si>
  <si>
    <t>Stollery</t>
  </si>
  <si>
    <t>91 Melvin Park</t>
  </si>
  <si>
    <t>Apt 602</t>
  </si>
  <si>
    <t>Osgood</t>
  </si>
  <si>
    <t>Jodrelle</t>
  </si>
  <si>
    <t>985 Ronald Regan Trail</t>
  </si>
  <si>
    <t>Apt 883</t>
  </si>
  <si>
    <t>Cordy</t>
  </si>
  <si>
    <t>Moggle</t>
  </si>
  <si>
    <t>02 Garrison Terrace</t>
  </si>
  <si>
    <t>Leann</t>
  </si>
  <si>
    <t>Cowell</t>
  </si>
  <si>
    <t>3 Gerald Avenue</t>
  </si>
  <si>
    <t>Suite 17</t>
  </si>
  <si>
    <t>Gustaf</t>
  </si>
  <si>
    <t>Roiz</t>
  </si>
  <si>
    <t>007 Northfield Lane</t>
  </si>
  <si>
    <t>Suite 74</t>
  </si>
  <si>
    <t>Wait</t>
  </si>
  <si>
    <t>Arman</t>
  </si>
  <si>
    <t>07 Sunfield Street</t>
  </si>
  <si>
    <t>Room 760</t>
  </si>
  <si>
    <t>Airton</t>
  </si>
  <si>
    <t>71 Union Street</t>
  </si>
  <si>
    <t>Hetti</t>
  </si>
  <si>
    <t>Grewes</t>
  </si>
  <si>
    <t>709 Bonner Way</t>
  </si>
  <si>
    <t>PO Box 43782</t>
  </si>
  <si>
    <t>Pietro</t>
  </si>
  <si>
    <t>3 Prairieview Trail</t>
  </si>
  <si>
    <t>Apt 89</t>
  </si>
  <si>
    <t>Cami</t>
  </si>
  <si>
    <t>Bettesworth</t>
  </si>
  <si>
    <t>9727 Glendale Crossing</t>
  </si>
  <si>
    <t>PO Box 37482</t>
  </si>
  <si>
    <t>Druci</t>
  </si>
  <si>
    <t>Chatten</t>
  </si>
  <si>
    <t>642 Mallory Hill</t>
  </si>
  <si>
    <t>Suite 99</t>
  </si>
  <si>
    <t>Cotillard</t>
  </si>
  <si>
    <t>4168 Lake View Street</t>
  </si>
  <si>
    <t>Apt 534</t>
  </si>
  <si>
    <t>Ginger</t>
  </si>
  <si>
    <t>Redmain</t>
  </si>
  <si>
    <t>1343 Sachs Crossing</t>
  </si>
  <si>
    <t>Suite 43</t>
  </si>
  <si>
    <t>Lesly</t>
  </si>
  <si>
    <t>Oldaker</t>
  </si>
  <si>
    <t>7 Rowland Road</t>
  </si>
  <si>
    <t>PO Box 2165</t>
  </si>
  <si>
    <t>Annadiana</t>
  </si>
  <si>
    <t>Menci</t>
  </si>
  <si>
    <t>70 Anthes Center</t>
  </si>
  <si>
    <t>Room 1789</t>
  </si>
  <si>
    <t>Coupland</t>
  </si>
  <si>
    <t>15076 Forest Junction</t>
  </si>
  <si>
    <t>Apt 685</t>
  </si>
  <si>
    <t>Jilli</t>
  </si>
  <si>
    <t>Harbage</t>
  </si>
  <si>
    <t>7405 Dorton Terrace</t>
  </si>
  <si>
    <t>Della</t>
  </si>
  <si>
    <t>Adamek</t>
  </si>
  <si>
    <t>22305 Declaration Pass</t>
  </si>
  <si>
    <t>Suite 1</t>
  </si>
  <si>
    <t>Maggy</t>
  </si>
  <si>
    <t>Yegorov</t>
  </si>
  <si>
    <t>24850 Vernon Point</t>
  </si>
  <si>
    <t>Room 1738</t>
  </si>
  <si>
    <t>Chelsy</t>
  </si>
  <si>
    <t>Grimsditch</t>
  </si>
  <si>
    <t>42 Thierer Crossing</t>
  </si>
  <si>
    <t>Room 792</t>
  </si>
  <si>
    <t>Gronou</t>
  </si>
  <si>
    <t>09077 6th Hill</t>
  </si>
  <si>
    <t>PO Box 51593</t>
  </si>
  <si>
    <t>Ailene</t>
  </si>
  <si>
    <t>Brando</t>
  </si>
  <si>
    <t>1017 Randy Junction</t>
  </si>
  <si>
    <t>Suite 2</t>
  </si>
  <si>
    <t>Nichole</t>
  </si>
  <si>
    <t>Jaqueme</t>
  </si>
  <si>
    <t>3 Graedel Place</t>
  </si>
  <si>
    <t>Apt 378</t>
  </si>
  <si>
    <t>Eliez</t>
  </si>
  <si>
    <t>72001 Kim Junction</t>
  </si>
  <si>
    <t>Suite 23</t>
  </si>
  <si>
    <t>Silvester</t>
  </si>
  <si>
    <t>Bauer</t>
  </si>
  <si>
    <t>1 Gina Crossing</t>
  </si>
  <si>
    <t>PO Box 16765</t>
  </si>
  <si>
    <t>Lorine</t>
  </si>
  <si>
    <t>Burburough</t>
  </si>
  <si>
    <t>7 Jenna Alley</t>
  </si>
  <si>
    <t>Apt 1615</t>
  </si>
  <si>
    <t>Corporate Or Self Pay</t>
  </si>
  <si>
    <t>axa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</si>
</sst>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6" formatCode="&quot;£&quot;#,##0;[Red]\-&quot;£&quot;#,##0"/>
    <numFmt numFmtId="8" formatCode="&quot;£&quot;#,##0.00;[Red]\-&quot;£&quot;#,##0.00"/>
    <numFmt numFmtId="44" formatCode="_-&quot;£&quot;* #,##0.00_-;\-&quot;£&quot;* #,##0.00_-;_-&quot;£&quot;* &quot;-&quot;??_-;_-@_-"/>
    <numFmt numFmtId="164" formatCode="mmm\-yyyy"/>
    <numFmt numFmtId="165" formatCode="&quot;£&quot;#,##0.00"/>
    <numFmt numFmtId="166" formatCode="dd/mm/yyyy;@"/>
    <numFmt numFmtId="167" formatCode="[$-F800]dddd\,\ mmmm\ dd\,\ yyyy"/>
  </numFmts>
  <fonts count="11" x14ac:knownFonts="1">
    <font>
      <sz val="11"/>
      <name val="Arial"/>
      <family val="1"/>
    </font>
    <font>
      <sz val="11"/>
      <name val="Aptos Display"/>
      <family val="2"/>
      <scheme val="major"/>
    </font>
    <font>
      <sz val="10"/>
      <color theme="1"/>
      <name val="Aptos Narrow"/>
      <family val="2"/>
      <scheme val="minor"/>
    </font>
    <font>
      <sz val="10"/>
      <color theme="1"/>
      <name val="Franklin Gothic Book"/>
      <family val="2"/>
    </font>
    <font>
      <sz val="10"/>
      <name val="Franklin Gothic Book"/>
      <family val="2"/>
    </font>
    <font>
      <sz val="10"/>
      <name val="Aptos Narrow"/>
      <family val="2"/>
      <scheme val="minor"/>
    </font>
    <font>
      <sz val="10"/>
      <name val="Century Gothic"/>
      <family val="2"/>
    </font>
    <font>
      <sz val="10"/>
      <name val="Gill Sans MT"/>
      <family val="2"/>
    </font>
    <font>
      <sz val="10"/>
      <color theme="0"/>
      <name val="Aptos Narrow"/>
      <family val="2"/>
      <scheme val="minor"/>
    </font>
    <font>
      <sz val="8"/>
      <name val="Arial"/>
      <family val="1"/>
    </font>
    <font>
      <sz val="11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0" borderId="0" xfId="0" applyFont="1"/>
    <xf numFmtId="2" fontId="1" fillId="0" borderId="0" xfId="0" applyNumberFormat="1" applyFont="1"/>
    <xf numFmtId="0" fontId="2" fillId="0" borderId="0" xfId="0" applyFont="1" applyAlignment="1">
      <alignment horizontal="left"/>
    </xf>
    <xf numFmtId="164" fontId="2" fillId="0" borderId="0" xfId="0" applyNumberFormat="1" applyFont="1" applyAlignment="1">
      <alignment horizontal="left"/>
    </xf>
    <xf numFmtId="0" fontId="3" fillId="0" borderId="1" xfId="0" applyFont="1" applyBorder="1" applyAlignment="1">
      <alignment horizontal="left"/>
    </xf>
    <xf numFmtId="0" fontId="3" fillId="0" borderId="2" xfId="0" applyFont="1" applyBorder="1" applyAlignment="1">
      <alignment horizontal="left"/>
    </xf>
    <xf numFmtId="165" fontId="4" fillId="0" borderId="2" xfId="0" applyNumberFormat="1" applyFont="1" applyBorder="1" applyAlignment="1">
      <alignment horizontal="left" vertical="top"/>
    </xf>
    <xf numFmtId="164" fontId="3" fillId="0" borderId="3" xfId="0" applyNumberFormat="1" applyFont="1" applyBorder="1" applyAlignment="1">
      <alignment horizontal="left"/>
    </xf>
    <xf numFmtId="0" fontId="3" fillId="0" borderId="4" xfId="0" applyFont="1" applyBorder="1" applyAlignment="1">
      <alignment horizontal="left"/>
    </xf>
    <xf numFmtId="0" fontId="3" fillId="0" borderId="0" xfId="0" applyFont="1" applyAlignment="1">
      <alignment horizontal="left"/>
    </xf>
    <xf numFmtId="165" fontId="4" fillId="0" borderId="0" xfId="0" applyNumberFormat="1" applyFont="1" applyAlignment="1">
      <alignment horizontal="left" vertical="top"/>
    </xf>
    <xf numFmtId="164" fontId="3" fillId="0" borderId="5" xfId="0" applyNumberFormat="1" applyFont="1" applyBorder="1" applyAlignment="1">
      <alignment horizontal="left"/>
    </xf>
    <xf numFmtId="0" fontId="4" fillId="0" borderId="4" xfId="0" applyFont="1" applyBorder="1" applyAlignment="1">
      <alignment horizontal="left" vertical="top"/>
    </xf>
    <xf numFmtId="0" fontId="4" fillId="0" borderId="0" xfId="0" applyFont="1" applyAlignment="1">
      <alignment horizontal="left" vertical="top"/>
    </xf>
    <xf numFmtId="8" fontId="5" fillId="0" borderId="0" xfId="0" applyNumberFormat="1" applyFont="1" applyAlignment="1">
      <alignment horizontal="left"/>
    </xf>
    <xf numFmtId="165" fontId="4" fillId="0" borderId="0" xfId="0" applyNumberFormat="1" applyFont="1" applyAlignment="1">
      <alignment horizontal="center" vertical="top"/>
    </xf>
    <xf numFmtId="165" fontId="6" fillId="0" borderId="0" xfId="0" applyNumberFormat="1" applyFont="1" applyAlignment="1">
      <alignment horizontal="center" vertical="top"/>
    </xf>
    <xf numFmtId="165" fontId="6" fillId="0" borderId="0" xfId="0" applyNumberFormat="1" applyFont="1" applyAlignment="1">
      <alignment horizontal="left" vertical="top"/>
    </xf>
    <xf numFmtId="44" fontId="4" fillId="0" borderId="0" xfId="0" applyNumberFormat="1" applyFont="1" applyAlignment="1">
      <alignment horizontal="center" vertical="top"/>
    </xf>
    <xf numFmtId="44" fontId="4" fillId="0" borderId="0" xfId="0" applyNumberFormat="1" applyFont="1" applyAlignment="1">
      <alignment horizontal="left" vertical="top"/>
    </xf>
    <xf numFmtId="0" fontId="7" fillId="0" borderId="0" xfId="0" applyFont="1" applyAlignment="1">
      <alignment horizontal="left"/>
    </xf>
    <xf numFmtId="165" fontId="4" fillId="0" borderId="6" xfId="0" applyNumberFormat="1" applyFont="1" applyBorder="1" applyAlignment="1">
      <alignment horizontal="left" vertical="top"/>
    </xf>
    <xf numFmtId="165" fontId="6" fillId="0" borderId="7" xfId="0" applyNumberFormat="1" applyFont="1" applyBorder="1" applyAlignment="1">
      <alignment horizontal="center" vertical="top"/>
    </xf>
    <xf numFmtId="165" fontId="6" fillId="0" borderId="6" xfId="0" applyNumberFormat="1" applyFont="1" applyBorder="1" applyAlignment="1">
      <alignment horizontal="left" vertical="top"/>
    </xf>
    <xf numFmtId="165" fontId="6" fillId="0" borderId="6" xfId="0" applyNumberFormat="1" applyFont="1" applyBorder="1" applyAlignment="1">
      <alignment horizontal="center" vertical="top"/>
    </xf>
    <xf numFmtId="0" fontId="4" fillId="0" borderId="8" xfId="0" applyFont="1" applyBorder="1" applyAlignment="1">
      <alignment horizontal="left" vertical="top"/>
    </xf>
    <xf numFmtId="0" fontId="4" fillId="0" borderId="9" xfId="0" applyFont="1" applyBorder="1" applyAlignment="1">
      <alignment horizontal="left" vertical="top"/>
    </xf>
    <xf numFmtId="0" fontId="3" fillId="0" borderId="9" xfId="0" applyFont="1" applyBorder="1" applyAlignment="1">
      <alignment horizontal="left"/>
    </xf>
    <xf numFmtId="165" fontId="4" fillId="0" borderId="9" xfId="0" applyNumberFormat="1" applyFont="1" applyBorder="1" applyAlignment="1">
      <alignment horizontal="left" vertical="top"/>
    </xf>
    <xf numFmtId="164" fontId="3" fillId="0" borderId="10" xfId="0" applyNumberFormat="1" applyFont="1" applyBorder="1" applyAlignment="1">
      <alignment horizontal="left"/>
    </xf>
    <xf numFmtId="0" fontId="8" fillId="0" borderId="0" xfId="0" applyFont="1" applyAlignment="1">
      <alignment horizontal="left"/>
    </xf>
    <xf numFmtId="164" fontId="8" fillId="0" borderId="0" xfId="0" applyNumberFormat="1" applyFont="1" applyAlignment="1">
      <alignment horizontal="left"/>
    </xf>
    <xf numFmtId="166" fontId="1" fillId="0" borderId="0" xfId="0" applyNumberFormat="1" applyFont="1"/>
    <xf numFmtId="1" fontId="1" fillId="0" borderId="0" xfId="0" applyNumberFormat="1" applyFont="1"/>
    <xf numFmtId="167" fontId="1" fillId="0" borderId="0" xfId="0" applyNumberFormat="1" applyFont="1"/>
    <xf numFmtId="14" fontId="0" fillId="0" borderId="0" xfId="0" applyNumberFormat="1"/>
    <xf numFmtId="49" fontId="0" fillId="0" borderId="0" xfId="0" applyNumberFormat="1"/>
    <xf numFmtId="165" fontId="1" fillId="0" borderId="0" xfId="0" applyNumberFormat="1" applyFont="1"/>
    <xf numFmtId="165" fontId="0" fillId="0" borderId="0" xfId="0" applyNumberFormat="1"/>
    <xf numFmtId="6" fontId="3" fillId="0" borderId="0" xfId="0" applyNumberFormat="1" applyFont="1" applyAlignment="1">
      <alignment horizontal="left"/>
    </xf>
    <xf numFmtId="14" fontId="1" fillId="0" borderId="0" xfId="0" applyNumberFormat="1" applyFont="1"/>
    <xf numFmtId="0" fontId="0" fillId="2" borderId="0" xfId="0" applyFill="1"/>
    <xf numFmtId="14" fontId="0" fillId="2" borderId="0" xfId="0" applyNumberFormat="1" applyFill="1"/>
    <xf numFmtId="11" fontId="0" fillId="0" borderId="0" xfId="0" applyNumberFormat="1"/>
    <xf numFmtId="0" fontId="10" fillId="0" borderId="0" xfId="0" applyFont="1" applyAlignment="1">
      <alignment vertical="center"/>
    </xf>
  </cellXfs>
  <cellStyles count="1">
    <cellStyle name="Normal" xfId="0" builtinId="0"/>
  </cellStyles>
  <dxfs count="8">
    <dxf>
      <font>
        <strike val="0"/>
        <outline val="0"/>
        <shadow val="0"/>
        <u val="none"/>
        <vertAlign val="baseline"/>
        <sz val="10"/>
        <name val="Franklin Gothic Book"/>
        <family val="2"/>
        <scheme val="none"/>
      </font>
      <numFmt numFmtId="164" formatCode="mmm\-yyyy"/>
      <alignment horizontal="left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Franklin Gothic Book"/>
        <family val="2"/>
        <scheme val="none"/>
      </font>
      <alignment horizontal="left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Franklin Gothic Book"/>
        <family val="2"/>
        <scheme val="none"/>
      </font>
      <alignment horizontal="left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Franklin Gothic Book"/>
        <family val="2"/>
        <scheme val="none"/>
      </font>
      <alignment horizontal="left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Franklin Gothic Book"/>
        <family val="2"/>
        <scheme val="none"/>
      </font>
      <alignment horizontal="left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0"/>
        <name val="Franklin Gothic Book"/>
        <family val="2"/>
        <scheme val="none"/>
      </font>
      <alignment horizontal="left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Franklin Gothic Book"/>
        <family val="2"/>
        <scheme val="none"/>
      </font>
      <alignment horizontal="left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0"/>
        <name val="Aptos Narrow"/>
        <family val="2"/>
        <scheme val="minor"/>
      </font>
      <alignment horizontal="left" textRotation="0" wrapText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F87C989-2B81-4531-AE16-60065D48E702}" name="tblPrices" displayName="tblPrices" ref="A2:F674" totalsRowShown="0" headerRowDxfId="7" dataDxfId="6">
  <sortState xmlns:xlrd2="http://schemas.microsoft.com/office/spreadsheetml/2017/richdata2" ref="A3:F674">
    <sortCondition ref="A2:A674"/>
  </sortState>
  <tableColumns count="6">
    <tableColumn id="1" xr3:uid="{CDEB8C8E-9619-4E94-A119-C3C5D00DC817}" name="Client Name" dataDxfId="5"/>
    <tableColumn id="6" xr3:uid="{23602DE7-FD15-4571-A7F7-86E18191A117}" name="Client Type" dataDxfId="4"/>
    <tableColumn id="4" xr3:uid="{2DAA9D59-9EB0-4F7A-968E-2E33D5D866D0}" name="Prefix" dataDxfId="3"/>
    <tableColumn id="2" xr3:uid="{14259DB2-EA21-4728-95B7-D1568D1C84C2}" name="Product Code" dataDxfId="2"/>
    <tableColumn id="5" xr3:uid="{D8D45251-DC77-4021-BE26-93802A440491}" name="Price" dataDxfId="1"/>
    <tableColumn id="3" xr3:uid="{4701D129-3284-479B-B48F-F392DBD0D23C}" name="Price Agreement Effective From," dataDxfId="0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8F35D4C-55CB-4ADC-BAE2-F93E45A6A791}" name="postcode" displayName="postcode" ref="A1:B123" totalsRowShown="0">
  <autoFilter ref="A1:B123" xr:uid="{58F35D4C-55CB-4ADC-BAE2-F93E45A6A791}"/>
  <tableColumns count="2">
    <tableColumn id="1" xr3:uid="{90F42CEE-C75E-4324-9151-10F92C5FDA33}" name="Column1"/>
    <tableColumn id="2" xr3:uid="{253454E9-5132-4C17-A594-9CAE164AEE63}" name="Column2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2912"/>
  <sheetViews>
    <sheetView tabSelected="1" showOutlineSymbols="0" showWhiteSpace="0" workbookViewId="0">
      <selection activeCell="N153" sqref="N153"/>
    </sheetView>
  </sheetViews>
  <sheetFormatPr defaultRowHeight="15" x14ac:dyDescent="0.25"/>
  <cols>
    <col min="1" max="1" width="7.125" style="1" customWidth="1"/>
    <col min="2" max="2" width="14.125" style="35" customWidth="1"/>
    <col min="3" max="3" width="14.125" style="41" customWidth="1"/>
    <col min="4" max="4" width="15.25" style="1" customWidth="1"/>
    <col min="5" max="5" width="7.75" style="1" bestFit="1" customWidth="1"/>
    <col min="6" max="6" width="11.875" style="1" bestFit="1" customWidth="1"/>
    <col min="7" max="7" width="15.25" style="1" bestFit="1" customWidth="1"/>
    <col min="8" max="8" width="11.875" style="1" customWidth="1"/>
    <col min="9" max="9" width="14.125" style="1" customWidth="1"/>
    <col min="10" max="10" width="27.25" style="1" customWidth="1"/>
    <col min="11" max="11" width="18.625" style="1" customWidth="1"/>
    <col min="12" max="12" width="11.875" style="1" customWidth="1"/>
    <col min="13" max="14" width="17.375" style="1" customWidth="1"/>
    <col min="15" max="15" width="8.625" style="1" customWidth="1"/>
    <col min="16" max="16" width="35.875" style="33" bestFit="1" customWidth="1"/>
    <col min="17" max="17" width="6.25" style="34" bestFit="1" customWidth="1"/>
    <col min="18" max="18" width="13" style="1" customWidth="1"/>
    <col min="19" max="19" width="16.25" style="1" customWidth="1"/>
    <col min="20" max="20" width="13" style="1" customWidth="1"/>
    <col min="21" max="21" width="15.25" style="1" customWidth="1"/>
    <col min="22" max="22" width="9.75" style="38" customWidth="1"/>
    <col min="23" max="23" width="14.625" style="1" customWidth="1"/>
    <col min="24" max="24" width="57.375" style="1" bestFit="1" customWidth="1"/>
    <col min="25" max="25" width="22.75" style="2" bestFit="1" customWidth="1"/>
    <col min="26" max="26" width="18.5" style="1" bestFit="1" customWidth="1"/>
    <col min="27" max="27" width="19.625" style="1" bestFit="1" customWidth="1"/>
    <col min="28" max="28" width="14.125" style="1" bestFit="1" customWidth="1"/>
    <col min="29" max="29" width="7.5" style="1" bestFit="1" customWidth="1"/>
    <col min="30" max="16384" width="9" style="1"/>
  </cols>
  <sheetData>
    <row r="1" spans="1:31" x14ac:dyDescent="0.25">
      <c r="A1" s="1" t="s">
        <v>0</v>
      </c>
      <c r="B1" s="35" t="s">
        <v>1</v>
      </c>
      <c r="C1" s="4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644</v>
      </c>
      <c r="O1" s="1" t="s">
        <v>13</v>
      </c>
      <c r="P1" s="33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38" t="s">
        <v>20</v>
      </c>
      <c r="W1" s="1" t="s">
        <v>21</v>
      </c>
      <c r="X1" s="1" t="s">
        <v>22</v>
      </c>
      <c r="Y1" s="2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623</v>
      </c>
      <c r="AE1" s="1" t="s">
        <v>1993</v>
      </c>
    </row>
    <row r="2" spans="1:31" ht="16.5" x14ac:dyDescent="0.25">
      <c r="A2" t="s">
        <v>42</v>
      </c>
      <c r="B2" s="36">
        <v>45670</v>
      </c>
      <c r="C2" s="36">
        <v>45660</v>
      </c>
      <c r="D2" t="s">
        <v>28</v>
      </c>
      <c r="E2" t="s">
        <v>29</v>
      </c>
      <c r="F2" t="s">
        <v>1306</v>
      </c>
      <c r="G2" t="s">
        <v>1307</v>
      </c>
      <c r="H2" t="s">
        <v>1308</v>
      </c>
      <c r="I2" t="s">
        <v>1309</v>
      </c>
      <c r="J2"/>
      <c r="K2"/>
      <c r="L2"/>
      <c r="M2" t="s">
        <v>739</v>
      </c>
      <c r="N2" t="s">
        <v>1305</v>
      </c>
      <c r="O2" t="s">
        <v>387</v>
      </c>
      <c r="P2" s="36">
        <v>27157</v>
      </c>
      <c r="Q2" s="45">
        <f>DATEDIF(P2,B2,"Y")</f>
        <v>50</v>
      </c>
      <c r="R2" t="s">
        <v>926</v>
      </c>
      <c r="S2">
        <v>447799822636</v>
      </c>
      <c r="T2" t="s">
        <v>35</v>
      </c>
      <c r="U2"/>
      <c r="V2" s="39" cm="1">
        <f t="array" ref="V2">IFERROR(
    _xlfn.XLOOKUP(1,
        (tblPrices[Prefix]=$AC2)*(tblPrices[Product Code]=$T2),
        tblPrices[Price]
    ),
    0
)
+
IF(ISNUMBER(SEARCH("Mammogram",$U2)),
    IFERROR(_xlfn.XLOOKUP(1,(tblPrices[Prefix]=$AC2)*(tblPrices[Product Code]="Mammogram"),tblPrices[Price]),0),
    0
)
+
IF(ISNUMBER(SEARCH("PSA",$U2)),
    IFERROR(_xlfn.XLOOKUP(1,(tblPrices[Prefix]=$AC2)*(tblPrices[Product Code]="PSA"),tblPrices[Price]),0),
    0
)</f>
        <v>543.38</v>
      </c>
      <c r="W2" t="s">
        <v>629</v>
      </c>
      <c r="X2" t="s">
        <v>1048</v>
      </c>
      <c r="Y2"/>
      <c r="Z2">
        <v>19485502</v>
      </c>
      <c r="AA2" s="1" t="s">
        <v>130</v>
      </c>
      <c r="AB2" s="1" t="str" cm="1">
        <f t="array" ref="AB2" xml:space="preserve"> _xlfn.LET(_xlpm.pc, UPPER(TRIM(M2)), LEFT(_xlpm.pc, MIN(FIND({0,1,2,3,4,5,6,7,8,9}, _xlpm.pc&amp;"0123456789"))-1))</f>
        <v>IG</v>
      </c>
      <c r="AC2" s="1" t="s">
        <v>130</v>
      </c>
      <c r="AD2" s="1" t="str">
        <f>VLOOKUP(AB2, postcode_table!A:B, 2, FALSE)</f>
        <v>Ilford</v>
      </c>
      <c r="AE2" s="1" t="str">
        <f>IFERROR(_xlfn.XLOOKUP(AC2, price_lookup_table!$C:$C, price_lookup_table!$B:$B), "")</f>
        <v>Corporate</v>
      </c>
    </row>
    <row r="3" spans="1:31" ht="16.5" x14ac:dyDescent="0.25">
      <c r="A3" t="s">
        <v>389</v>
      </c>
      <c r="B3" s="36">
        <v>45670</v>
      </c>
      <c r="C3" s="36">
        <v>45666</v>
      </c>
      <c r="D3" t="s">
        <v>28</v>
      </c>
      <c r="E3" t="s">
        <v>29</v>
      </c>
      <c r="F3" t="s">
        <v>1310</v>
      </c>
      <c r="G3" t="s">
        <v>1311</v>
      </c>
      <c r="H3" t="s">
        <v>1312</v>
      </c>
      <c r="I3" t="s">
        <v>1313</v>
      </c>
      <c r="J3"/>
      <c r="K3"/>
      <c r="L3"/>
      <c r="M3" t="s">
        <v>767</v>
      </c>
      <c r="N3" t="s">
        <v>1304</v>
      </c>
      <c r="O3" t="s">
        <v>387</v>
      </c>
      <c r="P3" s="36">
        <v>26347</v>
      </c>
      <c r="Q3" s="45">
        <f>DATEDIF(P3,B3,"Y")</f>
        <v>52</v>
      </c>
      <c r="R3" t="s">
        <v>958</v>
      </c>
      <c r="S3">
        <v>447831777666</v>
      </c>
      <c r="T3" t="s">
        <v>35</v>
      </c>
      <c r="U3"/>
      <c r="V3" s="39" cm="1">
        <f t="array" ref="V3">IFERROR(
    _xlfn.XLOOKUP(1,
        (tblPrices[Prefix]=$AC3)*(tblPrices[Product Code]=$T3),
        tblPrices[Price]
    ),
    0
)
+
IF(ISNUMBER(SEARCH("Mammogram",$U3)),
    IFERROR(_xlfn.XLOOKUP(1,(tblPrices[Prefix]=$AC3)*(tblPrices[Product Code]="Mammogram"),tblPrices[Price]),0),
    0
)
+
IF(ISNUMBER(SEARCH("PSA",$U3)),
    IFERROR(_xlfn.XLOOKUP(1,(tblPrices[Prefix]=$AC3)*(tblPrices[Product Code]="PSA"),tblPrices[Price]),0),
    0
)</f>
        <v>543.38</v>
      </c>
      <c r="W3" t="s">
        <v>629</v>
      </c>
      <c r="X3" t="s">
        <v>1068</v>
      </c>
      <c r="Y3"/>
      <c r="Z3">
        <v>12267863</v>
      </c>
      <c r="AA3" s="1" t="s">
        <v>130</v>
      </c>
      <c r="AB3" s="1" t="str" cm="1">
        <f t="array" ref="AB3" xml:space="preserve"> _xlfn.LET(_xlpm.pc, UPPER(TRIM(M3)), LEFT(_xlpm.pc, MIN(FIND({0,1,2,3,4,5,6,7,8,9}, _xlpm.pc&amp;"0123456789"))-1))</f>
        <v>MK</v>
      </c>
      <c r="AC3" s="1" t="s">
        <v>130</v>
      </c>
      <c r="AD3" s="1" t="str">
        <f>VLOOKUP(AB3, postcode_table!A:B, 2, FALSE)</f>
        <v>Milton Keynes</v>
      </c>
      <c r="AE3" s="1" t="str">
        <f>IFERROR(_xlfn.XLOOKUP(AC3, price_lookup_table!$C:$C, price_lookup_table!$B:$B), "")</f>
        <v>Corporate</v>
      </c>
    </row>
    <row r="4" spans="1:31" ht="16.5" x14ac:dyDescent="0.25">
      <c r="A4" t="s">
        <v>42</v>
      </c>
      <c r="B4" s="36">
        <v>45670</v>
      </c>
      <c r="C4" s="36">
        <v>45660</v>
      </c>
      <c r="D4" t="s">
        <v>28</v>
      </c>
      <c r="E4" t="s">
        <v>29</v>
      </c>
      <c r="F4" t="s">
        <v>1314</v>
      </c>
      <c r="G4" t="s">
        <v>1315</v>
      </c>
      <c r="H4" t="s">
        <v>1316</v>
      </c>
      <c r="I4" t="s">
        <v>1317</v>
      </c>
      <c r="J4"/>
      <c r="K4"/>
      <c r="L4"/>
      <c r="M4" t="s">
        <v>808</v>
      </c>
      <c r="N4" t="s">
        <v>1303</v>
      </c>
      <c r="O4" t="s">
        <v>387</v>
      </c>
      <c r="P4" s="36">
        <v>29270</v>
      </c>
      <c r="Q4" s="45">
        <f t="shared" ref="Q4:Q67" si="0">DATEDIF(P4,B4,"Y")</f>
        <v>44</v>
      </c>
      <c r="R4" t="s">
        <v>1001</v>
      </c>
      <c r="S4">
        <v>447766258553</v>
      </c>
      <c r="T4" t="s">
        <v>35</v>
      </c>
      <c r="U4"/>
      <c r="V4" s="39" cm="1">
        <f t="array" ref="V4">IFERROR(
    _xlfn.XLOOKUP(1,
        (tblPrices[Prefix]=$AC4)*(tblPrices[Product Code]=$T4),
        tblPrices[Price]
    ),
    0
)
+
IF(ISNUMBER(SEARCH("Mammogram",$U4)),
    IFERROR(_xlfn.XLOOKUP(1,(tblPrices[Prefix]=$AC4)*(tblPrices[Product Code]="Mammogram"),tblPrices[Price]),0),
    0
)
+
IF(ISNUMBER(SEARCH("PSA",$U4)),
    IFERROR(_xlfn.XLOOKUP(1,(tblPrices[Prefix]=$AC4)*(tblPrices[Product Code]="PSA"),tblPrices[Price]),0),
    0
)</f>
        <v>543.38</v>
      </c>
      <c r="W4" t="s">
        <v>629</v>
      </c>
      <c r="X4" t="s">
        <v>1048</v>
      </c>
      <c r="Y4"/>
      <c r="Z4">
        <v>22003492</v>
      </c>
      <c r="AA4" s="1" t="s">
        <v>130</v>
      </c>
      <c r="AB4" s="1" t="str" cm="1">
        <f t="array" ref="AB4" xml:space="preserve"> _xlfn.LET(_xlpm.pc, UPPER(TRIM(M4)), LEFT(_xlpm.pc, MIN(FIND({0,1,2,3,4,5,6,7,8,9}, _xlpm.pc&amp;"0123456789"))-1))</f>
        <v>SE</v>
      </c>
      <c r="AC4" s="1" t="s">
        <v>130</v>
      </c>
      <c r="AD4" s="1" t="str">
        <f>VLOOKUP(AB4, postcode_table!A:B, 2, FALSE)</f>
        <v>South East London</v>
      </c>
      <c r="AE4" s="1" t="str">
        <f>IFERROR(_xlfn.XLOOKUP(AC4, price_lookup_table!$C:$C, price_lookup_table!$B:$B), "")</f>
        <v>Corporate</v>
      </c>
    </row>
    <row r="5" spans="1:31" ht="16.5" x14ac:dyDescent="0.25">
      <c r="A5" t="s">
        <v>72</v>
      </c>
      <c r="B5" s="36">
        <v>45671</v>
      </c>
      <c r="C5" s="36">
        <v>45660</v>
      </c>
      <c r="D5" t="s">
        <v>28</v>
      </c>
      <c r="E5" t="s">
        <v>29</v>
      </c>
      <c r="F5" t="s">
        <v>1318</v>
      </c>
      <c r="G5" t="s">
        <v>1319</v>
      </c>
      <c r="H5" t="s">
        <v>1320</v>
      </c>
      <c r="I5" t="s">
        <v>1321</v>
      </c>
      <c r="J5"/>
      <c r="K5"/>
      <c r="L5"/>
      <c r="M5" t="s">
        <v>773</v>
      </c>
      <c r="N5" t="s">
        <v>1302</v>
      </c>
      <c r="O5" t="s">
        <v>388</v>
      </c>
      <c r="P5" s="36">
        <v>27760</v>
      </c>
      <c r="Q5" s="45">
        <f t="shared" si="0"/>
        <v>49</v>
      </c>
      <c r="R5" t="s">
        <v>962</v>
      </c>
      <c r="S5">
        <v>447841131185</v>
      </c>
      <c r="T5" t="s">
        <v>174</v>
      </c>
      <c r="U5"/>
      <c r="V5" s="39" cm="1">
        <f t="array" ref="V5">IFERROR(
    _xlfn.XLOOKUP(1,
        (tblPrices[Prefix]=$AC5)*(tblPrices[Product Code]=$T5),
        tblPrices[Price]
    ),
    0
)
+
IF(ISNUMBER(SEARCH("Mammogram",$U5)),
    IFERROR(_xlfn.XLOOKUP(1,(tblPrices[Prefix]=$AC5)*(tblPrices[Product Code]="Mammogram"),tblPrices[Price]),0),
    0
)
+
IF(ISNUMBER(SEARCH("PSA",$U5)),
    IFERROR(_xlfn.XLOOKUP(1,(tblPrices[Prefix]=$AC5)*(tblPrices[Product Code]="PSA"),tblPrices[Price]),0),
    0
)</f>
        <v>357.38</v>
      </c>
      <c r="W5" t="s">
        <v>629</v>
      </c>
      <c r="X5" t="s">
        <v>1063</v>
      </c>
      <c r="Y5"/>
      <c r="Z5">
        <v>21689026</v>
      </c>
      <c r="AA5" s="1" t="s">
        <v>130</v>
      </c>
      <c r="AB5" s="1" t="str" cm="1">
        <f t="array" ref="AB5" xml:space="preserve"> _xlfn.LET(_xlpm.pc, UPPER(TRIM(M5)), LEFT(_xlpm.pc, MIN(FIND({0,1,2,3,4,5,6,7,8,9}, _xlpm.pc&amp;"0123456789"))-1))</f>
        <v>N</v>
      </c>
      <c r="AC5" s="1" t="s">
        <v>130</v>
      </c>
      <c r="AD5" s="1" t="str">
        <f>VLOOKUP(AB5, postcode_table!A:B, 2, FALSE)</f>
        <v>North London</v>
      </c>
      <c r="AE5" s="1" t="str">
        <f>IFERROR(_xlfn.XLOOKUP(AC5, price_lookup_table!$C:$C, price_lookup_table!$B:$B), "")</f>
        <v>Corporate</v>
      </c>
    </row>
    <row r="6" spans="1:31" ht="16.5" x14ac:dyDescent="0.25">
      <c r="A6" t="s">
        <v>72</v>
      </c>
      <c r="B6" s="36">
        <v>45672</v>
      </c>
      <c r="C6" s="36">
        <v>45665</v>
      </c>
      <c r="D6" t="s">
        <v>28</v>
      </c>
      <c r="E6" t="s">
        <v>29</v>
      </c>
      <c r="F6" t="s">
        <v>1322</v>
      </c>
      <c r="G6" t="s">
        <v>1323</v>
      </c>
      <c r="H6" t="s">
        <v>1324</v>
      </c>
      <c r="I6" t="s">
        <v>1325</v>
      </c>
      <c r="J6"/>
      <c r="K6"/>
      <c r="L6"/>
      <c r="M6" t="s">
        <v>781</v>
      </c>
      <c r="N6" t="s">
        <v>1301</v>
      </c>
      <c r="O6" t="s">
        <v>388</v>
      </c>
      <c r="P6" s="36">
        <v>25543</v>
      </c>
      <c r="Q6" s="45">
        <f t="shared" si="0"/>
        <v>55</v>
      </c>
      <c r="R6" t="s">
        <v>971</v>
      </c>
      <c r="S6">
        <v>447943299012</v>
      </c>
      <c r="T6" t="s">
        <v>35</v>
      </c>
      <c r="U6" t="s">
        <v>628</v>
      </c>
      <c r="V6" s="39" cm="1">
        <f t="array" ref="V6">IFERROR(
    _xlfn.XLOOKUP(1,
        (tblPrices[Prefix]=$AC6)*(tblPrices[Product Code]=$T6),
        tblPrices[Price]
    ),
    0
)
+
IF(ISNUMBER(SEARCH("Mammogram",$U6)),
    IFERROR(_xlfn.XLOOKUP(1,(tblPrices[Prefix]=$AC6)*(tblPrices[Product Code]="Mammogram"),tblPrices[Price]),0),
    0
)
+
IF(ISNUMBER(SEARCH("PSA",$U6)),
    IFERROR(_xlfn.XLOOKUP(1,(tblPrices[Prefix]=$AC6)*(tblPrices[Product Code]="PSA"),tblPrices[Price]),0),
    0
)</f>
        <v>690.38</v>
      </c>
      <c r="W6" t="s">
        <v>629</v>
      </c>
      <c r="X6" t="s">
        <v>1058</v>
      </c>
      <c r="Y6"/>
      <c r="Z6">
        <v>22008182</v>
      </c>
      <c r="AA6" s="1" t="s">
        <v>130</v>
      </c>
      <c r="AB6" s="1" t="str" cm="1">
        <f t="array" ref="AB6" xml:space="preserve"> _xlfn.LET(_xlpm.pc, UPPER(TRIM(M6)), LEFT(_xlpm.pc, MIN(FIND({0,1,2,3,4,5,6,7,8,9}, _xlpm.pc&amp;"0123456789"))-1))</f>
        <v>NW</v>
      </c>
      <c r="AC6" s="1" t="s">
        <v>130</v>
      </c>
      <c r="AD6" s="1" t="str">
        <f>VLOOKUP(AB6, postcode_table!A:B, 2, FALSE)</f>
        <v>North West London</v>
      </c>
      <c r="AE6" s="1" t="str">
        <f>IFERROR(_xlfn.XLOOKUP(AC6, price_lookup_table!$C:$C, price_lookup_table!$B:$B), "")</f>
        <v>Corporate</v>
      </c>
    </row>
    <row r="7" spans="1:31" ht="16.5" x14ac:dyDescent="0.25">
      <c r="A7" t="s">
        <v>645</v>
      </c>
      <c r="B7" s="36">
        <v>45674</v>
      </c>
      <c r="C7" s="36">
        <v>45663</v>
      </c>
      <c r="D7" t="s">
        <v>28</v>
      </c>
      <c r="E7" t="s">
        <v>29</v>
      </c>
      <c r="F7" t="s">
        <v>1326</v>
      </c>
      <c r="G7" t="s">
        <v>1327</v>
      </c>
      <c r="H7" t="s">
        <v>1328</v>
      </c>
      <c r="I7" t="s">
        <v>1329</v>
      </c>
      <c r="J7"/>
      <c r="K7"/>
      <c r="L7"/>
      <c r="M7" t="s">
        <v>677</v>
      </c>
      <c r="N7" t="s">
        <v>1300</v>
      </c>
      <c r="O7" t="s">
        <v>387</v>
      </c>
      <c r="P7" s="36">
        <v>32886</v>
      </c>
      <c r="Q7" s="45">
        <f t="shared" si="0"/>
        <v>35</v>
      </c>
      <c r="R7" t="s">
        <v>869</v>
      </c>
      <c r="S7">
        <v>447826541608</v>
      </c>
      <c r="T7" t="s">
        <v>35</v>
      </c>
      <c r="U7"/>
      <c r="V7" s="39" cm="1">
        <f t="array" ref="V7">IFERROR(
    _xlfn.XLOOKUP(1,
        (tblPrices[Prefix]=$AC7)*(tblPrices[Product Code]=$T7),
        tblPrices[Price]
    ),
    0
)
+
IF(ISNUMBER(SEARCH("Mammogram",$U7)),
    IFERROR(_xlfn.XLOOKUP(1,(tblPrices[Prefix]=$AC7)*(tblPrices[Product Code]="Mammogram"),tblPrices[Price]),0),
    0
)
+
IF(ISNUMBER(SEARCH("PSA",$U7)),
    IFERROR(_xlfn.XLOOKUP(1,(tblPrices[Prefix]=$AC7)*(tblPrices[Product Code]="PSA"),tblPrices[Price]),0),
    0
)</f>
        <v>543.38</v>
      </c>
      <c r="W7" t="s">
        <v>629</v>
      </c>
      <c r="X7" t="s">
        <v>1048</v>
      </c>
      <c r="Y7"/>
      <c r="Z7">
        <v>15859179</v>
      </c>
      <c r="AA7" s="1" t="s">
        <v>130</v>
      </c>
      <c r="AB7" s="1" t="str" cm="1">
        <f t="array" ref="AB7" xml:space="preserve"> _xlfn.LET(_xlpm.pc, UPPER(TRIM(M7)), LEFT(_xlpm.pc, MIN(FIND({0,1,2,3,4,5,6,7,8,9}, _xlpm.pc&amp;"0123456789"))-1))</f>
        <v>AB</v>
      </c>
      <c r="AC7" s="1" t="s">
        <v>130</v>
      </c>
      <c r="AD7" s="1" t="str">
        <f>VLOOKUP(AB7, postcode_table!A:B, 2, FALSE)</f>
        <v>Aberdeen</v>
      </c>
      <c r="AE7" s="1" t="str">
        <f>IFERROR(_xlfn.XLOOKUP(AC7, price_lookup_table!$C:$C, price_lookup_table!$B:$B), "")</f>
        <v>Corporate</v>
      </c>
    </row>
    <row r="8" spans="1:31" ht="16.5" x14ac:dyDescent="0.25">
      <c r="A8" t="s">
        <v>650</v>
      </c>
      <c r="B8" s="36">
        <v>45674</v>
      </c>
      <c r="C8" s="36">
        <v>45663</v>
      </c>
      <c r="D8" t="s">
        <v>28</v>
      </c>
      <c r="E8" t="s">
        <v>29</v>
      </c>
      <c r="F8" t="s">
        <v>1330</v>
      </c>
      <c r="G8" t="s">
        <v>1331</v>
      </c>
      <c r="H8" t="s">
        <v>1332</v>
      </c>
      <c r="I8" t="s">
        <v>1333</v>
      </c>
      <c r="J8"/>
      <c r="K8"/>
      <c r="L8"/>
      <c r="M8" t="s">
        <v>845</v>
      </c>
      <c r="N8" t="s">
        <v>1299</v>
      </c>
      <c r="O8" t="s">
        <v>387</v>
      </c>
      <c r="P8" s="36">
        <v>28631</v>
      </c>
      <c r="Q8" s="45">
        <f t="shared" si="0"/>
        <v>46</v>
      </c>
      <c r="R8" t="s">
        <v>1039</v>
      </c>
      <c r="S8">
        <v>447794842337</v>
      </c>
      <c r="T8" t="s">
        <v>174</v>
      </c>
      <c r="U8" t="s">
        <v>43</v>
      </c>
      <c r="V8" s="39" cm="1">
        <f t="array" ref="V8">IFERROR(
    _xlfn.XLOOKUP(1,
        (tblPrices[Prefix]=$AC8)*(tblPrices[Product Code]=$T8),
        tblPrices[Price]
    ),
    0
)
+
IF(ISNUMBER(SEARCH("Mammogram",$U8)),
    IFERROR(_xlfn.XLOOKUP(1,(tblPrices[Prefix]=$AC8)*(tblPrices[Product Code]="Mammogram"),tblPrices[Price]),0),
    0
)
+
IF(ISNUMBER(SEARCH("PSA",$U8)),
    IFERROR(_xlfn.XLOOKUP(1,(tblPrices[Prefix]=$AC8)*(tblPrices[Product Code]="PSA"),tblPrices[Price]),0),
    0
)</f>
        <v>469.38</v>
      </c>
      <c r="W8" t="s">
        <v>629</v>
      </c>
      <c r="X8" t="s">
        <v>1069</v>
      </c>
      <c r="Y8"/>
      <c r="Z8">
        <v>22005952</v>
      </c>
      <c r="AA8" s="1" t="s">
        <v>130</v>
      </c>
      <c r="AB8" s="1" t="str" cm="1">
        <f t="array" ref="AB8" xml:space="preserve"> _xlfn.LET(_xlpm.pc, UPPER(TRIM(M8)), LEFT(_xlpm.pc, MIN(FIND({0,1,2,3,4,5,6,7,8,9}, _xlpm.pc&amp;"0123456789"))-1))</f>
        <v>W</v>
      </c>
      <c r="AC8" s="1" t="s">
        <v>130</v>
      </c>
      <c r="AD8" s="1" t="str">
        <f>VLOOKUP(AB8, postcode_table!A:B, 2, FALSE)</f>
        <v>West London</v>
      </c>
      <c r="AE8" s="1" t="str">
        <f>IFERROR(_xlfn.XLOOKUP(AC8, price_lookup_table!$C:$C, price_lookup_table!$B:$B), "")</f>
        <v>Corporate</v>
      </c>
    </row>
    <row r="9" spans="1:31" ht="16.5" x14ac:dyDescent="0.25">
      <c r="A9" t="s">
        <v>657</v>
      </c>
      <c r="B9" s="36">
        <v>45674</v>
      </c>
      <c r="C9" s="36">
        <v>45664</v>
      </c>
      <c r="D9" t="s">
        <v>28</v>
      </c>
      <c r="E9" t="s">
        <v>29</v>
      </c>
      <c r="F9" t="s">
        <v>666</v>
      </c>
      <c r="G9" t="s">
        <v>1334</v>
      </c>
      <c r="H9" t="s">
        <v>1335</v>
      </c>
      <c r="I9" t="s">
        <v>1336</v>
      </c>
      <c r="J9"/>
      <c r="K9"/>
      <c r="L9"/>
      <c r="M9" t="s">
        <v>756</v>
      </c>
      <c r="N9" t="s">
        <v>1298</v>
      </c>
      <c r="O9" t="s">
        <v>387</v>
      </c>
      <c r="P9" s="36">
        <v>20340</v>
      </c>
      <c r="Q9" s="45">
        <f t="shared" si="0"/>
        <v>69</v>
      </c>
      <c r="R9" t="s">
        <v>945</v>
      </c>
      <c r="S9">
        <v>447709012401</v>
      </c>
      <c r="T9" t="s">
        <v>35</v>
      </c>
      <c r="U9"/>
      <c r="V9" s="39" cm="1">
        <f t="array" ref="V9">IFERROR(
    _xlfn.XLOOKUP(1,
        (tblPrices[Prefix]=$AC9)*(tblPrices[Product Code]=$T9),
        tblPrices[Price]
    ),
    0
)
+
IF(ISNUMBER(SEARCH("Mammogram",$U9)),
    IFERROR(_xlfn.XLOOKUP(1,(tblPrices[Prefix]=$AC9)*(tblPrices[Product Code]="Mammogram"),tblPrices[Price]),0),
    0
)
+
IF(ISNUMBER(SEARCH("PSA",$U9)),
    IFERROR(_xlfn.XLOOKUP(1,(tblPrices[Prefix]=$AC9)*(tblPrices[Product Code]="PSA"),tblPrices[Price]),0),
    0
)</f>
        <v>543.38</v>
      </c>
      <c r="W9" t="s">
        <v>629</v>
      </c>
      <c r="X9" t="s">
        <v>1063</v>
      </c>
      <c r="Y9"/>
      <c r="Z9">
        <v>22007274</v>
      </c>
      <c r="AA9" s="1" t="s">
        <v>130</v>
      </c>
      <c r="AB9" s="1" t="str" cm="1">
        <f t="array" ref="AB9" xml:space="preserve"> _xlfn.LET(_xlpm.pc, UPPER(TRIM(M9)), LEFT(_xlpm.pc, MIN(FIND({0,1,2,3,4,5,6,7,8,9}, _xlpm.pc&amp;"0123456789"))-1))</f>
        <v>LN</v>
      </c>
      <c r="AC9" s="1" t="s">
        <v>130</v>
      </c>
      <c r="AD9" s="1" t="str">
        <f>VLOOKUP(AB9, postcode_table!A:B, 2, FALSE)</f>
        <v>Lincoln</v>
      </c>
      <c r="AE9" s="1" t="str">
        <f>IFERROR(_xlfn.XLOOKUP(AC9, price_lookup_table!$C:$C, price_lookup_table!$B:$B), "")</f>
        <v>Corporate</v>
      </c>
    </row>
    <row r="10" spans="1:31" ht="16.5" x14ac:dyDescent="0.25">
      <c r="A10" t="s">
        <v>42</v>
      </c>
      <c r="B10" s="36">
        <v>45677</v>
      </c>
      <c r="C10" s="36">
        <v>45660</v>
      </c>
      <c r="D10" t="s">
        <v>28</v>
      </c>
      <c r="E10" t="s">
        <v>29</v>
      </c>
      <c r="F10" t="s">
        <v>1337</v>
      </c>
      <c r="G10" t="s">
        <v>1338</v>
      </c>
      <c r="H10" t="s">
        <v>1339</v>
      </c>
      <c r="I10" t="s">
        <v>1340</v>
      </c>
      <c r="J10"/>
      <c r="K10"/>
      <c r="L10"/>
      <c r="M10" t="s">
        <v>751</v>
      </c>
      <c r="N10" t="s">
        <v>1297</v>
      </c>
      <c r="O10" t="s">
        <v>388</v>
      </c>
      <c r="P10" s="36">
        <v>28703</v>
      </c>
      <c r="Q10" s="45">
        <f t="shared" si="0"/>
        <v>46</v>
      </c>
      <c r="R10" t="s">
        <v>941</v>
      </c>
      <c r="S10">
        <v>447740375131</v>
      </c>
      <c r="T10" t="s">
        <v>35</v>
      </c>
      <c r="U10"/>
      <c r="V10" s="39" cm="1">
        <f t="array" ref="V10">IFERROR(
    _xlfn.XLOOKUP(1,
        (tblPrices[Prefix]=$AC10)*(tblPrices[Product Code]=$T10),
        tblPrices[Price]
    ),
    0
)
+
IF(ISNUMBER(SEARCH("Mammogram",$U10)),
    IFERROR(_xlfn.XLOOKUP(1,(tblPrices[Prefix]=$AC10)*(tblPrices[Product Code]="Mammogram"),tblPrices[Price]),0),
    0
)
+
IF(ISNUMBER(SEARCH("PSA",$U10)),
    IFERROR(_xlfn.XLOOKUP(1,(tblPrices[Prefix]=$AC10)*(tblPrices[Product Code]="PSA"),tblPrices[Price]),0),
    0
)</f>
        <v>543.38</v>
      </c>
      <c r="W10" t="s">
        <v>629</v>
      </c>
      <c r="X10" t="s">
        <v>1056</v>
      </c>
      <c r="Y10"/>
      <c r="Z10">
        <v>22003219</v>
      </c>
      <c r="AA10" s="1" t="s">
        <v>130</v>
      </c>
      <c r="AB10" s="1" t="str" cm="1">
        <f t="array" ref="AB10" xml:space="preserve"> _xlfn.LET(_xlpm.pc, UPPER(TRIM(M10)), LEFT(_xlpm.pc, MIN(FIND({0,1,2,3,4,5,6,7,8,9}, _xlpm.pc&amp;"0123456789"))-1))</f>
        <v>KT</v>
      </c>
      <c r="AC10" s="1" t="s">
        <v>130</v>
      </c>
      <c r="AD10" s="1" t="str">
        <f>VLOOKUP(AB10, postcode_table!A:B, 2, FALSE)</f>
        <v>Kingston upon Thames</v>
      </c>
      <c r="AE10" s="1" t="str">
        <f>IFERROR(_xlfn.XLOOKUP(AC10, price_lookup_table!$C:$C, price_lookup_table!$B:$B), "")</f>
        <v>Corporate</v>
      </c>
    </row>
    <row r="11" spans="1:31" ht="16.5" x14ac:dyDescent="0.25">
      <c r="A11" t="s">
        <v>42</v>
      </c>
      <c r="B11" s="36">
        <v>45677</v>
      </c>
      <c r="C11" s="36">
        <v>45663</v>
      </c>
      <c r="D11" t="s">
        <v>28</v>
      </c>
      <c r="E11" t="s">
        <v>29</v>
      </c>
      <c r="F11" t="s">
        <v>769</v>
      </c>
      <c r="G11" t="s">
        <v>1341</v>
      </c>
      <c r="H11" t="s">
        <v>1342</v>
      </c>
      <c r="I11" t="s">
        <v>1343</v>
      </c>
      <c r="J11"/>
      <c r="K11"/>
      <c r="L11"/>
      <c r="M11" t="s">
        <v>772</v>
      </c>
      <c r="N11" t="s">
        <v>1296</v>
      </c>
      <c r="O11" t="s">
        <v>387</v>
      </c>
      <c r="P11" s="36">
        <v>21925</v>
      </c>
      <c r="Q11" s="45">
        <f t="shared" si="0"/>
        <v>65</v>
      </c>
      <c r="R11" t="s">
        <v>961</v>
      </c>
      <c r="S11">
        <v>447414893831</v>
      </c>
      <c r="T11" t="s">
        <v>35</v>
      </c>
      <c r="U11"/>
      <c r="V11" s="39" cm="1">
        <f t="array" ref="V11">IFERROR(
    _xlfn.XLOOKUP(1,
        (tblPrices[Prefix]=$AC11)*(tblPrices[Product Code]=$T11),
        tblPrices[Price]
    ),
    0
)
+
IF(ISNUMBER(SEARCH("Mammogram",$U11)),
    IFERROR(_xlfn.XLOOKUP(1,(tblPrices[Prefix]=$AC11)*(tblPrices[Product Code]="Mammogram"),tblPrices[Price]),0),
    0
)
+
IF(ISNUMBER(SEARCH("PSA",$U11)),
    IFERROR(_xlfn.XLOOKUP(1,(tblPrices[Prefix]=$AC11)*(tblPrices[Product Code]="PSA"),tblPrices[Price]),0),
    0
)</f>
        <v>543.38</v>
      </c>
      <c r="W11" t="s">
        <v>629</v>
      </c>
      <c r="X11" t="s">
        <v>1048</v>
      </c>
      <c r="Y11"/>
      <c r="Z11">
        <v>22005957</v>
      </c>
      <c r="AA11" s="1" t="s">
        <v>130</v>
      </c>
      <c r="AB11" s="1" t="str" cm="1">
        <f t="array" ref="AB11" xml:space="preserve"> _xlfn.LET(_xlpm.pc, UPPER(TRIM(M11)), LEFT(_xlpm.pc, MIN(FIND({0,1,2,3,4,5,6,7,8,9}, _xlpm.pc&amp;"0123456789"))-1))</f>
        <v>N</v>
      </c>
      <c r="AC11" s="1" t="s">
        <v>130</v>
      </c>
      <c r="AD11" s="1" t="str">
        <f>VLOOKUP(AB11, postcode_table!A:B, 2, FALSE)</f>
        <v>North London</v>
      </c>
      <c r="AE11" s="1" t="str">
        <f>IFERROR(_xlfn.XLOOKUP(AC11, price_lookup_table!$C:$C, price_lookup_table!$B:$B), "")</f>
        <v>Corporate</v>
      </c>
    </row>
    <row r="12" spans="1:31" ht="16.5" x14ac:dyDescent="0.25">
      <c r="A12" t="s">
        <v>651</v>
      </c>
      <c r="B12" s="36">
        <v>45677</v>
      </c>
      <c r="C12" s="36">
        <v>45659</v>
      </c>
      <c r="D12" t="s">
        <v>28</v>
      </c>
      <c r="E12" t="s">
        <v>29</v>
      </c>
      <c r="F12" t="s">
        <v>1344</v>
      </c>
      <c r="G12" t="s">
        <v>1345</v>
      </c>
      <c r="H12" t="s">
        <v>1346</v>
      </c>
      <c r="I12" t="s">
        <v>1347</v>
      </c>
      <c r="J12"/>
      <c r="K12"/>
      <c r="L12"/>
      <c r="M12" t="s">
        <v>738</v>
      </c>
      <c r="N12" t="s">
        <v>1295</v>
      </c>
      <c r="O12" t="s">
        <v>387</v>
      </c>
      <c r="P12" s="36">
        <v>34860</v>
      </c>
      <c r="Q12" s="45">
        <f t="shared" si="0"/>
        <v>29</v>
      </c>
      <c r="R12" t="s">
        <v>925</v>
      </c>
      <c r="S12">
        <v>447787576459</v>
      </c>
      <c r="T12" t="s">
        <v>30</v>
      </c>
      <c r="U12"/>
      <c r="V12" s="39" cm="1">
        <f t="array" ref="V12">IFERROR(
    _xlfn.XLOOKUP(1,
        (tblPrices[Prefix]=$AC12)*(tblPrices[Product Code]=$T12),
        tblPrices[Price]
    ),
    0
)
+
IF(ISNUMBER(SEARCH("Mammogram",$U12)),
    IFERROR(_xlfn.XLOOKUP(1,(tblPrices[Prefix]=$AC12)*(tblPrices[Product Code]="Mammogram"),tblPrices[Price]),0),
    0
)
+
IF(ISNUMBER(SEARCH("PSA",$U12)),
    IFERROR(_xlfn.XLOOKUP(1,(tblPrices[Prefix]=$AC12)*(tblPrices[Product Code]="PSA"),tblPrices[Price]),0),
    0
)</f>
        <v>727.88</v>
      </c>
      <c r="W12" t="s">
        <v>629</v>
      </c>
      <c r="X12" t="s">
        <v>1048</v>
      </c>
      <c r="Y12"/>
      <c r="Z12">
        <v>21517809</v>
      </c>
      <c r="AA12" s="1" t="s">
        <v>130</v>
      </c>
      <c r="AB12" s="1" t="str" cm="1">
        <f t="array" ref="AB12" xml:space="preserve"> _xlfn.LET(_xlpm.pc, UPPER(TRIM(M12)), LEFT(_xlpm.pc, MIN(FIND({0,1,2,3,4,5,6,7,8,9}, _xlpm.pc&amp;"0123456789"))-1))</f>
        <v>HR</v>
      </c>
      <c r="AC12" s="1" t="s">
        <v>130</v>
      </c>
      <c r="AD12" s="1" t="str">
        <f>VLOOKUP(AB12, postcode_table!A:B, 2, FALSE)</f>
        <v>Hereford</v>
      </c>
      <c r="AE12" s="1" t="str">
        <f>IFERROR(_xlfn.XLOOKUP(AC12, price_lookup_table!$C:$C, price_lookup_table!$B:$B), "")</f>
        <v>Corporate</v>
      </c>
    </row>
    <row r="13" spans="1:31" ht="16.5" x14ac:dyDescent="0.25">
      <c r="A13" t="s">
        <v>659</v>
      </c>
      <c r="B13" s="36">
        <v>45678</v>
      </c>
      <c r="C13" s="36">
        <v>45660</v>
      </c>
      <c r="D13" t="s">
        <v>28</v>
      </c>
      <c r="E13" t="s">
        <v>29</v>
      </c>
      <c r="F13" t="s">
        <v>1348</v>
      </c>
      <c r="G13" t="s">
        <v>1349</v>
      </c>
      <c r="H13" t="s">
        <v>1350</v>
      </c>
      <c r="I13" t="s">
        <v>1351</v>
      </c>
      <c r="J13"/>
      <c r="K13"/>
      <c r="L13"/>
      <c r="M13" t="s">
        <v>709</v>
      </c>
      <c r="N13" t="s">
        <v>1294</v>
      </c>
      <c r="O13" t="s">
        <v>388</v>
      </c>
      <c r="P13" s="36">
        <v>34065</v>
      </c>
      <c r="Q13" s="45">
        <f t="shared" si="0"/>
        <v>31</v>
      </c>
      <c r="R13" t="s">
        <v>899</v>
      </c>
      <c r="S13">
        <v>447803127114</v>
      </c>
      <c r="T13" t="s">
        <v>35</v>
      </c>
      <c r="U13"/>
      <c r="V13" s="39" cm="1">
        <f t="array" ref="V13">IFERROR(
    _xlfn.XLOOKUP(1,
        (tblPrices[Prefix]=$AC13)*(tblPrices[Product Code]=$T13),
        tblPrices[Price]
    ),
    0
)
+
IF(ISNUMBER(SEARCH("Mammogram",$U13)),
    IFERROR(_xlfn.XLOOKUP(1,(tblPrices[Prefix]=$AC13)*(tblPrices[Product Code]="Mammogram"),tblPrices[Price]),0),
    0
)
+
IF(ISNUMBER(SEARCH("PSA",$U13)),
    IFERROR(_xlfn.XLOOKUP(1,(tblPrices[Prefix]=$AC13)*(tblPrices[Product Code]="PSA"),tblPrices[Price]),0),
    0
)</f>
        <v>543.38</v>
      </c>
      <c r="W13" t="s">
        <v>629</v>
      </c>
      <c r="X13" t="s">
        <v>1048</v>
      </c>
      <c r="Y13"/>
      <c r="Z13">
        <v>22003689</v>
      </c>
      <c r="AA13" s="1" t="s">
        <v>130</v>
      </c>
      <c r="AB13" s="1" t="str" cm="1">
        <f t="array" ref="AB13" xml:space="preserve"> _xlfn.LET(_xlpm.pc, UPPER(TRIM(M13)), LEFT(_xlpm.pc, MIN(FIND({0,1,2,3,4,5,6,7,8,9}, _xlpm.pc&amp;"0123456789"))-1))</f>
        <v>CO</v>
      </c>
      <c r="AC13" s="1" t="s">
        <v>130</v>
      </c>
      <c r="AD13" s="1" t="str">
        <f>VLOOKUP(AB13, postcode_table!A:B, 2, FALSE)</f>
        <v>Colchester</v>
      </c>
      <c r="AE13" s="1" t="str">
        <f>IFERROR(_xlfn.XLOOKUP(AC13, price_lookup_table!$C:$C, price_lookup_table!$B:$B), "")</f>
        <v>Corporate</v>
      </c>
    </row>
    <row r="14" spans="1:31" ht="16.5" x14ac:dyDescent="0.25">
      <c r="A14" t="s">
        <v>659</v>
      </c>
      <c r="B14" s="36">
        <v>45678</v>
      </c>
      <c r="C14" s="36">
        <v>45660</v>
      </c>
      <c r="D14" t="s">
        <v>28</v>
      </c>
      <c r="E14" t="s">
        <v>29</v>
      </c>
      <c r="F14" t="s">
        <v>1352</v>
      </c>
      <c r="G14" t="s">
        <v>1353</v>
      </c>
      <c r="H14" t="s">
        <v>1354</v>
      </c>
      <c r="I14" t="s">
        <v>1355</v>
      </c>
      <c r="J14"/>
      <c r="K14"/>
      <c r="L14"/>
      <c r="M14" t="s">
        <v>709</v>
      </c>
      <c r="N14" t="s">
        <v>1293</v>
      </c>
      <c r="O14" t="s">
        <v>387</v>
      </c>
      <c r="P14" s="36">
        <v>23477</v>
      </c>
      <c r="Q14" s="45">
        <f t="shared" si="0"/>
        <v>60</v>
      </c>
      <c r="R14" t="s">
        <v>900</v>
      </c>
      <c r="S14">
        <v>447713247692</v>
      </c>
      <c r="T14" t="s">
        <v>35</v>
      </c>
      <c r="U14"/>
      <c r="V14" s="39" cm="1">
        <f t="array" ref="V14">IFERROR(
    _xlfn.XLOOKUP(1,
        (tblPrices[Prefix]=$AC14)*(tblPrices[Product Code]=$T14),
        tblPrices[Price]
    ),
    0
)
+
IF(ISNUMBER(SEARCH("Mammogram",$U14)),
    IFERROR(_xlfn.XLOOKUP(1,(tblPrices[Prefix]=$AC14)*(tblPrices[Product Code]="Mammogram"),tblPrices[Price]),0),
    0
)
+
IF(ISNUMBER(SEARCH("PSA",$U14)),
    IFERROR(_xlfn.XLOOKUP(1,(tblPrices[Prefix]=$AC14)*(tblPrices[Product Code]="PSA"),tblPrices[Price]),0),
    0
)</f>
        <v>543.38</v>
      </c>
      <c r="W14" t="s">
        <v>629</v>
      </c>
      <c r="X14" t="s">
        <v>1048</v>
      </c>
      <c r="Y14"/>
      <c r="Z14">
        <v>22003455</v>
      </c>
      <c r="AA14" s="1" t="s">
        <v>130</v>
      </c>
      <c r="AB14" s="1" t="str" cm="1">
        <f t="array" ref="AB14" xml:space="preserve"> _xlfn.LET(_xlpm.pc, UPPER(TRIM(M14)), LEFT(_xlpm.pc, MIN(FIND({0,1,2,3,4,5,6,7,8,9}, _xlpm.pc&amp;"0123456789"))-1))</f>
        <v>CO</v>
      </c>
      <c r="AC14" s="1" t="s">
        <v>130</v>
      </c>
      <c r="AD14" s="1" t="str">
        <f>VLOOKUP(AB14, postcode_table!A:B, 2, FALSE)</f>
        <v>Colchester</v>
      </c>
      <c r="AE14" s="1" t="str">
        <f>IFERROR(_xlfn.XLOOKUP(AC14, price_lookup_table!$C:$C, price_lookup_table!$B:$B), "")</f>
        <v>Corporate</v>
      </c>
    </row>
    <row r="15" spans="1:31" ht="16.5" x14ac:dyDescent="0.25">
      <c r="A15" t="s">
        <v>651</v>
      </c>
      <c r="B15" s="36">
        <v>45678</v>
      </c>
      <c r="C15" s="36">
        <v>45670</v>
      </c>
      <c r="D15" t="s">
        <v>28</v>
      </c>
      <c r="E15" t="s">
        <v>29</v>
      </c>
      <c r="F15" t="s">
        <v>1356</v>
      </c>
      <c r="G15" t="s">
        <v>1357</v>
      </c>
      <c r="H15" t="s">
        <v>1358</v>
      </c>
      <c r="I15" t="s">
        <v>1359</v>
      </c>
      <c r="J15"/>
      <c r="K15"/>
      <c r="L15"/>
      <c r="M15" t="s">
        <v>722</v>
      </c>
      <c r="N15" t="s">
        <v>1292</v>
      </c>
      <c r="O15" t="s">
        <v>387</v>
      </c>
      <c r="P15" s="36">
        <v>26045</v>
      </c>
      <c r="Q15" s="45">
        <f t="shared" si="0"/>
        <v>53</v>
      </c>
      <c r="R15" t="s">
        <v>910</v>
      </c>
      <c r="S15">
        <v>447880598096</v>
      </c>
      <c r="T15" t="s">
        <v>35</v>
      </c>
      <c r="U15"/>
      <c r="V15" s="39" cm="1">
        <f t="array" ref="V15">IFERROR(
    _xlfn.XLOOKUP(1,
        (tblPrices[Prefix]=$AC15)*(tblPrices[Product Code]=$T15),
        tblPrices[Price]
    ),
    0
)
+
IF(ISNUMBER(SEARCH("Mammogram",$U15)),
    IFERROR(_xlfn.XLOOKUP(1,(tblPrices[Prefix]=$AC15)*(tblPrices[Product Code]="Mammogram"),tblPrices[Price]),0),
    0
)
+
IF(ISNUMBER(SEARCH("PSA",$U15)),
    IFERROR(_xlfn.XLOOKUP(1,(tblPrices[Prefix]=$AC15)*(tblPrices[Product Code]="PSA"),tblPrices[Price]),0),
    0
)</f>
        <v>543.38</v>
      </c>
      <c r="W15" t="s">
        <v>629</v>
      </c>
      <c r="X15" t="s">
        <v>1049</v>
      </c>
      <c r="Y15"/>
      <c r="Z15">
        <v>22007131</v>
      </c>
      <c r="AA15" s="1" t="s">
        <v>130</v>
      </c>
      <c r="AB15" s="1" t="str" cm="1">
        <f t="array" ref="AB15" xml:space="preserve"> _xlfn.LET(_xlpm.pc, UPPER(TRIM(M15)), LEFT(_xlpm.pc, MIN(FIND({0,1,2,3,4,5,6,7,8,9}, _xlpm.pc&amp;"0123456789"))-1))</f>
        <v>GL</v>
      </c>
      <c r="AC15" s="1" t="s">
        <v>130</v>
      </c>
      <c r="AD15" s="1" t="str">
        <f>VLOOKUP(AB15, postcode_table!A:B, 2, FALSE)</f>
        <v>Gloucester</v>
      </c>
      <c r="AE15" s="1" t="str">
        <f>IFERROR(_xlfn.XLOOKUP(AC15, price_lookup_table!$C:$C, price_lookup_table!$B:$B), "")</f>
        <v>Corporate</v>
      </c>
    </row>
    <row r="16" spans="1:31" ht="16.5" x14ac:dyDescent="0.25">
      <c r="A16" t="s">
        <v>34</v>
      </c>
      <c r="B16" s="36">
        <v>45678</v>
      </c>
      <c r="C16" s="36">
        <v>45670</v>
      </c>
      <c r="D16" t="s">
        <v>28</v>
      </c>
      <c r="E16" t="s">
        <v>29</v>
      </c>
      <c r="F16" t="s">
        <v>1360</v>
      </c>
      <c r="G16" t="s">
        <v>1361</v>
      </c>
      <c r="H16" t="s">
        <v>1362</v>
      </c>
      <c r="I16" t="s">
        <v>1363</v>
      </c>
      <c r="J16"/>
      <c r="K16"/>
      <c r="L16"/>
      <c r="M16" t="s">
        <v>723</v>
      </c>
      <c r="N16" t="s">
        <v>1291</v>
      </c>
      <c r="O16" t="s">
        <v>388</v>
      </c>
      <c r="P16" s="36">
        <v>16035</v>
      </c>
      <c r="Q16" s="45">
        <f t="shared" si="0"/>
        <v>81</v>
      </c>
      <c r="R16" t="s">
        <v>911</v>
      </c>
      <c r="S16">
        <v>447523844064</v>
      </c>
      <c r="T16" t="s">
        <v>197</v>
      </c>
      <c r="U16"/>
      <c r="V16" s="39" cm="1">
        <f t="array" ref="V16">IFERROR(
    _xlfn.XLOOKUP(1,
        (tblPrices[Prefix]=$AC16)*(tblPrices[Product Code]=$T16),
        tblPrices[Price]
    ),
    0
)
+
IF(ISNUMBER(SEARCH("Mammogram",$U16)),
    IFERROR(_xlfn.XLOOKUP(1,(tblPrices[Prefix]=$AC16)*(tblPrices[Product Code]="Mammogram"),tblPrices[Price]),0),
    0
)
+
IF(ISNUMBER(SEARCH("PSA",$U16)),
    IFERROR(_xlfn.XLOOKUP(1,(tblPrices[Prefix]=$AC16)*(tblPrices[Product Code]="PSA"),tblPrices[Price]),0),
    0
)</f>
        <v>246</v>
      </c>
      <c r="W16" t="s">
        <v>629</v>
      </c>
      <c r="X16" t="s">
        <v>641</v>
      </c>
      <c r="Y16"/>
      <c r="Z16">
        <v>22014220</v>
      </c>
      <c r="AA16" t="s">
        <v>1081</v>
      </c>
      <c r="AB16" s="1" t="str" cm="1">
        <f t="array" ref="AB16" xml:space="preserve"> _xlfn.LET(_xlpm.pc, UPPER(TRIM(M16)), LEFT(_xlpm.pc, MIN(FIND({0,1,2,3,4,5,6,7,8,9}, _xlpm.pc&amp;"0123456789"))-1))</f>
        <v>GU</v>
      </c>
      <c r="AC16" s="1" t="str">
        <f t="shared" ref="AC16:AC65" si="1">LEFT(AA16, 3)</f>
        <v>M01</v>
      </c>
      <c r="AD16" s="1" t="str">
        <f>VLOOKUP(AB16, postcode_table!A:B, 2, FALSE)</f>
        <v>Guildford</v>
      </c>
      <c r="AE16" s="1" t="str">
        <f>IFERROR(_xlfn.XLOOKUP(AC16, price_lookup_table!$C:$C, price_lookup_table!$B:$B), "")</f>
        <v>Self Pay</v>
      </c>
    </row>
    <row r="17" spans="1:31" ht="16.5" x14ac:dyDescent="0.25">
      <c r="A17" t="s">
        <v>57</v>
      </c>
      <c r="B17" s="36">
        <v>45678</v>
      </c>
      <c r="C17" s="36">
        <v>45670</v>
      </c>
      <c r="D17" t="s">
        <v>28</v>
      </c>
      <c r="E17" t="s">
        <v>29</v>
      </c>
      <c r="F17" t="s">
        <v>1364</v>
      </c>
      <c r="G17" t="s">
        <v>1365</v>
      </c>
      <c r="H17" t="s">
        <v>1366</v>
      </c>
      <c r="I17" t="s">
        <v>1367</v>
      </c>
      <c r="J17"/>
      <c r="K17"/>
      <c r="L17"/>
      <c r="M17" t="s">
        <v>758</v>
      </c>
      <c r="N17" t="s">
        <v>1290</v>
      </c>
      <c r="O17" t="s">
        <v>387</v>
      </c>
      <c r="P17" s="36">
        <v>27129</v>
      </c>
      <c r="Q17" s="45">
        <f t="shared" si="0"/>
        <v>50</v>
      </c>
      <c r="R17" t="s">
        <v>947</v>
      </c>
      <c r="S17">
        <v>447920884410</v>
      </c>
      <c r="T17" t="s">
        <v>197</v>
      </c>
      <c r="U17"/>
      <c r="V17" s="39" cm="1">
        <f t="array" ref="V17">IFERROR(
    _xlfn.XLOOKUP(1,
        (tblPrices[Prefix]=$AC17)*(tblPrices[Product Code]=$T17),
        tblPrices[Price]
    ),
    0
)
+
IF(ISNUMBER(SEARCH("Mammogram",$U17)),
    IFERROR(_xlfn.XLOOKUP(1,(tblPrices[Prefix]=$AC17)*(tblPrices[Product Code]="Mammogram"),tblPrices[Price]),0),
    0
)
+
IF(ISNUMBER(SEARCH("PSA",$U17)),
    IFERROR(_xlfn.XLOOKUP(1,(tblPrices[Prefix]=$AC17)*(tblPrices[Product Code]="PSA"),tblPrices[Price]),0),
    0
)</f>
        <v>246</v>
      </c>
      <c r="W17" t="s">
        <v>629</v>
      </c>
      <c r="X17" t="s">
        <v>1049</v>
      </c>
      <c r="Y17"/>
      <c r="Z17">
        <v>22008655</v>
      </c>
      <c r="AA17" t="s">
        <v>1081</v>
      </c>
      <c r="AB17" s="1" t="str" cm="1">
        <f t="array" ref="AB17" xml:space="preserve"> _xlfn.LET(_xlpm.pc, UPPER(TRIM(M17)), LEFT(_xlpm.pc, MIN(FIND({0,1,2,3,4,5,6,7,8,9}, _xlpm.pc&amp;"0123456789"))-1))</f>
        <v>M</v>
      </c>
      <c r="AC17" s="1" t="str">
        <f t="shared" si="1"/>
        <v>M01</v>
      </c>
      <c r="AD17" s="1" t="str">
        <f>VLOOKUP(AB17, postcode_table!A:B, 2, FALSE)</f>
        <v>Manchester</v>
      </c>
      <c r="AE17" s="1" t="str">
        <f>IFERROR(_xlfn.XLOOKUP(AC17, price_lookup_table!$C:$C, price_lookup_table!$B:$B), "")</f>
        <v>Self Pay</v>
      </c>
    </row>
    <row r="18" spans="1:31" ht="16.5" x14ac:dyDescent="0.25">
      <c r="A18" t="s">
        <v>42</v>
      </c>
      <c r="B18" s="36">
        <v>45679</v>
      </c>
      <c r="C18" s="36">
        <v>45660</v>
      </c>
      <c r="D18" t="s">
        <v>28</v>
      </c>
      <c r="E18" t="s">
        <v>29</v>
      </c>
      <c r="F18" t="s">
        <v>1368</v>
      </c>
      <c r="G18" t="s">
        <v>1369</v>
      </c>
      <c r="H18" t="s">
        <v>1370</v>
      </c>
      <c r="I18" t="s">
        <v>1371</v>
      </c>
      <c r="J18"/>
      <c r="K18"/>
      <c r="L18"/>
      <c r="M18" t="s">
        <v>716</v>
      </c>
      <c r="N18" t="s">
        <v>1289</v>
      </c>
      <c r="O18" t="s">
        <v>387</v>
      </c>
      <c r="P18" s="36">
        <v>35387</v>
      </c>
      <c r="Q18" s="45">
        <f t="shared" si="0"/>
        <v>28</v>
      </c>
      <c r="R18" t="s">
        <v>905</v>
      </c>
      <c r="S18">
        <v>447798893954</v>
      </c>
      <c r="T18" t="s">
        <v>35</v>
      </c>
      <c r="U18"/>
      <c r="V18" s="39" cm="1">
        <f t="array" ref="V18">IFERROR(
    _xlfn.XLOOKUP(1,
        (tblPrices[Prefix]=$AC18)*(tblPrices[Product Code]=$T18),
        tblPrices[Price]
    ),
    0
)
+
IF(ISNUMBER(SEARCH("Mammogram",$U18)),
    IFERROR(_xlfn.XLOOKUP(1,(tblPrices[Prefix]=$AC18)*(tblPrices[Product Code]="Mammogram"),tblPrices[Price]),0),
    0
)
+
IF(ISNUMBER(SEARCH("PSA",$U18)),
    IFERROR(_xlfn.XLOOKUP(1,(tblPrices[Prefix]=$AC18)*(tblPrices[Product Code]="PSA"),tblPrices[Price]),0),
    0
)</f>
        <v>543</v>
      </c>
      <c r="W18" t="s">
        <v>629</v>
      </c>
      <c r="X18" t="s">
        <v>1048</v>
      </c>
      <c r="Y18"/>
      <c r="Z18">
        <v>22002551</v>
      </c>
      <c r="AA18" t="s">
        <v>1082</v>
      </c>
      <c r="AB18" s="1" t="str" cm="1">
        <f t="array" ref="AB18" xml:space="preserve"> _xlfn.LET(_xlpm.pc, UPPER(TRIM(M18)), LEFT(_xlpm.pc, MIN(FIND({0,1,2,3,4,5,6,7,8,9}, _xlpm.pc&amp;"0123456789"))-1))</f>
        <v>E</v>
      </c>
      <c r="AC18" s="1" t="str">
        <f t="shared" si="1"/>
        <v>AXA</v>
      </c>
      <c r="AD18" s="1" t="str">
        <f>VLOOKUP(AB18, postcode_table!A:B, 2, FALSE)</f>
        <v>East London</v>
      </c>
      <c r="AE18" s="1" t="str">
        <f>IFERROR(_xlfn.XLOOKUP(AC18, price_lookup_table!$C:$C, price_lookup_table!$B:$B), "")</f>
        <v>Self Pay</v>
      </c>
    </row>
    <row r="19" spans="1:31" ht="16.5" x14ac:dyDescent="0.25">
      <c r="A19" t="s">
        <v>42</v>
      </c>
      <c r="B19" s="36">
        <v>45679</v>
      </c>
      <c r="C19" s="36">
        <v>45667</v>
      </c>
      <c r="D19" t="s">
        <v>28</v>
      </c>
      <c r="E19" t="s">
        <v>29</v>
      </c>
      <c r="F19" t="s">
        <v>1372</v>
      </c>
      <c r="G19" t="s">
        <v>1373</v>
      </c>
      <c r="H19" t="s">
        <v>1374</v>
      </c>
      <c r="I19" t="s">
        <v>1375</v>
      </c>
      <c r="J19"/>
      <c r="K19"/>
      <c r="L19"/>
      <c r="M19" t="s">
        <v>804</v>
      </c>
      <c r="N19" t="s">
        <v>1288</v>
      </c>
      <c r="O19" t="s">
        <v>387</v>
      </c>
      <c r="P19" s="36">
        <v>27524</v>
      </c>
      <c r="Q19" s="45">
        <f t="shared" si="0"/>
        <v>49</v>
      </c>
      <c r="R19" s="44" t="s">
        <v>997</v>
      </c>
      <c r="S19">
        <v>447826855190</v>
      </c>
      <c r="T19" t="s">
        <v>35</v>
      </c>
      <c r="U19"/>
      <c r="V19" s="39" cm="1">
        <f t="array" ref="V19">IFERROR(
    _xlfn.XLOOKUP(1,
        (tblPrices[Prefix]=$AC19)*(tblPrices[Product Code]=$T19),
        tblPrices[Price]
    ),
    0
)
+
IF(ISNUMBER(SEARCH("Mammogram",$U19)),
    IFERROR(_xlfn.XLOOKUP(1,(tblPrices[Prefix]=$AC19)*(tblPrices[Product Code]="Mammogram"),tblPrices[Price]),0),
    0
)
+
IF(ISNUMBER(SEARCH("PSA",$U19)),
    IFERROR(_xlfn.XLOOKUP(1,(tblPrices[Prefix]=$AC19)*(tblPrices[Product Code]="PSA"),tblPrices[Price]),0),
    0
)</f>
        <v>543</v>
      </c>
      <c r="W19" t="s">
        <v>629</v>
      </c>
      <c r="X19" t="s">
        <v>1049</v>
      </c>
      <c r="Y19"/>
      <c r="Z19">
        <v>21159036</v>
      </c>
      <c r="AA19" s="44" t="s">
        <v>1082</v>
      </c>
      <c r="AB19" s="1" t="str" cm="1">
        <f t="array" ref="AB19" xml:space="preserve"> _xlfn.LET(_xlpm.pc, UPPER(TRIM(M19)), LEFT(_xlpm.pc, MIN(FIND({0,1,2,3,4,5,6,7,8,9}, _xlpm.pc&amp;"0123456789"))-1))</f>
        <v>SE</v>
      </c>
      <c r="AC19" s="1" t="str">
        <f t="shared" si="1"/>
        <v>AXA</v>
      </c>
      <c r="AD19" s="1" t="str">
        <f>VLOOKUP(AB19, postcode_table!A:B, 2, FALSE)</f>
        <v>South East London</v>
      </c>
      <c r="AE19" s="1" t="str">
        <f>IFERROR(_xlfn.XLOOKUP(AC19, price_lookup_table!$C:$C, price_lookup_table!$B:$B), "")</f>
        <v>Self Pay</v>
      </c>
    </row>
    <row r="20" spans="1:31" ht="16.5" x14ac:dyDescent="0.25">
      <c r="A20" t="s">
        <v>650</v>
      </c>
      <c r="B20" s="36">
        <v>45679</v>
      </c>
      <c r="C20" s="36">
        <v>45659</v>
      </c>
      <c r="D20" t="s">
        <v>28</v>
      </c>
      <c r="E20" t="s">
        <v>29</v>
      </c>
      <c r="F20" t="s">
        <v>1376</v>
      </c>
      <c r="G20" t="s">
        <v>1377</v>
      </c>
      <c r="H20" t="s">
        <v>1378</v>
      </c>
      <c r="I20" t="s">
        <v>1379</v>
      </c>
      <c r="J20"/>
      <c r="K20"/>
      <c r="L20"/>
      <c r="M20" t="s">
        <v>831</v>
      </c>
      <c r="N20" t="s">
        <v>1287</v>
      </c>
      <c r="O20" t="s">
        <v>387</v>
      </c>
      <c r="P20" s="36">
        <v>17343</v>
      </c>
      <c r="Q20" s="45">
        <f t="shared" si="0"/>
        <v>77</v>
      </c>
      <c r="R20" t="s">
        <v>1025</v>
      </c>
      <c r="S20">
        <v>447436338092</v>
      </c>
      <c r="T20" t="s">
        <v>35</v>
      </c>
      <c r="U20"/>
      <c r="V20" s="39" cm="1">
        <f t="array" ref="V20">IFERROR(
    _xlfn.XLOOKUP(1,
        (tblPrices[Prefix]=$AC20)*(tblPrices[Product Code]=$T20),
        tblPrices[Price]
    ),
    0
)
+
IF(ISNUMBER(SEARCH("Mammogram",$U20)),
    IFERROR(_xlfn.XLOOKUP(1,(tblPrices[Prefix]=$AC20)*(tblPrices[Product Code]="Mammogram"),tblPrices[Price]),0),
    0
)
+
IF(ISNUMBER(SEARCH("PSA",$U20)),
    IFERROR(_xlfn.XLOOKUP(1,(tblPrices[Prefix]=$AC20)*(tblPrices[Product Code]="PSA"),tblPrices[Price]),0),
    0
)</f>
        <v>543</v>
      </c>
      <c r="W20" t="s">
        <v>629</v>
      </c>
      <c r="X20" t="s">
        <v>1048</v>
      </c>
      <c r="Y20"/>
      <c r="Z20">
        <v>22001140</v>
      </c>
      <c r="AA20" t="s">
        <v>1082</v>
      </c>
      <c r="AB20" s="1" t="str" cm="1">
        <f t="array" ref="AB20" xml:space="preserve"> _xlfn.LET(_xlpm.pc, UPPER(TRIM(M20)), LEFT(_xlpm.pc, MIN(FIND({0,1,2,3,4,5,6,7,8,9}, _xlpm.pc&amp;"0123456789"))-1))</f>
        <v>SW</v>
      </c>
      <c r="AC20" s="1" t="str">
        <f t="shared" si="1"/>
        <v>AXA</v>
      </c>
      <c r="AD20" s="1" t="str">
        <f>VLOOKUP(AB20, postcode_table!A:B, 2, FALSE)</f>
        <v>South West London</v>
      </c>
      <c r="AE20" s="1" t="str">
        <f>IFERROR(_xlfn.XLOOKUP(AC20, price_lookup_table!$C:$C, price_lookup_table!$B:$B), "")</f>
        <v>Self Pay</v>
      </c>
    </row>
    <row r="21" spans="1:31" ht="16.5" x14ac:dyDescent="0.25">
      <c r="A21" t="s">
        <v>647</v>
      </c>
      <c r="B21" s="36">
        <v>45679</v>
      </c>
      <c r="C21" s="36">
        <v>45670</v>
      </c>
      <c r="D21" t="s">
        <v>28</v>
      </c>
      <c r="E21" t="s">
        <v>29</v>
      </c>
      <c r="F21" t="s">
        <v>1380</v>
      </c>
      <c r="G21" t="s">
        <v>1381</v>
      </c>
      <c r="H21" t="s">
        <v>1382</v>
      </c>
      <c r="I21" t="s">
        <v>1383</v>
      </c>
      <c r="J21"/>
      <c r="K21"/>
      <c r="L21"/>
      <c r="M21" t="s">
        <v>687</v>
      </c>
      <c r="N21" t="s">
        <v>1286</v>
      </c>
      <c r="O21" t="s">
        <v>388</v>
      </c>
      <c r="P21" s="36">
        <v>24020</v>
      </c>
      <c r="Q21" s="45">
        <f t="shared" si="0"/>
        <v>59</v>
      </c>
      <c r="R21" t="s">
        <v>876</v>
      </c>
      <c r="S21">
        <v>447810810402</v>
      </c>
      <c r="T21" t="s">
        <v>35</v>
      </c>
      <c r="U21"/>
      <c r="V21" s="39" cm="1">
        <f t="array" ref="V21">IFERROR(
    _xlfn.XLOOKUP(1,
        (tblPrices[Prefix]=$AC21)*(tblPrices[Product Code]=$T21),
        tblPrices[Price]
    ),
    0
)
+
IF(ISNUMBER(SEARCH("Mammogram",$U21)),
    IFERROR(_xlfn.XLOOKUP(1,(tblPrices[Prefix]=$AC21)*(tblPrices[Product Code]="Mammogram"),tblPrices[Price]),0),
    0
)
+
IF(ISNUMBER(SEARCH("PSA",$U21)),
    IFERROR(_xlfn.XLOOKUP(1,(tblPrices[Prefix]=$AC21)*(tblPrices[Product Code]="PSA"),tblPrices[Price]),0),
    0
)</f>
        <v>724.5</v>
      </c>
      <c r="W21" t="s">
        <v>629</v>
      </c>
      <c r="X21" t="s">
        <v>643</v>
      </c>
      <c r="Y21"/>
      <c r="Z21">
        <v>20941152</v>
      </c>
      <c r="AA21" t="s">
        <v>1081</v>
      </c>
      <c r="AB21" s="1" t="str" cm="1">
        <f t="array" ref="AB21" xml:space="preserve"> _xlfn.LET(_xlpm.pc, UPPER(TRIM(M21)), LEFT(_xlpm.pc, MIN(FIND({0,1,2,3,4,5,6,7,8,9}, _xlpm.pc&amp;"0123456789"))-1))</f>
        <v>BA</v>
      </c>
      <c r="AC21" s="1" t="str">
        <f t="shared" si="1"/>
        <v>M01</v>
      </c>
      <c r="AD21" s="1" t="str">
        <f>VLOOKUP(AB21, postcode_table!A:B, 2, FALSE)</f>
        <v>Bath</v>
      </c>
      <c r="AE21" s="1" t="str">
        <f>IFERROR(_xlfn.XLOOKUP(AC21, price_lookup_table!$C:$C, price_lookup_table!$B:$B), "")</f>
        <v>Self Pay</v>
      </c>
    </row>
    <row r="22" spans="1:31" ht="16.5" x14ac:dyDescent="0.25">
      <c r="A22" t="s">
        <v>34</v>
      </c>
      <c r="B22" s="36">
        <v>45679</v>
      </c>
      <c r="C22" s="36">
        <v>45664</v>
      </c>
      <c r="D22" t="s">
        <v>28</v>
      </c>
      <c r="E22" t="s">
        <v>29</v>
      </c>
      <c r="F22" t="s">
        <v>1384</v>
      </c>
      <c r="G22" t="s">
        <v>1385</v>
      </c>
      <c r="H22" t="s">
        <v>1386</v>
      </c>
      <c r="I22" t="s">
        <v>1387</v>
      </c>
      <c r="J22"/>
      <c r="K22"/>
      <c r="L22"/>
      <c r="M22" t="s">
        <v>815</v>
      </c>
      <c r="N22" t="s">
        <v>1285</v>
      </c>
      <c r="O22" t="s">
        <v>387</v>
      </c>
      <c r="P22" s="36">
        <v>16831</v>
      </c>
      <c r="Q22" s="45">
        <f t="shared" si="0"/>
        <v>78</v>
      </c>
      <c r="R22" t="s">
        <v>1007</v>
      </c>
      <c r="S22">
        <v>447775816261</v>
      </c>
      <c r="T22" t="s">
        <v>35</v>
      </c>
      <c r="U22"/>
      <c r="V22" s="39" cm="1">
        <f t="array" ref="V22">IFERROR(
    _xlfn.XLOOKUP(1,
        (tblPrices[Prefix]=$AC22)*(tblPrices[Product Code]=$T22),
        tblPrices[Price]
    ),
    0
)
+
IF(ISNUMBER(SEARCH("Mammogram",$U22)),
    IFERROR(_xlfn.XLOOKUP(1,(tblPrices[Prefix]=$AC22)*(tblPrices[Product Code]="Mammogram"),tblPrices[Price]),0),
    0
)
+
IF(ISNUMBER(SEARCH("PSA",$U22)),
    IFERROR(_xlfn.XLOOKUP(1,(tblPrices[Prefix]=$AC22)*(tblPrices[Product Code]="PSA"),tblPrices[Price]),0),
    0
)</f>
        <v>517.5</v>
      </c>
      <c r="W22" t="s">
        <v>629</v>
      </c>
      <c r="X22" t="s">
        <v>636</v>
      </c>
      <c r="Y22"/>
      <c r="Z22">
        <v>19086541</v>
      </c>
      <c r="AA22" s="1" t="s">
        <v>157</v>
      </c>
      <c r="AB22" s="1" t="str" cm="1">
        <f t="array" ref="AB22" xml:space="preserve"> _xlfn.LET(_xlpm.pc, UPPER(TRIM(M22)), LEFT(_xlpm.pc, MIN(FIND({0,1,2,3,4,5,6,7,8,9}, _xlpm.pc&amp;"0123456789"))-1))</f>
        <v>SL</v>
      </c>
      <c r="AC22" s="1" t="s">
        <v>157</v>
      </c>
      <c r="AD22" s="1" t="str">
        <f>VLOOKUP(AB22, postcode_table!A:B, 2, FALSE)</f>
        <v>Slough</v>
      </c>
      <c r="AE22" s="1" t="str">
        <f>IFERROR(_xlfn.XLOOKUP(AC22, price_lookup_table!$C:$C, price_lookup_table!$B:$B), "")</f>
        <v>Corporate</v>
      </c>
    </row>
    <row r="23" spans="1:31" ht="16.5" x14ac:dyDescent="0.25">
      <c r="A23" t="s">
        <v>653</v>
      </c>
      <c r="B23" s="36">
        <v>45680</v>
      </c>
      <c r="C23" s="36">
        <v>45671</v>
      </c>
      <c r="D23" t="s">
        <v>28</v>
      </c>
      <c r="E23" t="s">
        <v>29</v>
      </c>
      <c r="F23" t="s">
        <v>1388</v>
      </c>
      <c r="G23" t="s">
        <v>1389</v>
      </c>
      <c r="H23" t="s">
        <v>1390</v>
      </c>
      <c r="I23" t="s">
        <v>1391</v>
      </c>
      <c r="J23"/>
      <c r="K23"/>
      <c r="L23"/>
      <c r="M23" t="s">
        <v>703</v>
      </c>
      <c r="N23" t="s">
        <v>1284</v>
      </c>
      <c r="O23" t="s">
        <v>387</v>
      </c>
      <c r="P23" s="36">
        <v>16146</v>
      </c>
      <c r="Q23" s="45">
        <f t="shared" si="0"/>
        <v>80</v>
      </c>
      <c r="R23" t="s">
        <v>893</v>
      </c>
      <c r="S23">
        <v>447776410747</v>
      </c>
      <c r="T23" t="s">
        <v>35</v>
      </c>
      <c r="U23"/>
      <c r="V23" s="39" cm="1">
        <f t="array" ref="V23">IFERROR(
    _xlfn.XLOOKUP(1,
        (tblPrices[Prefix]=$AC23)*(tblPrices[Product Code]=$T23),
        tblPrices[Price]
    ),
    0
)
+
IF(ISNUMBER(SEARCH("Mammogram",$U23)),
    IFERROR(_xlfn.XLOOKUP(1,(tblPrices[Prefix]=$AC23)*(tblPrices[Product Code]="Mammogram"),tblPrices[Price]),0),
    0
)
+
IF(ISNUMBER(SEARCH("PSA",$U23)),
    IFERROR(_xlfn.XLOOKUP(1,(tblPrices[Prefix]=$AC23)*(tblPrices[Product Code]="PSA"),tblPrices[Price]),0),
    0
)</f>
        <v>517.5</v>
      </c>
      <c r="W23" t="s">
        <v>629</v>
      </c>
      <c r="X23" t="s">
        <v>1048</v>
      </c>
      <c r="Y23"/>
      <c r="Z23">
        <v>22016359</v>
      </c>
      <c r="AA23" s="1" t="s">
        <v>157</v>
      </c>
      <c r="AB23" s="1" t="str" cm="1">
        <f t="array" ref="AB23" xml:space="preserve"> _xlfn.LET(_xlpm.pc, UPPER(TRIM(M23)), LEFT(_xlpm.pc, MIN(FIND({0,1,2,3,4,5,6,7,8,9}, _xlpm.pc&amp;"0123456789"))-1))</f>
        <v>BS</v>
      </c>
      <c r="AC23" s="1" t="s">
        <v>157</v>
      </c>
      <c r="AD23" s="1" t="str">
        <f>VLOOKUP(AB23, postcode_table!A:B, 2, FALSE)</f>
        <v>Bristol</v>
      </c>
      <c r="AE23" s="1" t="str">
        <f>IFERROR(_xlfn.XLOOKUP(AC23, price_lookup_table!$C:$C, price_lookup_table!$B:$B), "")</f>
        <v>Corporate</v>
      </c>
    </row>
    <row r="24" spans="1:31" ht="16.5" x14ac:dyDescent="0.25">
      <c r="A24" t="s">
        <v>72</v>
      </c>
      <c r="B24" s="36">
        <v>45680</v>
      </c>
      <c r="C24" s="36">
        <v>45674</v>
      </c>
      <c r="D24" t="s">
        <v>28</v>
      </c>
      <c r="E24" t="s">
        <v>29</v>
      </c>
      <c r="F24" t="s">
        <v>1392</v>
      </c>
      <c r="G24" t="s">
        <v>1372</v>
      </c>
      <c r="H24" t="s">
        <v>1393</v>
      </c>
      <c r="I24" t="s">
        <v>1394</v>
      </c>
      <c r="J24"/>
      <c r="K24"/>
      <c r="L24"/>
      <c r="M24" t="s">
        <v>729</v>
      </c>
      <c r="N24" t="s">
        <v>1283</v>
      </c>
      <c r="O24" t="s">
        <v>388</v>
      </c>
      <c r="P24" s="36">
        <v>17688</v>
      </c>
      <c r="Q24" s="45">
        <f t="shared" si="0"/>
        <v>76</v>
      </c>
      <c r="R24" t="s">
        <v>917</v>
      </c>
      <c r="S24">
        <v>447967366230</v>
      </c>
      <c r="T24" t="s">
        <v>35</v>
      </c>
      <c r="U24"/>
      <c r="V24" s="39" cm="1">
        <f t="array" ref="V24">IFERROR(
    _xlfn.XLOOKUP(1,
        (tblPrices[Prefix]=$AC24)*(tblPrices[Product Code]=$T24),
        tblPrices[Price]
    ),
    0
)
+
IF(ISNUMBER(SEARCH("Mammogram",$U24)),
    IFERROR(_xlfn.XLOOKUP(1,(tblPrices[Prefix]=$AC24)*(tblPrices[Product Code]="Mammogram"),tblPrices[Price]),0),
    0
)
+
IF(ISNUMBER(SEARCH("PSA",$U24)),
    IFERROR(_xlfn.XLOOKUP(1,(tblPrices[Prefix]=$AC24)*(tblPrices[Product Code]="PSA"),tblPrices[Price]),0),
    0
)</f>
        <v>517.5</v>
      </c>
      <c r="W24" t="s">
        <v>629</v>
      </c>
      <c r="X24" t="s">
        <v>1076</v>
      </c>
      <c r="Y24"/>
      <c r="Z24">
        <v>16696280</v>
      </c>
      <c r="AA24" s="1" t="s">
        <v>157</v>
      </c>
      <c r="AB24" s="1" t="str" cm="1">
        <f t="array" ref="AB24" xml:space="preserve"> _xlfn.LET(_xlpm.pc, UPPER(TRIM(M24)), LEFT(_xlpm.pc, MIN(FIND({0,1,2,3,4,5,6,7,8,9}, _xlpm.pc&amp;"0123456789"))-1))</f>
        <v>HA</v>
      </c>
      <c r="AC24" s="1" t="s">
        <v>157</v>
      </c>
      <c r="AD24" s="1" t="str">
        <f>VLOOKUP(AB24, postcode_table!A:B, 2, FALSE)</f>
        <v>Harrow</v>
      </c>
      <c r="AE24" s="1" t="str">
        <f>IFERROR(_xlfn.XLOOKUP(AC24, price_lookup_table!$C:$C, price_lookup_table!$B:$B), "")</f>
        <v>Corporate</v>
      </c>
    </row>
    <row r="25" spans="1:31" ht="16.5" x14ac:dyDescent="0.25">
      <c r="A25" t="s">
        <v>795</v>
      </c>
      <c r="B25" s="36">
        <v>45680</v>
      </c>
      <c r="C25" s="36">
        <v>45663</v>
      </c>
      <c r="D25" t="s">
        <v>28</v>
      </c>
      <c r="E25" t="s">
        <v>29</v>
      </c>
      <c r="F25" t="s">
        <v>1395</v>
      </c>
      <c r="G25" t="s">
        <v>1396</v>
      </c>
      <c r="H25" t="s">
        <v>1397</v>
      </c>
      <c r="I25" t="s">
        <v>1398</v>
      </c>
      <c r="J25"/>
      <c r="K25"/>
      <c r="L25"/>
      <c r="M25" t="s">
        <v>836</v>
      </c>
      <c r="N25" t="s">
        <v>1282</v>
      </c>
      <c r="O25" t="s">
        <v>388</v>
      </c>
      <c r="P25" s="36">
        <v>26916</v>
      </c>
      <c r="Q25" s="45">
        <f t="shared" si="0"/>
        <v>51</v>
      </c>
      <c r="R25" t="s">
        <v>1029</v>
      </c>
      <c r="S25">
        <v>447957371753</v>
      </c>
      <c r="T25" t="s">
        <v>30</v>
      </c>
      <c r="U25"/>
      <c r="V25" s="39" cm="1">
        <f t="array" ref="V25">IFERROR(
    _xlfn.XLOOKUP(1,
        (tblPrices[Prefix]=$AC25)*(tblPrices[Product Code]=$T25),
        tblPrices[Price]
    ),
    0
)
+
IF(ISNUMBER(SEARCH("Mammogram",$U25)),
    IFERROR(_xlfn.XLOOKUP(1,(tblPrices[Prefix]=$AC25)*(tblPrices[Product Code]="Mammogram"),tblPrices[Price]),0),
    0
)
+
IF(ISNUMBER(SEARCH("PSA",$U25)),
    IFERROR(_xlfn.XLOOKUP(1,(tblPrices[Prefix]=$AC25)*(tblPrices[Product Code]="PSA"),tblPrices[Price]),0),
    0
)</f>
        <v>693.38</v>
      </c>
      <c r="W25" t="s">
        <v>629</v>
      </c>
      <c r="X25" t="s">
        <v>642</v>
      </c>
      <c r="Y25"/>
      <c r="Z25">
        <v>22004414</v>
      </c>
      <c r="AA25" s="1" t="s">
        <v>157</v>
      </c>
      <c r="AB25" s="1" t="str" cm="1">
        <f t="array" ref="AB25" xml:space="preserve"> _xlfn.LET(_xlpm.pc, UPPER(TRIM(M25)), LEFT(_xlpm.pc, MIN(FIND({0,1,2,3,4,5,6,7,8,9}, _xlpm.pc&amp;"0123456789"))-1))</f>
        <v>TW</v>
      </c>
      <c r="AC25" s="1" t="s">
        <v>157</v>
      </c>
      <c r="AD25" s="1" t="str">
        <f>VLOOKUP(AB25, postcode_table!A:B, 2, FALSE)</f>
        <v>Twickenham</v>
      </c>
      <c r="AE25" s="1" t="str">
        <f>IFERROR(_xlfn.XLOOKUP(AC25, price_lookup_table!$C:$C, price_lookup_table!$B:$B), "")</f>
        <v>Corporate</v>
      </c>
    </row>
    <row r="26" spans="1:31" ht="16.5" x14ac:dyDescent="0.25">
      <c r="A26" t="s">
        <v>646</v>
      </c>
      <c r="B26" s="36">
        <v>45680</v>
      </c>
      <c r="C26" s="36">
        <v>45677</v>
      </c>
      <c r="D26" t="s">
        <v>28</v>
      </c>
      <c r="E26" t="s">
        <v>29</v>
      </c>
      <c r="F26" t="s">
        <v>1399</v>
      </c>
      <c r="G26" t="s">
        <v>1400</v>
      </c>
      <c r="H26" t="s">
        <v>1401</v>
      </c>
      <c r="I26" t="s">
        <v>1402</v>
      </c>
      <c r="J26"/>
      <c r="K26"/>
      <c r="L26"/>
      <c r="M26" t="s">
        <v>744</v>
      </c>
      <c r="N26" t="s">
        <v>1281</v>
      </c>
      <c r="O26" t="s">
        <v>387</v>
      </c>
      <c r="P26" s="36">
        <v>27291</v>
      </c>
      <c r="Q26" s="45">
        <f t="shared" si="0"/>
        <v>50</v>
      </c>
      <c r="R26" t="s">
        <v>932</v>
      </c>
      <c r="S26">
        <v>447801289103</v>
      </c>
      <c r="T26" t="s">
        <v>35</v>
      </c>
      <c r="U26"/>
      <c r="V26" s="39" cm="1">
        <f t="array" ref="V26">IFERROR(
    _xlfn.XLOOKUP(1,
        (tblPrices[Prefix]=$AC26)*(tblPrices[Product Code]=$T26),
        tblPrices[Price]
    ),
    0
)
+
IF(ISNUMBER(SEARCH("Mammogram",$U26)),
    IFERROR(_xlfn.XLOOKUP(1,(tblPrices[Prefix]=$AC26)*(tblPrices[Product Code]="Mammogram"),tblPrices[Price]),0),
    0
)
+
IF(ISNUMBER(SEARCH("PSA",$U26)),
    IFERROR(_xlfn.XLOOKUP(1,(tblPrices[Prefix]=$AC26)*(tblPrices[Product Code]="PSA"),tblPrices[Price]),0),
    0
)</f>
        <v>517.5</v>
      </c>
      <c r="W26" t="s">
        <v>629</v>
      </c>
      <c r="X26" t="s">
        <v>637</v>
      </c>
      <c r="Y26"/>
      <c r="Z26">
        <v>18668675</v>
      </c>
      <c r="AA26" s="1" t="s">
        <v>157</v>
      </c>
      <c r="AB26" s="1" t="str" cm="1">
        <f t="array" ref="AB26" xml:space="preserve"> _xlfn.LET(_xlpm.pc, UPPER(TRIM(M26)), LEFT(_xlpm.pc, MIN(FIND({0,1,2,3,4,5,6,7,8,9}, _xlpm.pc&amp;"0123456789"))-1))</f>
        <v>IV</v>
      </c>
      <c r="AC26" s="1" t="s">
        <v>157</v>
      </c>
      <c r="AD26" s="1" t="str">
        <f>VLOOKUP(AB26, postcode_table!A:B, 2, FALSE)</f>
        <v>Inverness</v>
      </c>
      <c r="AE26" s="1" t="str">
        <f>IFERROR(_xlfn.XLOOKUP(AC26, price_lookup_table!$C:$C, price_lookup_table!$B:$B), "")</f>
        <v>Corporate</v>
      </c>
    </row>
    <row r="27" spans="1:31" ht="16.5" x14ac:dyDescent="0.25">
      <c r="A27" t="s">
        <v>72</v>
      </c>
      <c r="B27" s="36">
        <v>45681</v>
      </c>
      <c r="C27" s="36">
        <v>45674</v>
      </c>
      <c r="D27" t="s">
        <v>28</v>
      </c>
      <c r="E27" t="s">
        <v>29</v>
      </c>
      <c r="F27" t="s">
        <v>1403</v>
      </c>
      <c r="G27" t="s">
        <v>1404</v>
      </c>
      <c r="H27" t="s">
        <v>1405</v>
      </c>
      <c r="I27" t="s">
        <v>1406</v>
      </c>
      <c r="J27"/>
      <c r="K27"/>
      <c r="L27"/>
      <c r="M27" t="s">
        <v>729</v>
      </c>
      <c r="N27" t="s">
        <v>1280</v>
      </c>
      <c r="O27" t="s">
        <v>387</v>
      </c>
      <c r="P27" s="36">
        <v>35531</v>
      </c>
      <c r="Q27" s="45">
        <f t="shared" si="0"/>
        <v>27</v>
      </c>
      <c r="R27" t="s">
        <v>916</v>
      </c>
      <c r="S27">
        <v>447973819691</v>
      </c>
      <c r="T27" t="s">
        <v>35</v>
      </c>
      <c r="U27"/>
      <c r="V27" s="39" cm="1">
        <f t="array" ref="V27">IFERROR(
    _xlfn.XLOOKUP(1,
        (tblPrices[Prefix]=$AC27)*(tblPrices[Product Code]=$T27),
        tblPrices[Price]
    ),
    0
)
+
IF(ISNUMBER(SEARCH("Mammogram",$U27)),
    IFERROR(_xlfn.XLOOKUP(1,(tblPrices[Prefix]=$AC27)*(tblPrices[Product Code]="Mammogram"),tblPrices[Price]),0),
    0
)
+
IF(ISNUMBER(SEARCH("PSA",$U27)),
    IFERROR(_xlfn.XLOOKUP(1,(tblPrices[Prefix]=$AC27)*(tblPrices[Product Code]="PSA"),tblPrices[Price]),0),
    0
)</f>
        <v>517.5</v>
      </c>
      <c r="W27" t="s">
        <v>629</v>
      </c>
      <c r="X27" t="s">
        <v>1057</v>
      </c>
      <c r="Y27"/>
      <c r="Z27">
        <v>16005325</v>
      </c>
      <c r="AA27" s="1" t="s">
        <v>157</v>
      </c>
      <c r="AB27" s="1" t="str" cm="1">
        <f t="array" ref="AB27" xml:space="preserve"> _xlfn.LET(_xlpm.pc, UPPER(TRIM(M27)), LEFT(_xlpm.pc, MIN(FIND({0,1,2,3,4,5,6,7,8,9}, _xlpm.pc&amp;"0123456789"))-1))</f>
        <v>HA</v>
      </c>
      <c r="AC27" s="1" t="s">
        <v>157</v>
      </c>
      <c r="AD27" s="1" t="str">
        <f>VLOOKUP(AB27, postcode_table!A:B, 2, FALSE)</f>
        <v>Harrow</v>
      </c>
      <c r="AE27" s="1" t="str">
        <f>IFERROR(_xlfn.XLOOKUP(AC27, price_lookup_table!$C:$C, price_lookup_table!$B:$B), "")</f>
        <v>Corporate</v>
      </c>
    </row>
    <row r="28" spans="1:31" ht="16.5" x14ac:dyDescent="0.25">
      <c r="A28" t="s">
        <v>57</v>
      </c>
      <c r="B28" s="36">
        <v>45681</v>
      </c>
      <c r="C28" s="36">
        <v>45663</v>
      </c>
      <c r="D28" t="s">
        <v>28</v>
      </c>
      <c r="E28" t="s">
        <v>29</v>
      </c>
      <c r="F28" t="s">
        <v>726</v>
      </c>
      <c r="G28" t="s">
        <v>1407</v>
      </c>
      <c r="H28" t="s">
        <v>1408</v>
      </c>
      <c r="I28" t="s">
        <v>1409</v>
      </c>
      <c r="J28"/>
      <c r="K28"/>
      <c r="L28"/>
      <c r="M28" t="s">
        <v>847</v>
      </c>
      <c r="N28" t="s">
        <v>1279</v>
      </c>
      <c r="O28" t="s">
        <v>387</v>
      </c>
      <c r="P28" s="36">
        <v>26970</v>
      </c>
      <c r="Q28" s="45">
        <f t="shared" si="0"/>
        <v>51</v>
      </c>
      <c r="R28" t="s">
        <v>1041</v>
      </c>
      <c r="S28">
        <v>447904092231</v>
      </c>
      <c r="T28" t="s">
        <v>35</v>
      </c>
      <c r="U28"/>
      <c r="V28" s="39" cm="1">
        <f t="array" ref="V28">IFERROR(
    _xlfn.XLOOKUP(1,
        (tblPrices[Prefix]=$AC28)*(tblPrices[Product Code]=$T28),
        tblPrices[Price]
    ),
    0
)
+
IF(ISNUMBER(SEARCH("Mammogram",$U28)),
    IFERROR(_xlfn.XLOOKUP(1,(tblPrices[Prefix]=$AC28)*(tblPrices[Product Code]="Mammogram"),tblPrices[Price]),0),
    0
)
+
IF(ISNUMBER(SEARCH("PSA",$U28)),
    IFERROR(_xlfn.XLOOKUP(1,(tblPrices[Prefix]=$AC28)*(tblPrices[Product Code]="PSA"),tblPrices[Price]),0),
    0
)</f>
        <v>517.5</v>
      </c>
      <c r="W28" t="s">
        <v>629</v>
      </c>
      <c r="X28" t="s">
        <v>636</v>
      </c>
      <c r="Y28"/>
      <c r="Z28">
        <v>16916934</v>
      </c>
      <c r="AA28" s="1" t="s">
        <v>157</v>
      </c>
      <c r="AB28" s="1" t="str" cm="1">
        <f t="array" ref="AB28" xml:space="preserve"> _xlfn.LET(_xlpm.pc, UPPER(TRIM(M28)), LEFT(_xlpm.pc, MIN(FIND({0,1,2,3,4,5,6,7,8,9}, _xlpm.pc&amp;"0123456789"))-1))</f>
        <v>WA</v>
      </c>
      <c r="AC28" s="1" t="s">
        <v>157</v>
      </c>
      <c r="AD28" s="1" t="str">
        <f>VLOOKUP(AB28, postcode_table!A:B, 2, FALSE)</f>
        <v>Warrington</v>
      </c>
      <c r="AE28" s="1" t="str">
        <f>IFERROR(_xlfn.XLOOKUP(AC28, price_lookup_table!$C:$C, price_lookup_table!$B:$B), "")</f>
        <v>Corporate</v>
      </c>
    </row>
    <row r="29" spans="1:31" ht="16.5" x14ac:dyDescent="0.25">
      <c r="A29" t="s">
        <v>645</v>
      </c>
      <c r="B29" s="36">
        <v>45681</v>
      </c>
      <c r="C29" s="36">
        <v>45665</v>
      </c>
      <c r="D29" t="s">
        <v>28</v>
      </c>
      <c r="E29" t="s">
        <v>29</v>
      </c>
      <c r="F29" t="s">
        <v>1410</v>
      </c>
      <c r="G29" t="s">
        <v>1411</v>
      </c>
      <c r="H29" t="s">
        <v>1412</v>
      </c>
      <c r="I29" t="s">
        <v>1413</v>
      </c>
      <c r="J29"/>
      <c r="K29"/>
      <c r="L29"/>
      <c r="M29" t="s">
        <v>668</v>
      </c>
      <c r="N29" t="s">
        <v>1278</v>
      </c>
      <c r="O29" t="s">
        <v>387</v>
      </c>
      <c r="P29" s="36">
        <v>28663</v>
      </c>
      <c r="Q29" s="45">
        <f t="shared" si="0"/>
        <v>46</v>
      </c>
      <c r="R29" t="s">
        <v>862</v>
      </c>
      <c r="S29">
        <v>447865198512</v>
      </c>
      <c r="T29" t="s">
        <v>35</v>
      </c>
      <c r="U29"/>
      <c r="V29" s="39" cm="1">
        <f t="array" ref="V29">IFERROR(
    _xlfn.XLOOKUP(1,
        (tblPrices[Prefix]=$AC29)*(tblPrices[Product Code]=$T29),
        tblPrices[Price]
    ),
    0
)
+
IF(ISNUMBER(SEARCH("Mammogram",$U29)),
    IFERROR(_xlfn.XLOOKUP(1,(tblPrices[Prefix]=$AC29)*(tblPrices[Product Code]="Mammogram"),tblPrices[Price]),0),
    0
)
+
IF(ISNUMBER(SEARCH("PSA",$U29)),
    IFERROR(_xlfn.XLOOKUP(1,(tblPrices[Prefix]=$AC29)*(tblPrices[Product Code]="PSA"),tblPrices[Price]),0),
    0
)</f>
        <v>517.5</v>
      </c>
      <c r="W29" t="s">
        <v>629</v>
      </c>
      <c r="X29" t="s">
        <v>1059</v>
      </c>
      <c r="Y29"/>
      <c r="Z29">
        <v>20618377</v>
      </c>
      <c r="AA29" s="1" t="s">
        <v>157</v>
      </c>
      <c r="AB29" s="1" t="str" cm="1">
        <f t="array" ref="AB29" xml:space="preserve"> _xlfn.LET(_xlpm.pc, UPPER(TRIM(M29)), LEFT(_xlpm.pc, MIN(FIND({0,1,2,3,4,5,6,7,8,9}, _xlpm.pc&amp;"0123456789"))-1))</f>
        <v>AB</v>
      </c>
      <c r="AC29" s="1" t="s">
        <v>157</v>
      </c>
      <c r="AD29" s="1" t="str">
        <f>VLOOKUP(AB29, postcode_table!A:B, 2, FALSE)</f>
        <v>Aberdeen</v>
      </c>
      <c r="AE29" s="1" t="str">
        <f>IFERROR(_xlfn.XLOOKUP(AC29, price_lookup_table!$C:$C, price_lookup_table!$B:$B), "")</f>
        <v>Corporate</v>
      </c>
    </row>
    <row r="30" spans="1:31" ht="16.5" x14ac:dyDescent="0.25">
      <c r="A30" t="s">
        <v>649</v>
      </c>
      <c r="B30" s="36">
        <v>45684</v>
      </c>
      <c r="C30" s="36">
        <v>45659</v>
      </c>
      <c r="D30" t="s">
        <v>28</v>
      </c>
      <c r="E30" t="s">
        <v>29</v>
      </c>
      <c r="F30" t="s">
        <v>1414</v>
      </c>
      <c r="G30" t="s">
        <v>1415</v>
      </c>
      <c r="H30" t="s">
        <v>1416</v>
      </c>
      <c r="I30" t="s">
        <v>1417</v>
      </c>
      <c r="J30"/>
      <c r="K30"/>
      <c r="L30"/>
      <c r="M30" t="s">
        <v>710</v>
      </c>
      <c r="N30" t="s">
        <v>1277</v>
      </c>
      <c r="O30" t="s">
        <v>387</v>
      </c>
      <c r="P30" s="36">
        <v>36810</v>
      </c>
      <c r="Q30" s="45">
        <f t="shared" si="0"/>
        <v>24</v>
      </c>
      <c r="R30" t="s">
        <v>901</v>
      </c>
      <c r="S30">
        <v>447724255886</v>
      </c>
      <c r="T30" t="s">
        <v>35</v>
      </c>
      <c r="U30"/>
      <c r="V30" s="39" cm="1">
        <f t="array" ref="V30">IFERROR(
    _xlfn.XLOOKUP(1,
        (tblPrices[Prefix]=$AC30)*(tblPrices[Product Code]=$T30),
        tblPrices[Price]
    ),
    0
)
+
IF(ISNUMBER(SEARCH("Mammogram",$U30)),
    IFERROR(_xlfn.XLOOKUP(1,(tblPrices[Prefix]=$AC30)*(tblPrices[Product Code]="Mammogram"),tblPrices[Price]),0),
    0
)
+
IF(ISNUMBER(SEARCH("PSA",$U30)),
    IFERROR(_xlfn.XLOOKUP(1,(tblPrices[Prefix]=$AC30)*(tblPrices[Product Code]="PSA"),tblPrices[Price]),0),
    0
)</f>
        <v>517.5</v>
      </c>
      <c r="W30" t="s">
        <v>629</v>
      </c>
      <c r="X30" t="s">
        <v>1049</v>
      </c>
      <c r="Y30"/>
      <c r="Z30">
        <v>21561378</v>
      </c>
      <c r="AA30" s="1" t="s">
        <v>157</v>
      </c>
      <c r="AB30" s="1" t="str" cm="1">
        <f t="array" ref="AB30" xml:space="preserve"> _xlfn.LET(_xlpm.pc, UPPER(TRIM(M30)), LEFT(_xlpm.pc, MIN(FIND({0,1,2,3,4,5,6,7,8,9}, _xlpm.pc&amp;"0123456789"))-1))</f>
        <v>CR</v>
      </c>
      <c r="AC30" s="1" t="s">
        <v>157</v>
      </c>
      <c r="AD30" s="1" t="str">
        <f>VLOOKUP(AB30, postcode_table!A:B, 2, FALSE)</f>
        <v>Croydon</v>
      </c>
      <c r="AE30" s="1" t="str">
        <f>IFERROR(_xlfn.XLOOKUP(AC30, price_lookup_table!$C:$C, price_lookup_table!$B:$B), "")</f>
        <v>Corporate</v>
      </c>
    </row>
    <row r="31" spans="1:31" ht="16.5" x14ac:dyDescent="0.25">
      <c r="A31" t="s">
        <v>42</v>
      </c>
      <c r="B31" s="36">
        <v>45684</v>
      </c>
      <c r="C31" s="36">
        <v>45664</v>
      </c>
      <c r="D31" t="s">
        <v>28</v>
      </c>
      <c r="E31" t="s">
        <v>29</v>
      </c>
      <c r="F31" t="s">
        <v>1418</v>
      </c>
      <c r="G31" t="s">
        <v>1419</v>
      </c>
      <c r="H31" t="s">
        <v>1420</v>
      </c>
      <c r="I31" t="s">
        <v>1421</v>
      </c>
      <c r="J31"/>
      <c r="K31"/>
      <c r="L31"/>
      <c r="M31" t="s">
        <v>720</v>
      </c>
      <c r="N31" t="s">
        <v>1276</v>
      </c>
      <c r="O31" t="s">
        <v>387</v>
      </c>
      <c r="P31" s="36">
        <v>15933</v>
      </c>
      <c r="Q31" s="45">
        <f t="shared" si="0"/>
        <v>81</v>
      </c>
      <c r="R31" t="s">
        <v>908</v>
      </c>
      <c r="S31">
        <v>447741766348</v>
      </c>
      <c r="T31" t="s">
        <v>35</v>
      </c>
      <c r="U31"/>
      <c r="V31" s="39" cm="1">
        <f t="array" ref="V31">IFERROR(
    _xlfn.XLOOKUP(1,
        (tblPrices[Prefix]=$AC31)*(tblPrices[Product Code]=$T31),
        tblPrices[Price]
    ),
    0
)
+
IF(ISNUMBER(SEARCH("Mammogram",$U31)),
    IFERROR(_xlfn.XLOOKUP(1,(tblPrices[Prefix]=$AC31)*(tblPrices[Product Code]="Mammogram"),tblPrices[Price]),0),
    0
)
+
IF(ISNUMBER(SEARCH("PSA",$U31)),
    IFERROR(_xlfn.XLOOKUP(1,(tblPrices[Prefix]=$AC31)*(tblPrices[Product Code]="PSA"),tblPrices[Price]),0),
    0
)</f>
        <v>517.5</v>
      </c>
      <c r="W31" t="s">
        <v>629</v>
      </c>
      <c r="X31" t="s">
        <v>1048</v>
      </c>
      <c r="Y31"/>
      <c r="Z31">
        <v>22007237</v>
      </c>
      <c r="AA31" s="1" t="s">
        <v>157</v>
      </c>
      <c r="AB31" s="1" t="str" cm="1">
        <f t="array" ref="AB31" xml:space="preserve"> _xlfn.LET(_xlpm.pc, UPPER(TRIM(M31)), LEFT(_xlpm.pc, MIN(FIND({0,1,2,3,4,5,6,7,8,9}, _xlpm.pc&amp;"0123456789"))-1))</f>
        <v>EC</v>
      </c>
      <c r="AC31" s="1" t="s">
        <v>157</v>
      </c>
      <c r="AD31" s="1" t="str">
        <f>VLOOKUP(AB31, postcode_table!A:B, 2, FALSE)</f>
        <v>East Central London</v>
      </c>
      <c r="AE31" s="1" t="str">
        <f>IFERROR(_xlfn.XLOOKUP(AC31, price_lookup_table!$C:$C, price_lookup_table!$B:$B), "")</f>
        <v>Corporate</v>
      </c>
    </row>
    <row r="32" spans="1:31" ht="16.5" x14ac:dyDescent="0.25">
      <c r="A32" t="s">
        <v>389</v>
      </c>
      <c r="B32" s="36">
        <v>45684</v>
      </c>
      <c r="C32" s="36">
        <v>45660</v>
      </c>
      <c r="D32" t="s">
        <v>28</v>
      </c>
      <c r="E32" t="s">
        <v>29</v>
      </c>
      <c r="F32" t="s">
        <v>1422</v>
      </c>
      <c r="G32" t="s">
        <v>1423</v>
      </c>
      <c r="H32" t="s">
        <v>1424</v>
      </c>
      <c r="I32" t="s">
        <v>1425</v>
      </c>
      <c r="J32"/>
      <c r="K32"/>
      <c r="L32"/>
      <c r="M32" t="s">
        <v>812</v>
      </c>
      <c r="N32" t="s">
        <v>1275</v>
      </c>
      <c r="O32" t="s">
        <v>388</v>
      </c>
      <c r="P32" s="36">
        <v>35439</v>
      </c>
      <c r="Q32" s="45">
        <f t="shared" si="0"/>
        <v>28</v>
      </c>
      <c r="R32" t="s">
        <v>1005</v>
      </c>
      <c r="S32">
        <v>447881658156</v>
      </c>
      <c r="T32" t="s">
        <v>35</v>
      </c>
      <c r="U32"/>
      <c r="V32" s="39" cm="1">
        <f t="array" ref="V32">IFERROR(
    _xlfn.XLOOKUP(1,
        (tblPrices[Prefix]=$AC32)*(tblPrices[Product Code]=$T32),
        tblPrices[Price]
    ),
    0
)
+
IF(ISNUMBER(SEARCH("Mammogram",$U32)),
    IFERROR(_xlfn.XLOOKUP(1,(tblPrices[Prefix]=$AC32)*(tblPrices[Product Code]="Mammogram"),tblPrices[Price]),0),
    0
)
+
IF(ISNUMBER(SEARCH("PSA",$U32)),
    IFERROR(_xlfn.XLOOKUP(1,(tblPrices[Prefix]=$AC32)*(tblPrices[Product Code]="PSA"),tblPrices[Price]),0),
    0
)</f>
        <v>543</v>
      </c>
      <c r="W32" t="s">
        <v>629</v>
      </c>
      <c r="X32" t="s">
        <v>636</v>
      </c>
      <c r="Y32"/>
      <c r="Z32">
        <v>22003699</v>
      </c>
      <c r="AA32" t="s">
        <v>1082</v>
      </c>
      <c r="AB32" s="1" t="str" cm="1">
        <f t="array" ref="AB32" xml:space="preserve"> _xlfn.LET(_xlpm.pc, UPPER(TRIM(M32)), LEFT(_xlpm.pc, MIN(FIND({0,1,2,3,4,5,6,7,8,9}, _xlpm.pc&amp;"0123456789"))-1))</f>
        <v>SG</v>
      </c>
      <c r="AC32" s="1" t="str">
        <f t="shared" si="1"/>
        <v>AXA</v>
      </c>
      <c r="AD32" s="1" t="str">
        <f>VLOOKUP(AB32, postcode_table!A:B, 2, FALSE)</f>
        <v>Stevenage</v>
      </c>
      <c r="AE32" s="1" t="str">
        <f>IFERROR(_xlfn.XLOOKUP(AC32, price_lookup_table!$C:$C, price_lookup_table!$B:$B), "")</f>
        <v>Self Pay</v>
      </c>
    </row>
    <row r="33" spans="1:31" ht="16.5" x14ac:dyDescent="0.25">
      <c r="A33" t="s">
        <v>389</v>
      </c>
      <c r="B33" s="36">
        <v>45684</v>
      </c>
      <c r="C33" s="36">
        <v>45660</v>
      </c>
      <c r="D33" t="s">
        <v>28</v>
      </c>
      <c r="E33" t="s">
        <v>29</v>
      </c>
      <c r="F33" t="s">
        <v>1426</v>
      </c>
      <c r="G33" t="s">
        <v>1427</v>
      </c>
      <c r="H33" t="s">
        <v>1428</v>
      </c>
      <c r="I33" t="s">
        <v>1429</v>
      </c>
      <c r="J33"/>
      <c r="K33"/>
      <c r="L33"/>
      <c r="M33" t="s">
        <v>812</v>
      </c>
      <c r="N33" t="s">
        <v>1274</v>
      </c>
      <c r="O33" t="s">
        <v>387</v>
      </c>
      <c r="P33" s="36">
        <v>31882</v>
      </c>
      <c r="Q33" s="45">
        <f t="shared" si="0"/>
        <v>37</v>
      </c>
      <c r="R33" t="s">
        <v>1006</v>
      </c>
      <c r="S33">
        <v>447890316923</v>
      </c>
      <c r="T33" t="s">
        <v>35</v>
      </c>
      <c r="U33"/>
      <c r="V33" s="39" cm="1">
        <f t="array" ref="V33">IFERROR(
    _xlfn.XLOOKUP(1,
        (tblPrices[Prefix]=$AC33)*(tblPrices[Product Code]=$T33),
        tblPrices[Price]
    ),
    0
)
+
IF(ISNUMBER(SEARCH("Mammogram",$U33)),
    IFERROR(_xlfn.XLOOKUP(1,(tblPrices[Prefix]=$AC33)*(tblPrices[Product Code]="Mammogram"),tblPrices[Price]),0),
    0
)
+
IF(ISNUMBER(SEARCH("PSA",$U33)),
    IFERROR(_xlfn.XLOOKUP(1,(tblPrices[Prefix]=$AC33)*(tblPrices[Product Code]="PSA"),tblPrices[Price]),0),
    0
)</f>
        <v>543</v>
      </c>
      <c r="W33" t="s">
        <v>629</v>
      </c>
      <c r="X33" t="s">
        <v>636</v>
      </c>
      <c r="Y33"/>
      <c r="Z33">
        <v>22003190</v>
      </c>
      <c r="AA33" t="s">
        <v>1082</v>
      </c>
      <c r="AB33" s="1" t="str" cm="1">
        <f t="array" ref="AB33" xml:space="preserve"> _xlfn.LET(_xlpm.pc, UPPER(TRIM(M33)), LEFT(_xlpm.pc, MIN(FIND({0,1,2,3,4,5,6,7,8,9}, _xlpm.pc&amp;"0123456789"))-1))</f>
        <v>SG</v>
      </c>
      <c r="AC33" s="1" t="str">
        <f t="shared" si="1"/>
        <v>AXA</v>
      </c>
      <c r="AD33" s="1" t="str">
        <f>VLOOKUP(AB33, postcode_table!A:B, 2, FALSE)</f>
        <v>Stevenage</v>
      </c>
      <c r="AE33" s="1" t="str">
        <f>IFERROR(_xlfn.XLOOKUP(AC33, price_lookup_table!$C:$C, price_lookup_table!$B:$B), "")</f>
        <v>Self Pay</v>
      </c>
    </row>
    <row r="34" spans="1:31" ht="16.5" x14ac:dyDescent="0.25">
      <c r="A34" t="s">
        <v>650</v>
      </c>
      <c r="B34" s="36">
        <v>45684</v>
      </c>
      <c r="C34" s="36">
        <v>45671</v>
      </c>
      <c r="D34" t="s">
        <v>28</v>
      </c>
      <c r="E34" t="s">
        <v>29</v>
      </c>
      <c r="F34" t="s">
        <v>1430</v>
      </c>
      <c r="G34" t="s">
        <v>1431</v>
      </c>
      <c r="H34" t="s">
        <v>1432</v>
      </c>
      <c r="I34" t="s">
        <v>1433</v>
      </c>
      <c r="J34"/>
      <c r="K34"/>
      <c r="L34"/>
      <c r="M34" t="s">
        <v>840</v>
      </c>
      <c r="N34" t="s">
        <v>1273</v>
      </c>
      <c r="O34" t="s">
        <v>388</v>
      </c>
      <c r="P34" s="36">
        <v>15487</v>
      </c>
      <c r="Q34" s="45">
        <f t="shared" si="0"/>
        <v>82</v>
      </c>
      <c r="R34" t="s">
        <v>1033</v>
      </c>
      <c r="S34">
        <v>447947157800</v>
      </c>
      <c r="T34" t="s">
        <v>35</v>
      </c>
      <c r="U34"/>
      <c r="V34" s="39" cm="1">
        <f t="array" ref="V34">IFERROR(
    _xlfn.XLOOKUP(1,
        (tblPrices[Prefix]=$AC34)*(tblPrices[Product Code]=$T34),
        tblPrices[Price]
    ),
    0
)
+
IF(ISNUMBER(SEARCH("Mammogram",$U34)),
    IFERROR(_xlfn.XLOOKUP(1,(tblPrices[Prefix]=$AC34)*(tblPrices[Product Code]="Mammogram"),tblPrices[Price]),0),
    0
)
+
IF(ISNUMBER(SEARCH("PSA",$U34)),
    IFERROR(_xlfn.XLOOKUP(1,(tblPrices[Prefix]=$AC34)*(tblPrices[Product Code]="PSA"),tblPrices[Price]),0),
    0
)</f>
        <v>507.53</v>
      </c>
      <c r="W34" t="s">
        <v>629</v>
      </c>
      <c r="X34" t="s">
        <v>1064</v>
      </c>
      <c r="Y34"/>
      <c r="Z34">
        <v>22003140</v>
      </c>
      <c r="AA34" s="1" t="s">
        <v>159</v>
      </c>
      <c r="AB34" s="1" t="str" cm="1">
        <f t="array" ref="AB34" xml:space="preserve"> _xlfn.LET(_xlpm.pc, UPPER(TRIM(M34)), LEFT(_xlpm.pc, MIN(FIND({0,1,2,3,4,5,6,7,8,9}, _xlpm.pc&amp;"0123456789"))-1))</f>
        <v>W</v>
      </c>
      <c r="AC34" s="1" t="s">
        <v>159</v>
      </c>
      <c r="AD34" s="1" t="str">
        <f>VLOOKUP(AB34, postcode_table!A:B, 2, FALSE)</f>
        <v>West London</v>
      </c>
      <c r="AE34" s="1" t="str">
        <f>IFERROR(_xlfn.XLOOKUP(AC34, price_lookup_table!$C:$C, price_lookup_table!$B:$B), "")</f>
        <v>Corporate Flex</v>
      </c>
    </row>
    <row r="35" spans="1:31" ht="16.5" x14ac:dyDescent="0.25">
      <c r="A35" t="s">
        <v>34</v>
      </c>
      <c r="B35" s="36">
        <v>45684</v>
      </c>
      <c r="C35" s="36">
        <v>45678</v>
      </c>
      <c r="D35" t="s">
        <v>28</v>
      </c>
      <c r="E35" t="s">
        <v>29</v>
      </c>
      <c r="F35" t="s">
        <v>673</v>
      </c>
      <c r="G35" t="s">
        <v>814</v>
      </c>
      <c r="H35" t="s">
        <v>1434</v>
      </c>
      <c r="I35" t="s">
        <v>1435</v>
      </c>
      <c r="J35"/>
      <c r="K35"/>
      <c r="L35"/>
      <c r="M35" t="s">
        <v>654</v>
      </c>
      <c r="N35" t="s">
        <v>1272</v>
      </c>
      <c r="O35" t="s">
        <v>387</v>
      </c>
      <c r="P35" s="36">
        <v>32387</v>
      </c>
      <c r="Q35" s="45">
        <f t="shared" si="0"/>
        <v>36</v>
      </c>
      <c r="R35" t="s">
        <v>853</v>
      </c>
      <c r="S35">
        <v>447774295485</v>
      </c>
      <c r="T35" t="s">
        <v>30</v>
      </c>
      <c r="U35"/>
      <c r="V35" s="39" cm="1">
        <f t="array" ref="V35">IFERROR(
    _xlfn.XLOOKUP(1,
        (tblPrices[Prefix]=$AC35)*(tblPrices[Product Code]=$T35),
        tblPrices[Price]
    ),
    0
)
+
IF(ISNUMBER(SEARCH("Mammogram",$U35)),
    IFERROR(_xlfn.XLOOKUP(1,(tblPrices[Prefix]=$AC35)*(tblPrices[Product Code]="Mammogram"),tblPrices[Price]),0),
    0
)
+
IF(ISNUMBER(SEARCH("PSA",$U35)),
    IFERROR(_xlfn.XLOOKUP(1,(tblPrices[Prefix]=$AC35)*(tblPrices[Product Code]="PSA"),tblPrices[Price]),0),
    0
)</f>
        <v>0</v>
      </c>
      <c r="W35" t="s">
        <v>629</v>
      </c>
      <c r="X35" t="s">
        <v>643</v>
      </c>
      <c r="Y35"/>
      <c r="Z35">
        <v>19092667</v>
      </c>
      <c r="AA35" s="1" t="s">
        <v>159</v>
      </c>
      <c r="AB35" s="1" t="str" cm="1">
        <f t="array" ref="AB35" xml:space="preserve"> _xlfn.LET(_xlpm.pc, UPPER(TRIM(M35)), LEFT(_xlpm.pc, MIN(FIND({0,1,2,3,4,5,6,7,8,9}, _xlpm.pc&amp;"0123456789"))-1))</f>
        <v>GU</v>
      </c>
      <c r="AC35" s="1" t="s">
        <v>159</v>
      </c>
      <c r="AD35" s="1" t="str">
        <f>VLOOKUP(AB35, postcode_table!A:B, 2, FALSE)</f>
        <v>Guildford</v>
      </c>
      <c r="AE35" s="1" t="str">
        <f>IFERROR(_xlfn.XLOOKUP(AC35, price_lookup_table!$C:$C, price_lookup_table!$B:$B), "")</f>
        <v>Corporate Flex</v>
      </c>
    </row>
    <row r="36" spans="1:31" ht="16.5" x14ac:dyDescent="0.25">
      <c r="A36" t="s">
        <v>34</v>
      </c>
      <c r="B36" s="36">
        <v>45684</v>
      </c>
      <c r="C36" s="36">
        <v>45659</v>
      </c>
      <c r="D36" t="s">
        <v>28</v>
      </c>
      <c r="E36" t="s">
        <v>29</v>
      </c>
      <c r="F36" t="s">
        <v>1436</v>
      </c>
      <c r="G36" t="s">
        <v>1437</v>
      </c>
      <c r="H36" t="s">
        <v>1438</v>
      </c>
      <c r="I36" t="s">
        <v>1439</v>
      </c>
      <c r="J36"/>
      <c r="K36"/>
      <c r="L36"/>
      <c r="M36" t="s">
        <v>662</v>
      </c>
      <c r="N36" t="s">
        <v>1271</v>
      </c>
      <c r="O36" t="s">
        <v>387</v>
      </c>
      <c r="P36" s="36">
        <v>36214</v>
      </c>
      <c r="Q36" s="45">
        <f t="shared" si="0"/>
        <v>25</v>
      </c>
      <c r="R36" t="s">
        <v>857</v>
      </c>
      <c r="S36">
        <v>447949399963</v>
      </c>
      <c r="T36" t="s">
        <v>30</v>
      </c>
      <c r="U36"/>
      <c r="V36" s="39" cm="1">
        <f t="array" ref="V36">IFERROR(
    _xlfn.XLOOKUP(1,
        (tblPrices[Prefix]=$AC36)*(tblPrices[Product Code]=$T36),
        tblPrices[Price]
    ),
    0
)
+
IF(ISNUMBER(SEARCH("Mammogram",$U36)),
    IFERROR(_xlfn.XLOOKUP(1,(tblPrices[Prefix]=$AC36)*(tblPrices[Product Code]="Mammogram"),tblPrices[Price]),0),
    0
)
+
IF(ISNUMBER(SEARCH("PSA",$U36)),
    IFERROR(_xlfn.XLOOKUP(1,(tblPrices[Prefix]=$AC36)*(tblPrices[Product Code]="PSA"),tblPrices[Price]),0),
    0
)</f>
        <v>0</v>
      </c>
      <c r="W36" t="s">
        <v>629</v>
      </c>
      <c r="X36" t="s">
        <v>642</v>
      </c>
      <c r="Y36"/>
      <c r="Z36">
        <v>20595991</v>
      </c>
      <c r="AA36" s="1" t="s">
        <v>159</v>
      </c>
      <c r="AB36" s="1" t="str" cm="1">
        <f t="array" ref="AB36" xml:space="preserve"> _xlfn.LET(_xlpm.pc, UPPER(TRIM(M36)), LEFT(_xlpm.pc, MIN(FIND({0,1,2,3,4,5,6,7,8,9}, _xlpm.pc&amp;"0123456789"))-1))</f>
        <v>GU</v>
      </c>
      <c r="AC36" s="1" t="s">
        <v>159</v>
      </c>
      <c r="AD36" s="1" t="str">
        <f>VLOOKUP(AB36, postcode_table!A:B, 2, FALSE)</f>
        <v>Guildford</v>
      </c>
      <c r="AE36" s="1" t="str">
        <f>IFERROR(_xlfn.XLOOKUP(AC36, price_lookup_table!$C:$C, price_lookup_table!$B:$B), "")</f>
        <v>Corporate Flex</v>
      </c>
    </row>
    <row r="37" spans="1:31" ht="16.5" x14ac:dyDescent="0.25">
      <c r="A37" t="s">
        <v>46</v>
      </c>
      <c r="B37" s="36">
        <v>45684</v>
      </c>
      <c r="C37" s="36">
        <v>45678</v>
      </c>
      <c r="D37" t="s">
        <v>28</v>
      </c>
      <c r="E37" t="s">
        <v>29</v>
      </c>
      <c r="F37" t="s">
        <v>1440</v>
      </c>
      <c r="G37" t="s">
        <v>1441</v>
      </c>
      <c r="H37" t="s">
        <v>1442</v>
      </c>
      <c r="I37" t="s">
        <v>1443</v>
      </c>
      <c r="J37"/>
      <c r="K37"/>
      <c r="L37"/>
      <c r="M37" t="s">
        <v>818</v>
      </c>
      <c r="N37" t="s">
        <v>1270</v>
      </c>
      <c r="O37" t="s">
        <v>388</v>
      </c>
      <c r="P37" s="36">
        <v>23348</v>
      </c>
      <c r="Q37" s="45">
        <f t="shared" si="0"/>
        <v>61</v>
      </c>
      <c r="R37" t="s">
        <v>1011</v>
      </c>
      <c r="S37">
        <v>447823559000</v>
      </c>
      <c r="T37" t="s">
        <v>35</v>
      </c>
      <c r="U37"/>
      <c r="V37" s="39" cm="1">
        <f t="array" ref="V37">IFERROR(
    _xlfn.XLOOKUP(1,
        (tblPrices[Prefix]=$AC37)*(tblPrices[Product Code]=$T37),
        tblPrices[Price]
    ),
    0
)
+
IF(ISNUMBER(SEARCH("Mammogram",$U37)),
    IFERROR(_xlfn.XLOOKUP(1,(tblPrices[Prefix]=$AC37)*(tblPrices[Product Code]="Mammogram"),tblPrices[Price]),0),
    0
)
+
IF(ISNUMBER(SEARCH("PSA",$U37)),
    IFERROR(_xlfn.XLOOKUP(1,(tblPrices[Prefix]=$AC37)*(tblPrices[Product Code]="PSA"),tblPrices[Price]),0),
    0
)</f>
        <v>507.53</v>
      </c>
      <c r="W37" t="s">
        <v>629</v>
      </c>
      <c r="X37" t="s">
        <v>637</v>
      </c>
      <c r="Y37"/>
      <c r="Z37">
        <v>10033314</v>
      </c>
      <c r="AA37" s="1" t="s">
        <v>159</v>
      </c>
      <c r="AB37" s="1" t="str" cm="1">
        <f t="array" ref="AB37" xml:space="preserve"> _xlfn.LET(_xlpm.pc, UPPER(TRIM(M37)), LEFT(_xlpm.pc, MIN(FIND({0,1,2,3,4,5,6,7,8,9}, _xlpm.pc&amp;"0123456789"))-1))</f>
        <v>SL</v>
      </c>
      <c r="AC37" s="1" t="s">
        <v>159</v>
      </c>
      <c r="AD37" s="1" t="str">
        <f>VLOOKUP(AB37, postcode_table!A:B, 2, FALSE)</f>
        <v>Slough</v>
      </c>
      <c r="AE37" s="1" t="str">
        <f>IFERROR(_xlfn.XLOOKUP(AC37, price_lookup_table!$C:$C, price_lookup_table!$B:$B), "")</f>
        <v>Corporate Flex</v>
      </c>
    </row>
    <row r="38" spans="1:31" ht="16.5" x14ac:dyDescent="0.25">
      <c r="A38" t="s">
        <v>34</v>
      </c>
      <c r="B38" s="36">
        <v>45685</v>
      </c>
      <c r="C38" s="36">
        <v>45667</v>
      </c>
      <c r="D38" t="s">
        <v>28</v>
      </c>
      <c r="E38" t="s">
        <v>29</v>
      </c>
      <c r="F38" t="s">
        <v>1444</v>
      </c>
      <c r="G38" t="s">
        <v>1445</v>
      </c>
      <c r="H38" t="s">
        <v>1446</v>
      </c>
      <c r="I38" t="s">
        <v>1447</v>
      </c>
      <c r="J38"/>
      <c r="K38"/>
      <c r="L38"/>
      <c r="M38" t="s">
        <v>663</v>
      </c>
      <c r="N38" t="s">
        <v>1269</v>
      </c>
      <c r="O38" t="s">
        <v>387</v>
      </c>
      <c r="P38" s="36">
        <v>35199</v>
      </c>
      <c r="Q38" s="45">
        <f t="shared" si="0"/>
        <v>28</v>
      </c>
      <c r="R38" t="s">
        <v>858</v>
      </c>
      <c r="S38">
        <v>447912042116</v>
      </c>
      <c r="T38" t="s">
        <v>30</v>
      </c>
      <c r="U38"/>
      <c r="V38" s="39" cm="1">
        <f t="array" ref="V38">IFERROR(
    _xlfn.XLOOKUP(1,
        (tblPrices[Prefix]=$AC38)*(tblPrices[Product Code]=$T38),
        tblPrices[Price]
    ),
    0
)
+
IF(ISNUMBER(SEARCH("Mammogram",$U38)),
    IFERROR(_xlfn.XLOOKUP(1,(tblPrices[Prefix]=$AC38)*(tblPrices[Product Code]="Mammogram"),tblPrices[Price]),0),
    0
)
+
IF(ISNUMBER(SEARCH("PSA",$U38)),
    IFERROR(_xlfn.XLOOKUP(1,(tblPrices[Prefix]=$AC38)*(tblPrices[Product Code]="PSA"),tblPrices[Price]),0),
    0
)</f>
        <v>0</v>
      </c>
      <c r="W38" t="s">
        <v>629</v>
      </c>
      <c r="X38" t="s">
        <v>643</v>
      </c>
      <c r="Y38"/>
      <c r="Z38">
        <v>21764128</v>
      </c>
      <c r="AA38" s="1" t="s">
        <v>159</v>
      </c>
      <c r="AB38" s="1" t="str" cm="1">
        <f t="array" ref="AB38" xml:space="preserve"> _xlfn.LET(_xlpm.pc, UPPER(TRIM(M38)), LEFT(_xlpm.pc, MIN(FIND({0,1,2,3,4,5,6,7,8,9}, _xlpm.pc&amp;"0123456789"))-1))</f>
        <v>RH</v>
      </c>
      <c r="AC38" s="1" t="s">
        <v>159</v>
      </c>
      <c r="AD38" s="1" t="str">
        <f>VLOOKUP(AB38, postcode_table!A:B, 2, FALSE)</f>
        <v>Redhill</v>
      </c>
      <c r="AE38" s="1" t="str">
        <f>IFERROR(_xlfn.XLOOKUP(AC38, price_lookup_table!$C:$C, price_lookup_table!$B:$B), "")</f>
        <v>Corporate Flex</v>
      </c>
    </row>
    <row r="39" spans="1:31" ht="16.5" x14ac:dyDescent="0.25">
      <c r="A39" t="s">
        <v>659</v>
      </c>
      <c r="B39" s="36">
        <v>45685</v>
      </c>
      <c r="C39" s="36">
        <v>45664</v>
      </c>
      <c r="D39" t="s">
        <v>28</v>
      </c>
      <c r="E39" t="s">
        <v>29</v>
      </c>
      <c r="F39" t="s">
        <v>1448</v>
      </c>
      <c r="G39" t="s">
        <v>1449</v>
      </c>
      <c r="H39" t="s">
        <v>1450</v>
      </c>
      <c r="I39" t="s">
        <v>1451</v>
      </c>
      <c r="J39"/>
      <c r="K39"/>
      <c r="L39"/>
      <c r="M39" t="s">
        <v>707</v>
      </c>
      <c r="N39" t="s">
        <v>1268</v>
      </c>
      <c r="O39" t="s">
        <v>388</v>
      </c>
      <c r="P39" s="36">
        <v>29739</v>
      </c>
      <c r="Q39" s="45">
        <f t="shared" si="0"/>
        <v>43</v>
      </c>
      <c r="R39" t="s">
        <v>898</v>
      </c>
      <c r="S39">
        <v>447940160976</v>
      </c>
      <c r="T39" t="s">
        <v>35</v>
      </c>
      <c r="U39"/>
      <c r="V39" s="39" cm="1">
        <f t="array" ref="V39">IFERROR(
    _xlfn.XLOOKUP(1,
        (tblPrices[Prefix]=$AC39)*(tblPrices[Product Code]=$T39),
        tblPrices[Price]
    ),
    0
)
+
IF(ISNUMBER(SEARCH("Mammogram",$U39)),
    IFERROR(_xlfn.XLOOKUP(1,(tblPrices[Prefix]=$AC39)*(tblPrices[Product Code]="Mammogram"),tblPrices[Price]),0),
    0
)
+
IF(ISNUMBER(SEARCH("PSA",$U39)),
    IFERROR(_xlfn.XLOOKUP(1,(tblPrices[Prefix]=$AC39)*(tblPrices[Product Code]="PSA"),tblPrices[Price]),0),
    0
)</f>
        <v>507.53</v>
      </c>
      <c r="W39" t="s">
        <v>629</v>
      </c>
      <c r="X39" t="s">
        <v>1048</v>
      </c>
      <c r="Y39"/>
      <c r="Z39">
        <v>22006288</v>
      </c>
      <c r="AA39" s="1" t="s">
        <v>159</v>
      </c>
      <c r="AB39" s="1" t="str" cm="1">
        <f t="array" ref="AB39" xml:space="preserve"> _xlfn.LET(_xlpm.pc, UPPER(TRIM(M39)), LEFT(_xlpm.pc, MIN(FIND({0,1,2,3,4,5,6,7,8,9}, _xlpm.pc&amp;"0123456789"))-1))</f>
        <v>CO</v>
      </c>
      <c r="AC39" s="1" t="s">
        <v>159</v>
      </c>
      <c r="AD39" s="1" t="str">
        <f>VLOOKUP(AB39, postcode_table!A:B, 2, FALSE)</f>
        <v>Colchester</v>
      </c>
      <c r="AE39" s="1" t="str">
        <f>IFERROR(_xlfn.XLOOKUP(AC39, price_lookup_table!$C:$C, price_lookup_table!$B:$B), "")</f>
        <v>Corporate Flex</v>
      </c>
    </row>
    <row r="40" spans="1:31" ht="16.5" x14ac:dyDescent="0.25">
      <c r="A40" t="s">
        <v>645</v>
      </c>
      <c r="B40" s="36">
        <v>45685</v>
      </c>
      <c r="C40" s="36">
        <v>45664</v>
      </c>
      <c r="D40" t="s">
        <v>28</v>
      </c>
      <c r="E40" t="s">
        <v>29</v>
      </c>
      <c r="F40" t="s">
        <v>1452</v>
      </c>
      <c r="G40" t="s">
        <v>1453</v>
      </c>
      <c r="H40" t="s">
        <v>1454</v>
      </c>
      <c r="I40" t="s">
        <v>1417</v>
      </c>
      <c r="J40"/>
      <c r="K40"/>
      <c r="L40"/>
      <c r="M40" t="s">
        <v>743</v>
      </c>
      <c r="N40" t="s">
        <v>1267</v>
      </c>
      <c r="O40" t="s">
        <v>388</v>
      </c>
      <c r="P40" s="36">
        <v>29883</v>
      </c>
      <c r="Q40" s="45">
        <f t="shared" si="0"/>
        <v>43</v>
      </c>
      <c r="R40" t="s">
        <v>931</v>
      </c>
      <c r="S40">
        <v>447790171844</v>
      </c>
      <c r="T40" t="s">
        <v>35</v>
      </c>
      <c r="U40"/>
      <c r="V40" s="39" cm="1">
        <f t="array" ref="V40">IFERROR(
    _xlfn.XLOOKUP(1,
        (tblPrices[Prefix]=$AC40)*(tblPrices[Product Code]=$T40),
        tblPrices[Price]
    ),
    0
)
+
IF(ISNUMBER(SEARCH("Mammogram",$U40)),
    IFERROR(_xlfn.XLOOKUP(1,(tblPrices[Prefix]=$AC40)*(tblPrices[Product Code]="Mammogram"),tblPrices[Price]),0),
    0
)
+
IF(ISNUMBER(SEARCH("PSA",$U40)),
    IFERROR(_xlfn.XLOOKUP(1,(tblPrices[Prefix]=$AC40)*(tblPrices[Product Code]="PSA"),tblPrices[Price]),0),
    0
)</f>
        <v>507.53</v>
      </c>
      <c r="W40" t="s">
        <v>629</v>
      </c>
      <c r="X40" t="s">
        <v>1048</v>
      </c>
      <c r="Y40"/>
      <c r="Z40">
        <v>22006569</v>
      </c>
      <c r="AA40" s="1" t="s">
        <v>159</v>
      </c>
      <c r="AB40" s="1" t="str" cm="1">
        <f t="array" ref="AB40" xml:space="preserve"> _xlfn.LET(_xlpm.pc, UPPER(TRIM(M40)), LEFT(_xlpm.pc, MIN(FIND({0,1,2,3,4,5,6,7,8,9}, _xlpm.pc&amp;"0123456789"))-1))</f>
        <v>IV</v>
      </c>
      <c r="AC40" s="1" t="s">
        <v>159</v>
      </c>
      <c r="AD40" s="1" t="str">
        <f>VLOOKUP(AB40, postcode_table!A:B, 2, FALSE)</f>
        <v>Inverness</v>
      </c>
      <c r="AE40" s="1" t="str">
        <f>IFERROR(_xlfn.XLOOKUP(AC40, price_lookup_table!$C:$C, price_lookup_table!$B:$B), "")</f>
        <v>Corporate Flex</v>
      </c>
    </row>
    <row r="41" spans="1:31" ht="16.5" x14ac:dyDescent="0.25">
      <c r="A41" t="s">
        <v>57</v>
      </c>
      <c r="B41" s="36">
        <v>45685</v>
      </c>
      <c r="C41" s="36">
        <v>45670</v>
      </c>
      <c r="D41" t="s">
        <v>28</v>
      </c>
      <c r="E41" t="s">
        <v>29</v>
      </c>
      <c r="F41" t="s">
        <v>1455</v>
      </c>
      <c r="G41" t="s">
        <v>713</v>
      </c>
      <c r="H41" t="s">
        <v>1456</v>
      </c>
      <c r="I41" t="s">
        <v>1457</v>
      </c>
      <c r="J41"/>
      <c r="K41"/>
      <c r="L41"/>
      <c r="M41" t="s">
        <v>754</v>
      </c>
      <c r="N41" t="s">
        <v>1266</v>
      </c>
      <c r="O41" t="s">
        <v>388</v>
      </c>
      <c r="P41" s="36">
        <v>27168</v>
      </c>
      <c r="Q41" s="45">
        <f t="shared" si="0"/>
        <v>50</v>
      </c>
      <c r="R41" s="44">
        <v>4.146E+16</v>
      </c>
      <c r="S41">
        <v>447808760944</v>
      </c>
      <c r="T41" t="s">
        <v>35</v>
      </c>
      <c r="U41"/>
      <c r="V41" s="39" cm="1">
        <f t="array" ref="V41">IFERROR(
    _xlfn.XLOOKUP(1,
        (tblPrices[Prefix]=$AC41)*(tblPrices[Product Code]=$T41),
        tblPrices[Price]
    ),
    0
)
+
IF(ISNUMBER(SEARCH("Mammogram",$U41)),
    IFERROR(_xlfn.XLOOKUP(1,(tblPrices[Prefix]=$AC41)*(tblPrices[Product Code]="Mammogram"),tblPrices[Price]),0),
    0
)
+
IF(ISNUMBER(SEARCH("PSA",$U41)),
    IFERROR(_xlfn.XLOOKUP(1,(tblPrices[Prefix]=$AC41)*(tblPrices[Product Code]="PSA"),tblPrices[Price]),0),
    0
)</f>
        <v>507.53</v>
      </c>
      <c r="W41" t="s">
        <v>629</v>
      </c>
      <c r="X41" t="s">
        <v>1050</v>
      </c>
      <c r="Y41"/>
      <c r="Z41">
        <v>21965691</v>
      </c>
      <c r="AA41" s="1" t="s">
        <v>159</v>
      </c>
      <c r="AB41" s="1" t="str" cm="1">
        <f t="array" ref="AB41" xml:space="preserve"> _xlfn.LET(_xlpm.pc, UPPER(TRIM(M41)), LEFT(_xlpm.pc, MIN(FIND({0,1,2,3,4,5,6,7,8,9}, _xlpm.pc&amp;"0123456789"))-1))</f>
        <v>LA</v>
      </c>
      <c r="AC41" s="1" t="s">
        <v>159</v>
      </c>
      <c r="AD41" s="1" t="str">
        <f>VLOOKUP(AB41, postcode_table!A:B, 2, FALSE)</f>
        <v>Lancaster</v>
      </c>
      <c r="AE41" s="1" t="str">
        <f>IFERROR(_xlfn.XLOOKUP(AC41, price_lookup_table!$C:$C, price_lookup_table!$B:$B), "")</f>
        <v>Corporate Flex</v>
      </c>
    </row>
    <row r="42" spans="1:31" ht="16.5" x14ac:dyDescent="0.25">
      <c r="A42" t="s">
        <v>34</v>
      </c>
      <c r="B42" s="36">
        <v>45685</v>
      </c>
      <c r="C42" s="36">
        <v>45663</v>
      </c>
      <c r="D42" t="s">
        <v>28</v>
      </c>
      <c r="E42" t="s">
        <v>29</v>
      </c>
      <c r="F42" t="s">
        <v>1458</v>
      </c>
      <c r="G42" t="s">
        <v>1459</v>
      </c>
      <c r="H42" t="s">
        <v>1460</v>
      </c>
      <c r="I42" t="s">
        <v>1461</v>
      </c>
      <c r="J42"/>
      <c r="K42"/>
      <c r="L42"/>
      <c r="M42" t="s">
        <v>793</v>
      </c>
      <c r="N42" t="s">
        <v>1265</v>
      </c>
      <c r="O42" t="s">
        <v>388</v>
      </c>
      <c r="P42" s="36">
        <v>31391</v>
      </c>
      <c r="Q42" s="45">
        <f t="shared" si="0"/>
        <v>39</v>
      </c>
      <c r="R42" t="s">
        <v>985</v>
      </c>
      <c r="S42">
        <v>447912782896</v>
      </c>
      <c r="T42" t="s">
        <v>30</v>
      </c>
      <c r="U42"/>
      <c r="V42" s="39" cm="1">
        <f t="array" ref="V42">IFERROR(
    _xlfn.XLOOKUP(1,
        (tblPrices[Prefix]=$AC42)*(tblPrices[Product Code]=$T42),
        tblPrices[Price]
    ),
    0
)
+
IF(ISNUMBER(SEARCH("Mammogram",$U42)),
    IFERROR(_xlfn.XLOOKUP(1,(tblPrices[Prefix]=$AC42)*(tblPrices[Product Code]="Mammogram"),tblPrices[Price]),0),
    0
)
+
IF(ISNUMBER(SEARCH("PSA",$U42)),
    IFERROR(_xlfn.XLOOKUP(1,(tblPrices[Prefix]=$AC42)*(tblPrices[Product Code]="PSA"),tblPrices[Price]),0),
    0
)</f>
        <v>0</v>
      </c>
      <c r="W42" t="s">
        <v>629</v>
      </c>
      <c r="X42" t="s">
        <v>642</v>
      </c>
      <c r="Y42"/>
      <c r="Z42">
        <v>20526578</v>
      </c>
      <c r="AA42" s="1" t="s">
        <v>159</v>
      </c>
      <c r="AB42" s="1" t="str" cm="1">
        <f t="array" ref="AB42" xml:space="preserve"> _xlfn.LET(_xlpm.pc, UPPER(TRIM(M42)), LEFT(_xlpm.pc, MIN(FIND({0,1,2,3,4,5,6,7,8,9}, _xlpm.pc&amp;"0123456789"))-1))</f>
        <v>RG</v>
      </c>
      <c r="AC42" s="1" t="s">
        <v>159</v>
      </c>
      <c r="AD42" s="1" t="str">
        <f>VLOOKUP(AB42, postcode_table!A:B, 2, FALSE)</f>
        <v>Reading</v>
      </c>
      <c r="AE42" s="1" t="str">
        <f>IFERROR(_xlfn.XLOOKUP(AC42, price_lookup_table!$C:$C, price_lookup_table!$B:$B), "")</f>
        <v>Corporate Flex</v>
      </c>
    </row>
    <row r="43" spans="1:31" ht="16.5" x14ac:dyDescent="0.25">
      <c r="A43" t="s">
        <v>651</v>
      </c>
      <c r="B43" s="36">
        <v>45686</v>
      </c>
      <c r="C43" s="36">
        <v>45672</v>
      </c>
      <c r="D43" t="s">
        <v>28</v>
      </c>
      <c r="E43" t="s">
        <v>29</v>
      </c>
      <c r="F43" t="s">
        <v>1462</v>
      </c>
      <c r="G43" t="s">
        <v>1463</v>
      </c>
      <c r="H43" t="s">
        <v>1464</v>
      </c>
      <c r="I43" t="s">
        <v>1465</v>
      </c>
      <c r="J43"/>
      <c r="K43"/>
      <c r="L43"/>
      <c r="M43" t="s">
        <v>684</v>
      </c>
      <c r="N43" t="s">
        <v>1264</v>
      </c>
      <c r="O43" t="s">
        <v>387</v>
      </c>
      <c r="P43" s="36">
        <v>36400</v>
      </c>
      <c r="Q43" s="45">
        <f t="shared" si="0"/>
        <v>25</v>
      </c>
      <c r="R43" t="s">
        <v>874</v>
      </c>
      <c r="S43">
        <v>447792197676</v>
      </c>
      <c r="T43" t="s">
        <v>30</v>
      </c>
      <c r="U43"/>
      <c r="V43" s="39" cm="1">
        <f t="array" ref="V43">IFERROR(
    _xlfn.XLOOKUP(1,
        (tblPrices[Prefix]=$AC43)*(tblPrices[Product Code]=$T43),
        tblPrices[Price]
    ),
    0
)
+
IF(ISNUMBER(SEARCH("Mammogram",$U43)),
    IFERROR(_xlfn.XLOOKUP(1,(tblPrices[Prefix]=$AC43)*(tblPrices[Product Code]="Mammogram"),tblPrices[Price]),0),
    0
)
+
IF(ISNUMBER(SEARCH("PSA",$U43)),
    IFERROR(_xlfn.XLOOKUP(1,(tblPrices[Prefix]=$AC43)*(tblPrices[Product Code]="PSA"),tblPrices[Price]),0),
    0
)</f>
        <v>0</v>
      </c>
      <c r="W43" t="s">
        <v>629</v>
      </c>
      <c r="X43" t="s">
        <v>1069</v>
      </c>
      <c r="Y43"/>
      <c r="Z43">
        <v>17520340</v>
      </c>
      <c r="AA43" s="1" t="s">
        <v>159</v>
      </c>
      <c r="AB43" s="1" t="str" cm="1">
        <f t="array" ref="AB43" xml:space="preserve"> _xlfn.LET(_xlpm.pc, UPPER(TRIM(M43)), LEFT(_xlpm.pc, MIN(FIND({0,1,2,3,4,5,6,7,8,9}, _xlpm.pc&amp;"0123456789"))-1))</f>
        <v>B</v>
      </c>
      <c r="AC43" s="1" t="s">
        <v>159</v>
      </c>
      <c r="AD43" s="1" t="str">
        <f>VLOOKUP(AB43, postcode_table!A:B, 2, FALSE)</f>
        <v>Birmingham</v>
      </c>
      <c r="AE43" s="1" t="str">
        <f>IFERROR(_xlfn.XLOOKUP(AC43, price_lookup_table!$C:$C, price_lookup_table!$B:$B), "")</f>
        <v>Corporate Flex</v>
      </c>
    </row>
    <row r="44" spans="1:31" ht="16.5" x14ac:dyDescent="0.25">
      <c r="A44" t="s">
        <v>34</v>
      </c>
      <c r="B44" s="36">
        <v>45686</v>
      </c>
      <c r="C44" s="36">
        <v>45666</v>
      </c>
      <c r="D44" t="s">
        <v>28</v>
      </c>
      <c r="E44" t="s">
        <v>29</v>
      </c>
      <c r="F44" t="s">
        <v>1466</v>
      </c>
      <c r="G44" t="s">
        <v>1467</v>
      </c>
      <c r="H44" t="s">
        <v>1468</v>
      </c>
      <c r="I44" t="s">
        <v>1469</v>
      </c>
      <c r="J44"/>
      <c r="K44"/>
      <c r="L44"/>
      <c r="M44" t="s">
        <v>792</v>
      </c>
      <c r="N44" t="s">
        <v>1263</v>
      </c>
      <c r="O44" t="s">
        <v>387</v>
      </c>
      <c r="P44" s="36">
        <v>22534</v>
      </c>
      <c r="Q44" s="45">
        <f t="shared" si="0"/>
        <v>63</v>
      </c>
      <c r="R44" t="s">
        <v>984</v>
      </c>
      <c r="S44">
        <v>447741638502</v>
      </c>
      <c r="T44" t="s">
        <v>35</v>
      </c>
      <c r="U44"/>
      <c r="V44" s="39" cm="1">
        <f t="array" ref="V44">IFERROR(
    _xlfn.XLOOKUP(1,
        (tblPrices[Prefix]=$AC44)*(tblPrices[Product Code]=$T44),
        tblPrices[Price]
    ),
    0
)
+
IF(ISNUMBER(SEARCH("Mammogram",$U44)),
    IFERROR(_xlfn.XLOOKUP(1,(tblPrices[Prefix]=$AC44)*(tblPrices[Product Code]="Mammogram"),tblPrices[Price]),0),
    0
)
+
IF(ISNUMBER(SEARCH("PSA",$U44)),
    IFERROR(_xlfn.XLOOKUP(1,(tblPrices[Prefix]=$AC44)*(tblPrices[Product Code]="PSA"),tblPrices[Price]),0),
    0
)</f>
        <v>507.53</v>
      </c>
      <c r="W44" t="s">
        <v>629</v>
      </c>
      <c r="X44" t="s">
        <v>636</v>
      </c>
      <c r="Y44"/>
      <c r="Z44">
        <v>22010546</v>
      </c>
      <c r="AA44" s="1" t="s">
        <v>159</v>
      </c>
      <c r="AB44" s="1" t="str" cm="1">
        <f t="array" ref="AB44" xml:space="preserve"> _xlfn.LET(_xlpm.pc, UPPER(TRIM(M44)), LEFT(_xlpm.pc, MIN(FIND({0,1,2,3,4,5,6,7,8,9}, _xlpm.pc&amp;"0123456789"))-1))</f>
        <v>RG</v>
      </c>
      <c r="AC44" s="1" t="s">
        <v>159</v>
      </c>
      <c r="AD44" s="1" t="str">
        <f>VLOOKUP(AB44, postcode_table!A:B, 2, FALSE)</f>
        <v>Reading</v>
      </c>
      <c r="AE44" s="1" t="str">
        <f>IFERROR(_xlfn.XLOOKUP(AC44, price_lookup_table!$C:$C, price_lookup_table!$B:$B), "")</f>
        <v>Corporate Flex</v>
      </c>
    </row>
    <row r="45" spans="1:31" ht="16.5" x14ac:dyDescent="0.25">
      <c r="A45" t="s">
        <v>42</v>
      </c>
      <c r="B45" s="36">
        <v>45686</v>
      </c>
      <c r="C45" s="36">
        <v>45677</v>
      </c>
      <c r="D45" t="s">
        <v>28</v>
      </c>
      <c r="E45" t="s">
        <v>29</v>
      </c>
      <c r="F45" t="s">
        <v>1470</v>
      </c>
      <c r="G45" t="s">
        <v>1471</v>
      </c>
      <c r="H45" t="s">
        <v>1472</v>
      </c>
      <c r="I45" t="s">
        <v>1473</v>
      </c>
      <c r="J45"/>
      <c r="K45"/>
      <c r="L45"/>
      <c r="M45" t="s">
        <v>803</v>
      </c>
      <c r="N45" t="s">
        <v>1262</v>
      </c>
      <c r="O45" t="s">
        <v>387</v>
      </c>
      <c r="P45" s="36">
        <v>32171</v>
      </c>
      <c r="Q45" s="45">
        <f t="shared" si="0"/>
        <v>37</v>
      </c>
      <c r="R45" t="s">
        <v>996</v>
      </c>
      <c r="S45">
        <v>447977941613</v>
      </c>
      <c r="T45" t="s">
        <v>30</v>
      </c>
      <c r="U45"/>
      <c r="V45" s="39" cm="1">
        <f t="array" ref="V45">IFERROR(
    _xlfn.XLOOKUP(1,
        (tblPrices[Prefix]=$AC45)*(tblPrices[Product Code]=$T45),
        tblPrices[Price]
    ),
    0
)
+
IF(ISNUMBER(SEARCH("Mammogram",$U45)),
    IFERROR(_xlfn.XLOOKUP(1,(tblPrices[Prefix]=$AC45)*(tblPrices[Product Code]="Mammogram"),tblPrices[Price]),0),
    0
)
+
IF(ISNUMBER(SEARCH("PSA",$U45)),
    IFERROR(_xlfn.XLOOKUP(1,(tblPrices[Prefix]=$AC45)*(tblPrices[Product Code]="PSA"),tblPrices[Price]),0),
    0
)</f>
        <v>0</v>
      </c>
      <c r="W45" t="s">
        <v>629</v>
      </c>
      <c r="X45" t="s">
        <v>1048</v>
      </c>
      <c r="Y45"/>
      <c r="Z45">
        <v>21139819</v>
      </c>
      <c r="AA45" s="1" t="s">
        <v>159</v>
      </c>
      <c r="AB45" s="1" t="str" cm="1">
        <f t="array" ref="AB45" xml:space="preserve"> _xlfn.LET(_xlpm.pc, UPPER(TRIM(M45)), LEFT(_xlpm.pc, MIN(FIND({0,1,2,3,4,5,6,7,8,9}, _xlpm.pc&amp;"0123456789"))-1))</f>
        <v>SE</v>
      </c>
      <c r="AC45" s="1" t="s">
        <v>159</v>
      </c>
      <c r="AD45" s="1" t="str">
        <f>VLOOKUP(AB45, postcode_table!A:B, 2, FALSE)</f>
        <v>South East London</v>
      </c>
      <c r="AE45" s="1" t="str">
        <f>IFERROR(_xlfn.XLOOKUP(AC45, price_lookup_table!$C:$C, price_lookup_table!$B:$B), "")</f>
        <v>Corporate Flex</v>
      </c>
    </row>
    <row r="46" spans="1:31" ht="16.5" x14ac:dyDescent="0.25">
      <c r="A46" t="s">
        <v>650</v>
      </c>
      <c r="B46" s="36">
        <v>45686</v>
      </c>
      <c r="C46" s="36">
        <v>45663</v>
      </c>
      <c r="D46" t="s">
        <v>28</v>
      </c>
      <c r="E46" t="s">
        <v>29</v>
      </c>
      <c r="F46" t="s">
        <v>1474</v>
      </c>
      <c r="G46" t="s">
        <v>1475</v>
      </c>
      <c r="H46" t="s">
        <v>1476</v>
      </c>
      <c r="I46" t="s">
        <v>1383</v>
      </c>
      <c r="J46"/>
      <c r="K46"/>
      <c r="L46"/>
      <c r="M46" t="s">
        <v>839</v>
      </c>
      <c r="N46" t="s">
        <v>1261</v>
      </c>
      <c r="O46" t="s">
        <v>388</v>
      </c>
      <c r="P46" s="36">
        <v>20315</v>
      </c>
      <c r="Q46" s="45">
        <f t="shared" si="0"/>
        <v>69</v>
      </c>
      <c r="R46" t="s">
        <v>1032</v>
      </c>
      <c r="S46">
        <v>447811167848</v>
      </c>
      <c r="T46" t="s">
        <v>35</v>
      </c>
      <c r="U46" t="s">
        <v>628</v>
      </c>
      <c r="V46" s="39" cm="1">
        <f t="array" ref="V46">IFERROR(
    _xlfn.XLOOKUP(1,
        (tblPrices[Prefix]=$AC46)*(tblPrices[Product Code]=$T46),
        tblPrices[Price]
    ),
    0
)
+
IF(ISNUMBER(SEARCH("Mammogram",$U46)),
    IFERROR(_xlfn.XLOOKUP(1,(tblPrices[Prefix]=$AC46)*(tblPrices[Product Code]="Mammogram"),tblPrices[Price]),0),
    0
)
+
IF(ISNUMBER(SEARCH("PSA",$U46)),
    IFERROR(_xlfn.XLOOKUP(1,(tblPrices[Prefix]=$AC46)*(tblPrices[Product Code]="PSA"),tblPrices[Price]),0),
    0
)</f>
        <v>647.53</v>
      </c>
      <c r="W46" t="s">
        <v>629</v>
      </c>
      <c r="X46" t="s">
        <v>1048</v>
      </c>
      <c r="Y46"/>
      <c r="Z46">
        <v>17498219</v>
      </c>
      <c r="AA46" s="1" t="s">
        <v>159</v>
      </c>
      <c r="AB46" s="1" t="str" cm="1">
        <f t="array" ref="AB46" xml:space="preserve"> _xlfn.LET(_xlpm.pc, UPPER(TRIM(M46)), LEFT(_xlpm.pc, MIN(FIND({0,1,2,3,4,5,6,7,8,9}, _xlpm.pc&amp;"0123456789"))-1))</f>
        <v>TW</v>
      </c>
      <c r="AC46" s="1" t="s">
        <v>159</v>
      </c>
      <c r="AD46" s="1" t="str">
        <f>VLOOKUP(AB46, postcode_table!A:B, 2, FALSE)</f>
        <v>Twickenham</v>
      </c>
      <c r="AE46" s="1" t="str">
        <f>IFERROR(_xlfn.XLOOKUP(AC46, price_lookup_table!$C:$C, price_lookup_table!$B:$B), "")</f>
        <v>Corporate Flex</v>
      </c>
    </row>
    <row r="47" spans="1:31" ht="16.5" x14ac:dyDescent="0.25">
      <c r="A47" t="s">
        <v>34</v>
      </c>
      <c r="B47" s="36">
        <v>45686</v>
      </c>
      <c r="C47" s="36">
        <v>45677</v>
      </c>
      <c r="D47" t="s">
        <v>28</v>
      </c>
      <c r="E47" t="s">
        <v>29</v>
      </c>
      <c r="F47" t="s">
        <v>736</v>
      </c>
      <c r="G47" t="s">
        <v>1477</v>
      </c>
      <c r="H47" t="s">
        <v>1478</v>
      </c>
      <c r="I47" t="s">
        <v>1479</v>
      </c>
      <c r="J47"/>
      <c r="K47"/>
      <c r="L47"/>
      <c r="M47" t="s">
        <v>841</v>
      </c>
      <c r="N47" t="s">
        <v>1260</v>
      </c>
      <c r="O47" t="s">
        <v>387</v>
      </c>
      <c r="P47" s="36">
        <v>30788</v>
      </c>
      <c r="Q47" s="45">
        <f t="shared" si="0"/>
        <v>40</v>
      </c>
      <c r="R47" t="s">
        <v>1034</v>
      </c>
      <c r="S47">
        <v>447812925745</v>
      </c>
      <c r="T47" t="s">
        <v>35</v>
      </c>
      <c r="U47"/>
      <c r="V47" s="39" cm="1">
        <f t="array" ref="V47">IFERROR(
    _xlfn.XLOOKUP(1,
        (tblPrices[Prefix]=$AC47)*(tblPrices[Product Code]=$T47),
        tblPrices[Price]
    ),
    0
)
+
IF(ISNUMBER(SEARCH("Mammogram",$U47)),
    IFERROR(_xlfn.XLOOKUP(1,(tblPrices[Prefix]=$AC47)*(tblPrices[Product Code]="Mammogram"),tblPrices[Price]),0),
    0
)
+
IF(ISNUMBER(SEARCH("PSA",$U47)),
    IFERROR(_xlfn.XLOOKUP(1,(tblPrices[Prefix]=$AC47)*(tblPrices[Product Code]="PSA"),tblPrices[Price]),0),
    0
)</f>
        <v>507.53</v>
      </c>
      <c r="W47" t="s">
        <v>629</v>
      </c>
      <c r="X47" t="s">
        <v>636</v>
      </c>
      <c r="Y47"/>
      <c r="Z47">
        <v>17243728</v>
      </c>
      <c r="AA47" s="1" t="s">
        <v>159</v>
      </c>
      <c r="AB47" s="1" t="str" cm="1">
        <f t="array" ref="AB47" xml:space="preserve"> _xlfn.LET(_xlpm.pc, UPPER(TRIM(M47)), LEFT(_xlpm.pc, MIN(FIND({0,1,2,3,4,5,6,7,8,9}, _xlpm.pc&amp;"0123456789"))-1))</f>
        <v>W</v>
      </c>
      <c r="AC47" s="1" t="s">
        <v>159</v>
      </c>
      <c r="AD47" s="1" t="str">
        <f>VLOOKUP(AB47, postcode_table!A:B, 2, FALSE)</f>
        <v>West London</v>
      </c>
      <c r="AE47" s="1" t="str">
        <f>IFERROR(_xlfn.XLOOKUP(AC47, price_lookup_table!$C:$C, price_lookup_table!$B:$B), "")</f>
        <v>Corporate Flex</v>
      </c>
    </row>
    <row r="48" spans="1:31" ht="16.5" x14ac:dyDescent="0.25">
      <c r="A48" t="s">
        <v>653</v>
      </c>
      <c r="B48" s="36">
        <v>45687</v>
      </c>
      <c r="C48" s="36">
        <v>45677</v>
      </c>
      <c r="D48" t="s">
        <v>28</v>
      </c>
      <c r="E48" t="s">
        <v>29</v>
      </c>
      <c r="F48" t="s">
        <v>1480</v>
      </c>
      <c r="G48" t="s">
        <v>1481</v>
      </c>
      <c r="H48" t="s">
        <v>1482</v>
      </c>
      <c r="I48" t="s">
        <v>1483</v>
      </c>
      <c r="J48"/>
      <c r="K48"/>
      <c r="L48"/>
      <c r="M48" t="s">
        <v>704</v>
      </c>
      <c r="N48" t="s">
        <v>1259</v>
      </c>
      <c r="O48" t="s">
        <v>387</v>
      </c>
      <c r="P48" s="36">
        <v>34599</v>
      </c>
      <c r="Q48" s="45">
        <f t="shared" si="0"/>
        <v>30</v>
      </c>
      <c r="R48" t="s">
        <v>894</v>
      </c>
      <c r="S48">
        <v>447779101987</v>
      </c>
      <c r="T48" t="s">
        <v>35</v>
      </c>
      <c r="U48"/>
      <c r="V48" s="39" cm="1">
        <f t="array" ref="V48">IFERROR(
    _xlfn.XLOOKUP(1,
        (tblPrices[Prefix]=$AC48)*(tblPrices[Product Code]=$T48),
        tblPrices[Price]
    ),
    0
)
+
IF(ISNUMBER(SEARCH("Mammogram",$U48)),
    IFERROR(_xlfn.XLOOKUP(1,(tblPrices[Prefix]=$AC48)*(tblPrices[Product Code]="Mammogram"),tblPrices[Price]),0),
    0
)
+
IF(ISNUMBER(SEARCH("PSA",$U48)),
    IFERROR(_xlfn.XLOOKUP(1,(tblPrices[Prefix]=$AC48)*(tblPrices[Product Code]="PSA"),tblPrices[Price]),0),
    0
)</f>
        <v>507.53</v>
      </c>
      <c r="W48" t="s">
        <v>629</v>
      </c>
      <c r="X48" t="s">
        <v>641</v>
      </c>
      <c r="Y48"/>
      <c r="Z48">
        <v>22022295</v>
      </c>
      <c r="AA48" s="1" t="s">
        <v>159</v>
      </c>
      <c r="AB48" s="1" t="str" cm="1">
        <f t="array" ref="AB48" xml:space="preserve"> _xlfn.LET(_xlpm.pc, UPPER(TRIM(M48)), LEFT(_xlpm.pc, MIN(FIND({0,1,2,3,4,5,6,7,8,9}, _xlpm.pc&amp;"0123456789"))-1))</f>
        <v>BS</v>
      </c>
      <c r="AC48" s="1" t="s">
        <v>159</v>
      </c>
      <c r="AD48" s="1" t="str">
        <f>VLOOKUP(AB48, postcode_table!A:B, 2, FALSE)</f>
        <v>Bristol</v>
      </c>
      <c r="AE48" s="1" t="str">
        <f>IFERROR(_xlfn.XLOOKUP(AC48, price_lookup_table!$C:$C, price_lookup_table!$B:$B), "")</f>
        <v>Corporate Flex</v>
      </c>
    </row>
    <row r="49" spans="1:31" ht="16.5" x14ac:dyDescent="0.25">
      <c r="A49" t="s">
        <v>389</v>
      </c>
      <c r="B49" s="36">
        <v>45687</v>
      </c>
      <c r="C49" s="36">
        <v>45665</v>
      </c>
      <c r="D49" t="s">
        <v>28</v>
      </c>
      <c r="E49" t="s">
        <v>29</v>
      </c>
      <c r="F49" t="s">
        <v>1484</v>
      </c>
      <c r="G49" t="s">
        <v>1485</v>
      </c>
      <c r="H49" t="s">
        <v>1486</v>
      </c>
      <c r="I49" t="s">
        <v>1367</v>
      </c>
      <c r="J49"/>
      <c r="K49"/>
      <c r="L49"/>
      <c r="M49" t="s">
        <v>811</v>
      </c>
      <c r="N49" t="s">
        <v>1258</v>
      </c>
      <c r="O49" t="s">
        <v>387</v>
      </c>
      <c r="P49" s="36">
        <v>24355</v>
      </c>
      <c r="Q49" s="45">
        <f t="shared" si="0"/>
        <v>58</v>
      </c>
      <c r="R49" t="s">
        <v>1004</v>
      </c>
      <c r="S49">
        <v>447803953767</v>
      </c>
      <c r="T49" t="s">
        <v>35</v>
      </c>
      <c r="U49"/>
      <c r="V49" s="39" cm="1">
        <f t="array" ref="V49">IFERROR(
    _xlfn.XLOOKUP(1,
        (tblPrices[Prefix]=$AC49)*(tblPrices[Product Code]=$T49),
        tblPrices[Price]
    ),
    0
)
+
IF(ISNUMBER(SEARCH("Mammogram",$U49)),
    IFERROR(_xlfn.XLOOKUP(1,(tblPrices[Prefix]=$AC49)*(tblPrices[Product Code]="Mammogram"),tblPrices[Price]),0),
    0
)
+
IF(ISNUMBER(SEARCH("PSA",$U49)),
    IFERROR(_xlfn.XLOOKUP(1,(tblPrices[Prefix]=$AC49)*(tblPrices[Product Code]="PSA"),tblPrices[Price]),0),
    0
)</f>
        <v>507.53</v>
      </c>
      <c r="W49" t="s">
        <v>629</v>
      </c>
      <c r="X49" t="s">
        <v>643</v>
      </c>
      <c r="Y49"/>
      <c r="Z49">
        <v>19902318</v>
      </c>
      <c r="AA49" s="1" t="s">
        <v>159</v>
      </c>
      <c r="AB49" s="1" t="str" cm="1">
        <f t="array" ref="AB49" xml:space="preserve"> _xlfn.LET(_xlpm.pc, UPPER(TRIM(M49)), LEFT(_xlpm.pc, MIN(FIND({0,1,2,3,4,5,6,7,8,9}, _xlpm.pc&amp;"0123456789"))-1))</f>
        <v>SG</v>
      </c>
      <c r="AC49" s="1" t="s">
        <v>159</v>
      </c>
      <c r="AD49" s="1" t="str">
        <f>VLOOKUP(AB49, postcode_table!A:B, 2, FALSE)</f>
        <v>Stevenage</v>
      </c>
      <c r="AE49" s="1" t="str">
        <f>IFERROR(_xlfn.XLOOKUP(AC49, price_lookup_table!$C:$C, price_lookup_table!$B:$B), "")</f>
        <v>Corporate Flex</v>
      </c>
    </row>
    <row r="50" spans="1:31" ht="16.5" x14ac:dyDescent="0.25">
      <c r="A50" t="s">
        <v>646</v>
      </c>
      <c r="B50" s="36">
        <v>45687</v>
      </c>
      <c r="C50" s="36">
        <v>45684</v>
      </c>
      <c r="D50" t="s">
        <v>28</v>
      </c>
      <c r="E50" t="s">
        <v>29</v>
      </c>
      <c r="F50" t="s">
        <v>1487</v>
      </c>
      <c r="G50" t="s">
        <v>1488</v>
      </c>
      <c r="H50" t="s">
        <v>1489</v>
      </c>
      <c r="I50" t="s">
        <v>1490</v>
      </c>
      <c r="J50"/>
      <c r="K50"/>
      <c r="L50"/>
      <c r="M50" t="s">
        <v>745</v>
      </c>
      <c r="N50" t="s">
        <v>1257</v>
      </c>
      <c r="O50" t="s">
        <v>387</v>
      </c>
      <c r="P50" s="36">
        <v>23813</v>
      </c>
      <c r="Q50" s="45">
        <f t="shared" si="0"/>
        <v>59</v>
      </c>
      <c r="R50" t="s">
        <v>933</v>
      </c>
      <c r="S50">
        <v>447732893813</v>
      </c>
      <c r="T50" t="s">
        <v>30</v>
      </c>
      <c r="U50"/>
      <c r="V50" s="39" cm="1">
        <f t="array" ref="V50">IFERROR(
    _xlfn.XLOOKUP(1,
        (tblPrices[Prefix]=$AC50)*(tblPrices[Product Code]=$T50),
        tblPrices[Price]
    ),
    0
)
+
IF(ISNUMBER(SEARCH("Mammogram",$U50)),
    IFERROR(_xlfn.XLOOKUP(1,(tblPrices[Prefix]=$AC50)*(tblPrices[Product Code]="Mammogram"),tblPrices[Price]),0),
    0
)
+
IF(ISNUMBER(SEARCH("PSA",$U50)),
    IFERROR(_xlfn.XLOOKUP(1,(tblPrices[Prefix]=$AC50)*(tblPrices[Product Code]="PSA"),tblPrices[Price]),0),
    0
)</f>
        <v>0</v>
      </c>
      <c r="W50" t="s">
        <v>629</v>
      </c>
      <c r="X50" t="s">
        <v>636</v>
      </c>
      <c r="Y50"/>
      <c r="Z50">
        <v>17798485</v>
      </c>
      <c r="AA50" s="1" t="s">
        <v>159</v>
      </c>
      <c r="AB50" s="1" t="str" cm="1">
        <f t="array" ref="AB50" xml:space="preserve"> _xlfn.LET(_xlpm.pc, UPPER(TRIM(M50)), LEFT(_xlpm.pc, MIN(FIND({0,1,2,3,4,5,6,7,8,9}, _xlpm.pc&amp;"0123456789"))-1))</f>
        <v>KA</v>
      </c>
      <c r="AC50" s="1" t="s">
        <v>159</v>
      </c>
      <c r="AD50" s="1" t="str">
        <f>VLOOKUP(AB50, postcode_table!A:B, 2, FALSE)</f>
        <v>Kilmarnock</v>
      </c>
      <c r="AE50" s="1" t="str">
        <f>IFERROR(_xlfn.XLOOKUP(AC50, price_lookup_table!$C:$C, price_lookup_table!$B:$B), "")</f>
        <v>Corporate Flex</v>
      </c>
    </row>
    <row r="51" spans="1:31" ht="16.5" x14ac:dyDescent="0.25">
      <c r="A51" t="s">
        <v>646</v>
      </c>
      <c r="B51" s="36">
        <v>45687</v>
      </c>
      <c r="C51" s="36">
        <v>45671</v>
      </c>
      <c r="D51" t="s">
        <v>28</v>
      </c>
      <c r="E51" t="s">
        <v>29</v>
      </c>
      <c r="F51" t="s">
        <v>1491</v>
      </c>
      <c r="G51" t="s">
        <v>1492</v>
      </c>
      <c r="H51" t="s">
        <v>1493</v>
      </c>
      <c r="I51" t="s">
        <v>1494</v>
      </c>
      <c r="J51"/>
      <c r="K51"/>
      <c r="L51"/>
      <c r="M51" t="s">
        <v>721</v>
      </c>
      <c r="N51" t="s">
        <v>1256</v>
      </c>
      <c r="O51" t="s">
        <v>387</v>
      </c>
      <c r="P51" s="36">
        <v>33087</v>
      </c>
      <c r="Q51" s="45">
        <f t="shared" si="0"/>
        <v>34</v>
      </c>
      <c r="R51" t="s">
        <v>909</v>
      </c>
      <c r="S51">
        <v>447813181172</v>
      </c>
      <c r="T51" t="s">
        <v>30</v>
      </c>
      <c r="U51"/>
      <c r="V51" s="39" cm="1">
        <f t="array" ref="V51">IFERROR(
    _xlfn.XLOOKUP(1,
        (tblPrices[Prefix]=$AC51)*(tblPrices[Product Code]=$T51),
        tblPrices[Price]
    ),
    0
)
+
IF(ISNUMBER(SEARCH("Mammogram",$U51)),
    IFERROR(_xlfn.XLOOKUP(1,(tblPrices[Prefix]=$AC51)*(tblPrices[Product Code]="Mammogram"),tblPrices[Price]),0),
    0
)
+
IF(ISNUMBER(SEARCH("PSA",$U51)),
    IFERROR(_xlfn.XLOOKUP(1,(tblPrices[Prefix]=$AC51)*(tblPrices[Product Code]="PSA"),tblPrices[Price]),0),
    0
)</f>
        <v>0</v>
      </c>
      <c r="W51" t="s">
        <v>629</v>
      </c>
      <c r="X51" t="s">
        <v>637</v>
      </c>
      <c r="Y51"/>
      <c r="Z51">
        <v>22015250</v>
      </c>
      <c r="AA51" s="1" t="s">
        <v>159</v>
      </c>
      <c r="AB51" s="1" t="str" cm="1">
        <f t="array" ref="AB51" xml:space="preserve"> _xlfn.LET(_xlpm.pc, UPPER(TRIM(M51)), LEFT(_xlpm.pc, MIN(FIND({0,1,2,3,4,5,6,7,8,9}, _xlpm.pc&amp;"0123456789"))-1))</f>
        <v>G</v>
      </c>
      <c r="AC51" s="1" t="s">
        <v>159</v>
      </c>
      <c r="AD51" s="1" t="str">
        <f>VLOOKUP(AB51, postcode_table!A:B, 2, FALSE)</f>
        <v>Glasgow</v>
      </c>
      <c r="AE51" s="1" t="str">
        <f>IFERROR(_xlfn.XLOOKUP(AC51, price_lookup_table!$C:$C, price_lookup_table!$B:$B), "")</f>
        <v>Corporate Flex</v>
      </c>
    </row>
    <row r="52" spans="1:31" ht="16.5" x14ac:dyDescent="0.25">
      <c r="A52" t="s">
        <v>34</v>
      </c>
      <c r="B52" s="36">
        <v>45688</v>
      </c>
      <c r="C52" s="36">
        <v>45679</v>
      </c>
      <c r="D52" t="s">
        <v>28</v>
      </c>
      <c r="E52" t="s">
        <v>29</v>
      </c>
      <c r="F52" t="s">
        <v>1495</v>
      </c>
      <c r="G52" t="s">
        <v>1496</v>
      </c>
      <c r="H52" t="s">
        <v>1497</v>
      </c>
      <c r="I52" t="s">
        <v>1498</v>
      </c>
      <c r="J52"/>
      <c r="K52"/>
      <c r="L52"/>
      <c r="M52" t="s">
        <v>699</v>
      </c>
      <c r="N52" t="s">
        <v>1255</v>
      </c>
      <c r="O52" t="s">
        <v>388</v>
      </c>
      <c r="P52" s="36">
        <v>33657</v>
      </c>
      <c r="Q52" s="45">
        <f t="shared" si="0"/>
        <v>32</v>
      </c>
      <c r="R52" t="s">
        <v>888</v>
      </c>
      <c r="S52">
        <v>447872925876</v>
      </c>
      <c r="T52" t="s">
        <v>35</v>
      </c>
      <c r="U52"/>
      <c r="V52" s="39" cm="1">
        <f t="array" ref="V52">IFERROR(
    _xlfn.XLOOKUP(1,
        (tblPrices[Prefix]=$AC52)*(tblPrices[Product Code]=$T52),
        tblPrices[Price]
    ),
    0
)
+
IF(ISNUMBER(SEARCH("Mammogram",$U52)),
    IFERROR(_xlfn.XLOOKUP(1,(tblPrices[Prefix]=$AC52)*(tblPrices[Product Code]="Mammogram"),tblPrices[Price]),0),
    0
)
+
IF(ISNUMBER(SEARCH("PSA",$U52)),
    IFERROR(_xlfn.XLOOKUP(1,(tblPrices[Prefix]=$AC52)*(tblPrices[Product Code]="PSA"),tblPrices[Price]),0),
    0
)</f>
        <v>507.53</v>
      </c>
      <c r="W52" t="s">
        <v>629</v>
      </c>
      <c r="X52" t="s">
        <v>637</v>
      </c>
      <c r="Y52"/>
      <c r="Z52">
        <v>22027005</v>
      </c>
      <c r="AA52" s="1" t="s">
        <v>159</v>
      </c>
      <c r="AB52" s="1" t="str" cm="1">
        <f t="array" ref="AB52" xml:space="preserve"> _xlfn.LET(_xlpm.pc, UPPER(TRIM(M52)), LEFT(_xlpm.pc, MIN(FIND({0,1,2,3,4,5,6,7,8,9}, _xlpm.pc&amp;"0123456789"))-1))</f>
        <v>BN</v>
      </c>
      <c r="AC52" s="1" t="s">
        <v>159</v>
      </c>
      <c r="AD52" s="1" t="str">
        <f>VLOOKUP(AB52, postcode_table!A:B, 2, FALSE)</f>
        <v>Brighton</v>
      </c>
      <c r="AE52" s="1" t="str">
        <f>IFERROR(_xlfn.XLOOKUP(AC52, price_lookup_table!$C:$C, price_lookup_table!$B:$B), "")</f>
        <v>Corporate Flex</v>
      </c>
    </row>
    <row r="53" spans="1:31" ht="16.5" x14ac:dyDescent="0.25">
      <c r="A53" t="s">
        <v>72</v>
      </c>
      <c r="B53" s="36">
        <v>45688</v>
      </c>
      <c r="C53" s="36">
        <v>45667</v>
      </c>
      <c r="D53" t="s">
        <v>28</v>
      </c>
      <c r="E53" t="s">
        <v>29</v>
      </c>
      <c r="F53" t="s">
        <v>1499</v>
      </c>
      <c r="G53" t="s">
        <v>1500</v>
      </c>
      <c r="H53" t="s">
        <v>1501</v>
      </c>
      <c r="I53" t="s">
        <v>1383</v>
      </c>
      <c r="J53"/>
      <c r="K53"/>
      <c r="L53"/>
      <c r="M53" t="s">
        <v>810</v>
      </c>
      <c r="N53" t="s">
        <v>1254</v>
      </c>
      <c r="O53" t="s">
        <v>387</v>
      </c>
      <c r="P53" s="36">
        <v>14783</v>
      </c>
      <c r="Q53" s="45">
        <f t="shared" si="0"/>
        <v>84</v>
      </c>
      <c r="R53" t="s">
        <v>1003</v>
      </c>
      <c r="S53">
        <v>447818457514</v>
      </c>
      <c r="T53" t="s">
        <v>35</v>
      </c>
      <c r="U53"/>
      <c r="V53" s="39" cm="1">
        <f t="array" ref="V53">IFERROR(
    _xlfn.XLOOKUP(1,
        (tblPrices[Prefix]=$AC53)*(tblPrices[Product Code]=$T53),
        tblPrices[Price]
    ),
    0
)
+
IF(ISNUMBER(SEARCH("Mammogram",$U53)),
    IFERROR(_xlfn.XLOOKUP(1,(tblPrices[Prefix]=$AC53)*(tblPrices[Product Code]="Mammogram"),tblPrices[Price]),0),
    0
)
+
IF(ISNUMBER(SEARCH("PSA",$U53)),
    IFERROR(_xlfn.XLOOKUP(1,(tblPrices[Prefix]=$AC53)*(tblPrices[Product Code]="PSA"),tblPrices[Price]),0),
    0
)</f>
        <v>507.53</v>
      </c>
      <c r="W53" t="s">
        <v>629</v>
      </c>
      <c r="X53" t="s">
        <v>1063</v>
      </c>
      <c r="Y53"/>
      <c r="Z53">
        <v>21081340</v>
      </c>
      <c r="AA53" s="1" t="s">
        <v>159</v>
      </c>
      <c r="AB53" s="1" t="str" cm="1">
        <f t="array" ref="AB53" xml:space="preserve"> _xlfn.LET(_xlpm.pc, UPPER(TRIM(M53)), LEFT(_xlpm.pc, MIN(FIND({0,1,2,3,4,5,6,7,8,9}, _xlpm.pc&amp;"0123456789"))-1))</f>
        <v>SG</v>
      </c>
      <c r="AC53" s="1" t="s">
        <v>159</v>
      </c>
      <c r="AD53" s="1" t="str">
        <f>VLOOKUP(AB53, postcode_table!A:B, 2, FALSE)</f>
        <v>Stevenage</v>
      </c>
      <c r="AE53" s="1" t="str">
        <f>IFERROR(_xlfn.XLOOKUP(AC53, price_lookup_table!$C:$C, price_lookup_table!$B:$B), "")</f>
        <v>Corporate Flex</v>
      </c>
    </row>
    <row r="54" spans="1:31" ht="16.5" x14ac:dyDescent="0.25">
      <c r="A54" t="s">
        <v>659</v>
      </c>
      <c r="B54" s="36">
        <v>45688</v>
      </c>
      <c r="C54" s="36">
        <v>45681</v>
      </c>
      <c r="D54" t="s">
        <v>28</v>
      </c>
      <c r="E54" t="s">
        <v>29</v>
      </c>
      <c r="F54" t="s">
        <v>1502</v>
      </c>
      <c r="G54" t="s">
        <v>1503</v>
      </c>
      <c r="H54" t="s">
        <v>1504</v>
      </c>
      <c r="I54" t="s">
        <v>1505</v>
      </c>
      <c r="J54"/>
      <c r="K54"/>
      <c r="L54"/>
      <c r="M54" t="s">
        <v>741</v>
      </c>
      <c r="N54" t="s">
        <v>1253</v>
      </c>
      <c r="O54" t="s">
        <v>387</v>
      </c>
      <c r="P54" s="36">
        <v>25581</v>
      </c>
      <c r="Q54" s="45">
        <f t="shared" si="0"/>
        <v>55</v>
      </c>
      <c r="R54" t="s">
        <v>929</v>
      </c>
      <c r="S54">
        <v>447362202191</v>
      </c>
      <c r="T54" t="s">
        <v>197</v>
      </c>
      <c r="U54"/>
      <c r="V54" s="39" cm="1">
        <f t="array" ref="V54">IFERROR(
    _xlfn.XLOOKUP(1,
        (tblPrices[Prefix]=$AC54)*(tblPrices[Product Code]=$T54),
        tblPrices[Price]
    ),
    0
)
+
IF(ISNUMBER(SEARCH("Mammogram",$U54)),
    IFERROR(_xlfn.XLOOKUP(1,(tblPrices[Prefix]=$AC54)*(tblPrices[Product Code]="Mammogram"),tblPrices[Price]),0),
    0
)
+
IF(ISNUMBER(SEARCH("PSA",$U54)),
    IFERROR(_xlfn.XLOOKUP(1,(tblPrices[Prefix]=$AC54)*(tblPrices[Product Code]="PSA"),tblPrices[Price]),0),
    0
)</f>
        <v>0</v>
      </c>
      <c r="W54" t="s">
        <v>629</v>
      </c>
      <c r="X54" t="s">
        <v>1048</v>
      </c>
      <c r="Y54"/>
      <c r="Z54">
        <v>22030700</v>
      </c>
      <c r="AA54" s="1" t="s">
        <v>159</v>
      </c>
      <c r="AB54" s="1" t="str" cm="1">
        <f t="array" ref="AB54" xml:space="preserve"> _xlfn.LET(_xlpm.pc, UPPER(TRIM(M54)), LEFT(_xlpm.pc, MIN(FIND({0,1,2,3,4,5,6,7,8,9}, _xlpm.pc&amp;"0123456789"))-1))</f>
        <v>IP</v>
      </c>
      <c r="AC54" s="1" t="s">
        <v>159</v>
      </c>
      <c r="AD54" s="1" t="str">
        <f>VLOOKUP(AB54, postcode_table!A:B, 2, FALSE)</f>
        <v>Ipswich</v>
      </c>
      <c r="AE54" s="1" t="str">
        <f>IFERROR(_xlfn.XLOOKUP(AC54, price_lookup_table!$C:$C, price_lookup_table!$B:$B), "")</f>
        <v>Corporate Flex</v>
      </c>
    </row>
    <row r="55" spans="1:31" ht="16.5" x14ac:dyDescent="0.25">
      <c r="A55" t="s">
        <v>34</v>
      </c>
      <c r="B55" s="36">
        <v>45691</v>
      </c>
      <c r="C55" s="36">
        <v>45687</v>
      </c>
      <c r="D55" t="s">
        <v>28</v>
      </c>
      <c r="E55" t="s">
        <v>29</v>
      </c>
      <c r="F55" t="s">
        <v>1506</v>
      </c>
      <c r="G55" t="s">
        <v>1507</v>
      </c>
      <c r="H55" t="s">
        <v>1508</v>
      </c>
      <c r="I55" t="s">
        <v>1509</v>
      </c>
      <c r="J55"/>
      <c r="K55"/>
      <c r="L55"/>
      <c r="M55" t="s">
        <v>725</v>
      </c>
      <c r="N55" t="s">
        <v>1252</v>
      </c>
      <c r="O55" t="s">
        <v>387</v>
      </c>
      <c r="P55" s="36">
        <v>22329</v>
      </c>
      <c r="Q55" s="45">
        <f t="shared" si="0"/>
        <v>63</v>
      </c>
      <c r="R55" t="s">
        <v>914</v>
      </c>
      <c r="S55">
        <v>447785387795</v>
      </c>
      <c r="T55" t="s">
        <v>30</v>
      </c>
      <c r="U55"/>
      <c r="V55" s="39" cm="1">
        <f t="array" ref="V55">IFERROR(
    _xlfn.XLOOKUP(1,
        (tblPrices[Prefix]=$AC55)*(tblPrices[Product Code]=$T55),
        tblPrices[Price]
    ),
    0
)
+
IF(ISNUMBER(SEARCH("Mammogram",$U55)),
    IFERROR(_xlfn.XLOOKUP(1,(tblPrices[Prefix]=$AC55)*(tblPrices[Product Code]="Mammogram"),tblPrices[Price]),0),
    0
)
+
IF(ISNUMBER(SEARCH("PSA",$U55)),
    IFERROR(_xlfn.XLOOKUP(1,(tblPrices[Prefix]=$AC55)*(tblPrices[Product Code]="PSA"),tblPrices[Price]),0),
    0
)</f>
        <v>0</v>
      </c>
      <c r="W55" t="s">
        <v>629</v>
      </c>
      <c r="X55" t="s">
        <v>642</v>
      </c>
      <c r="Y55"/>
      <c r="Z55">
        <v>17193620</v>
      </c>
      <c r="AA55" s="1" t="s">
        <v>159</v>
      </c>
      <c r="AB55" s="1" t="str" cm="1">
        <f t="array" ref="AB55" xml:space="preserve"> _xlfn.LET(_xlpm.pc, UPPER(TRIM(M55)), LEFT(_xlpm.pc, MIN(FIND({0,1,2,3,4,5,6,7,8,9}, _xlpm.pc&amp;"0123456789"))-1))</f>
        <v>GU</v>
      </c>
      <c r="AC55" s="1" t="s">
        <v>159</v>
      </c>
      <c r="AD55" s="1" t="str">
        <f>VLOOKUP(AB55, postcode_table!A:B, 2, FALSE)</f>
        <v>Guildford</v>
      </c>
      <c r="AE55" s="1" t="str">
        <f>IFERROR(_xlfn.XLOOKUP(AC55, price_lookup_table!$C:$C, price_lookup_table!$B:$B), "")</f>
        <v>Corporate Flex</v>
      </c>
    </row>
    <row r="56" spans="1:31" ht="16.5" x14ac:dyDescent="0.25">
      <c r="A56" t="s">
        <v>42</v>
      </c>
      <c r="B56" s="36">
        <v>45691</v>
      </c>
      <c r="C56" s="36">
        <v>45685</v>
      </c>
      <c r="D56" t="s">
        <v>28</v>
      </c>
      <c r="E56" t="s">
        <v>29</v>
      </c>
      <c r="F56" t="s">
        <v>1510</v>
      </c>
      <c r="G56" t="s">
        <v>1511</v>
      </c>
      <c r="H56" t="s">
        <v>1512</v>
      </c>
      <c r="I56" t="s">
        <v>1513</v>
      </c>
      <c r="J56"/>
      <c r="K56"/>
      <c r="L56"/>
      <c r="M56" t="s">
        <v>775</v>
      </c>
      <c r="N56" t="s">
        <v>1251</v>
      </c>
      <c r="O56" t="s">
        <v>387</v>
      </c>
      <c r="P56" s="36">
        <v>31061</v>
      </c>
      <c r="Q56" s="45">
        <f t="shared" si="0"/>
        <v>40</v>
      </c>
      <c r="R56" t="s">
        <v>964</v>
      </c>
      <c r="S56">
        <v>447940253204</v>
      </c>
      <c r="T56" t="s">
        <v>35</v>
      </c>
      <c r="U56"/>
      <c r="V56" s="39" cm="1">
        <f t="array" ref="V56">IFERROR(
    _xlfn.XLOOKUP(1,
        (tblPrices[Prefix]=$AC56)*(tblPrices[Product Code]=$T56),
        tblPrices[Price]
    ),
    0
)
+
IF(ISNUMBER(SEARCH("Mammogram",$U56)),
    IFERROR(_xlfn.XLOOKUP(1,(tblPrices[Prefix]=$AC56)*(tblPrices[Product Code]="Mammogram"),tblPrices[Price]),0),
    0
)
+
IF(ISNUMBER(SEARCH("PSA",$U56)),
    IFERROR(_xlfn.XLOOKUP(1,(tblPrices[Prefix]=$AC56)*(tblPrices[Product Code]="PSA"),tblPrices[Price]),0),
    0
)</f>
        <v>507.53</v>
      </c>
      <c r="W56" t="s">
        <v>629</v>
      </c>
      <c r="X56" t="s">
        <v>1047</v>
      </c>
      <c r="Y56"/>
      <c r="Z56">
        <v>12016809</v>
      </c>
      <c r="AA56" s="1" t="s">
        <v>159</v>
      </c>
      <c r="AB56" s="1" t="str" cm="1">
        <f t="array" ref="AB56" xml:space="preserve"> _xlfn.LET(_xlpm.pc, UPPER(TRIM(M56)), LEFT(_xlpm.pc, MIN(FIND({0,1,2,3,4,5,6,7,8,9}, _xlpm.pc&amp;"0123456789"))-1))</f>
        <v>N</v>
      </c>
      <c r="AC56" s="1" t="s">
        <v>159</v>
      </c>
      <c r="AD56" s="1" t="str">
        <f>VLOOKUP(AB56, postcode_table!A:B, 2, FALSE)</f>
        <v>North London</v>
      </c>
      <c r="AE56" s="1" t="str">
        <f>IFERROR(_xlfn.XLOOKUP(AC56, price_lookup_table!$C:$C, price_lookup_table!$B:$B), "")</f>
        <v>Corporate Flex</v>
      </c>
    </row>
    <row r="57" spans="1:31" ht="16.5" x14ac:dyDescent="0.25">
      <c r="A57" t="s">
        <v>42</v>
      </c>
      <c r="B57" s="36">
        <v>45691</v>
      </c>
      <c r="C57" s="36">
        <v>45684</v>
      </c>
      <c r="D57" t="s">
        <v>28</v>
      </c>
      <c r="E57" t="s">
        <v>29</v>
      </c>
      <c r="F57" t="s">
        <v>1514</v>
      </c>
      <c r="G57" t="s">
        <v>1515</v>
      </c>
      <c r="H57" t="s">
        <v>1516</v>
      </c>
      <c r="I57" t="s">
        <v>1517</v>
      </c>
      <c r="J57"/>
      <c r="K57"/>
      <c r="L57"/>
      <c r="M57" t="s">
        <v>809</v>
      </c>
      <c r="N57" t="s">
        <v>1250</v>
      </c>
      <c r="O57" t="s">
        <v>388</v>
      </c>
      <c r="P57" s="36">
        <v>28688</v>
      </c>
      <c r="Q57" s="45">
        <f t="shared" si="0"/>
        <v>46</v>
      </c>
      <c r="R57" t="s">
        <v>1002</v>
      </c>
      <c r="S57">
        <v>447850076594</v>
      </c>
      <c r="T57" t="s">
        <v>35</v>
      </c>
      <c r="U57"/>
      <c r="V57" s="39" cm="1">
        <f t="array" ref="V57">IFERROR(
    _xlfn.XLOOKUP(1,
        (tblPrices[Prefix]=$AC57)*(tblPrices[Product Code]=$T57),
        tblPrices[Price]
    ),
    0
)
+
IF(ISNUMBER(SEARCH("Mammogram",$U57)),
    IFERROR(_xlfn.XLOOKUP(1,(tblPrices[Prefix]=$AC57)*(tblPrices[Product Code]="Mammogram"),tblPrices[Price]),0),
    0
)
+
IF(ISNUMBER(SEARCH("PSA",$U57)),
    IFERROR(_xlfn.XLOOKUP(1,(tblPrices[Prefix]=$AC57)*(tblPrices[Product Code]="PSA"),tblPrices[Price]),0),
    0
)</f>
        <v>507.53</v>
      </c>
      <c r="W57" t="s">
        <v>629</v>
      </c>
      <c r="X57" t="s">
        <v>1056</v>
      </c>
      <c r="Y57"/>
      <c r="Z57">
        <v>22032733</v>
      </c>
      <c r="AA57" s="1" t="s">
        <v>159</v>
      </c>
      <c r="AB57" s="1" t="str" cm="1">
        <f t="array" ref="AB57" xml:space="preserve"> _xlfn.LET(_xlpm.pc, UPPER(TRIM(M57)), LEFT(_xlpm.pc, MIN(FIND({0,1,2,3,4,5,6,7,8,9}, _xlpm.pc&amp;"0123456789"))-1))</f>
        <v>SE</v>
      </c>
      <c r="AC57" s="1" t="s">
        <v>159</v>
      </c>
      <c r="AD57" s="1" t="str">
        <f>VLOOKUP(AB57, postcode_table!A:B, 2, FALSE)</f>
        <v>South East London</v>
      </c>
      <c r="AE57" s="1" t="str">
        <f>IFERROR(_xlfn.XLOOKUP(AC57, price_lookup_table!$C:$C, price_lookup_table!$B:$B), "")</f>
        <v>Corporate Flex</v>
      </c>
    </row>
    <row r="58" spans="1:31" ht="16.5" x14ac:dyDescent="0.25">
      <c r="A58" t="s">
        <v>649</v>
      </c>
      <c r="B58" s="36">
        <v>45691</v>
      </c>
      <c r="C58" s="36">
        <v>45663</v>
      </c>
      <c r="D58" t="s">
        <v>28</v>
      </c>
      <c r="E58" t="s">
        <v>29</v>
      </c>
      <c r="F58" t="s">
        <v>1518</v>
      </c>
      <c r="G58" t="s">
        <v>1519</v>
      </c>
      <c r="H58" t="s">
        <v>1520</v>
      </c>
      <c r="I58" t="s">
        <v>1521</v>
      </c>
      <c r="J58"/>
      <c r="K58"/>
      <c r="L58"/>
      <c r="M58" t="s">
        <v>829</v>
      </c>
      <c r="N58" t="s">
        <v>1249</v>
      </c>
      <c r="O58" t="s">
        <v>387</v>
      </c>
      <c r="P58" s="36">
        <v>25462</v>
      </c>
      <c r="Q58" s="45">
        <f t="shared" si="0"/>
        <v>55</v>
      </c>
      <c r="R58" s="44" t="s">
        <v>1023</v>
      </c>
      <c r="S58">
        <v>447785512955</v>
      </c>
      <c r="T58" t="s">
        <v>35</v>
      </c>
      <c r="U58"/>
      <c r="V58" s="39" cm="1">
        <f t="array" ref="V58">IFERROR(
    _xlfn.XLOOKUP(1,
        (tblPrices[Prefix]=$AC58)*(tblPrices[Product Code]=$T58),
        tblPrices[Price]
    ),
    0
)
+
IF(ISNUMBER(SEARCH("Mammogram",$U58)),
    IFERROR(_xlfn.XLOOKUP(1,(tblPrices[Prefix]=$AC58)*(tblPrices[Product Code]="Mammogram"),tblPrices[Price]),0),
    0
)
+
IF(ISNUMBER(SEARCH("PSA",$U58)),
    IFERROR(_xlfn.XLOOKUP(1,(tblPrices[Prefix]=$AC58)*(tblPrices[Product Code]="PSA"),tblPrices[Price]),0),
    0
)</f>
        <v>507.53</v>
      </c>
      <c r="W58" t="s">
        <v>629</v>
      </c>
      <c r="X58" t="s">
        <v>1056</v>
      </c>
      <c r="Y58"/>
      <c r="Z58">
        <v>17202107</v>
      </c>
      <c r="AA58" s="1" t="s">
        <v>159</v>
      </c>
      <c r="AB58" s="1" t="str" cm="1">
        <f t="array" ref="AB58" xml:space="preserve"> _xlfn.LET(_xlpm.pc, UPPER(TRIM(M58)), LEFT(_xlpm.pc, MIN(FIND({0,1,2,3,4,5,6,7,8,9}, _xlpm.pc&amp;"0123456789"))-1))</f>
        <v>SW</v>
      </c>
      <c r="AC58" s="1" t="s">
        <v>159</v>
      </c>
      <c r="AD58" s="1" t="str">
        <f>VLOOKUP(AB58, postcode_table!A:B, 2, FALSE)</f>
        <v>South West London</v>
      </c>
      <c r="AE58" s="1" t="str">
        <f>IFERROR(_xlfn.XLOOKUP(AC58, price_lookup_table!$C:$C, price_lookup_table!$B:$B), "")</f>
        <v>Corporate Flex</v>
      </c>
    </row>
    <row r="59" spans="1:31" ht="16.5" x14ac:dyDescent="0.25">
      <c r="A59" t="s">
        <v>650</v>
      </c>
      <c r="B59" s="36">
        <v>45691</v>
      </c>
      <c r="C59" s="36">
        <v>45681</v>
      </c>
      <c r="D59" t="s">
        <v>28</v>
      </c>
      <c r="E59" t="s">
        <v>29</v>
      </c>
      <c r="F59" t="s">
        <v>1522</v>
      </c>
      <c r="G59" t="s">
        <v>1523</v>
      </c>
      <c r="H59" t="s">
        <v>1524</v>
      </c>
      <c r="I59" t="s">
        <v>1525</v>
      </c>
      <c r="J59"/>
      <c r="K59"/>
      <c r="L59"/>
      <c r="M59" t="s">
        <v>838</v>
      </c>
      <c r="N59" t="s">
        <v>1248</v>
      </c>
      <c r="O59" t="s">
        <v>387</v>
      </c>
      <c r="P59" s="36">
        <v>21848</v>
      </c>
      <c r="Q59" s="45">
        <f t="shared" si="0"/>
        <v>65</v>
      </c>
      <c r="R59" t="s">
        <v>1031</v>
      </c>
      <c r="S59">
        <v>447388368740</v>
      </c>
      <c r="T59" t="s">
        <v>35</v>
      </c>
      <c r="U59"/>
      <c r="V59" s="39" cm="1">
        <f t="array" ref="V59">IFERROR(
    _xlfn.XLOOKUP(1,
        (tblPrices[Prefix]=$AC59)*(tblPrices[Product Code]=$T59),
        tblPrices[Price]
    ),
    0
)
+
IF(ISNUMBER(SEARCH("Mammogram",$U59)),
    IFERROR(_xlfn.XLOOKUP(1,(tblPrices[Prefix]=$AC59)*(tblPrices[Product Code]="Mammogram"),tblPrices[Price]),0),
    0
)
+
IF(ISNUMBER(SEARCH("PSA",$U59)),
    IFERROR(_xlfn.XLOOKUP(1,(tblPrices[Prefix]=$AC59)*(tblPrices[Product Code]="PSA"),tblPrices[Price]),0),
    0
)</f>
        <v>507.53</v>
      </c>
      <c r="W59" t="s">
        <v>629</v>
      </c>
      <c r="X59" t="s">
        <v>1049</v>
      </c>
      <c r="Y59"/>
      <c r="Z59">
        <v>20332624</v>
      </c>
      <c r="AA59" s="1" t="s">
        <v>159</v>
      </c>
      <c r="AB59" s="1" t="str" cm="1">
        <f t="array" ref="AB59" xml:space="preserve"> _xlfn.LET(_xlpm.pc, UPPER(TRIM(M59)), LEFT(_xlpm.pc, MIN(FIND({0,1,2,3,4,5,6,7,8,9}, _xlpm.pc&amp;"0123456789"))-1))</f>
        <v>TW</v>
      </c>
      <c r="AC59" s="1" t="s">
        <v>159</v>
      </c>
      <c r="AD59" s="1" t="str">
        <f>VLOOKUP(AB59, postcode_table!A:B, 2, FALSE)</f>
        <v>Twickenham</v>
      </c>
      <c r="AE59" s="1" t="str">
        <f>IFERROR(_xlfn.XLOOKUP(AC59, price_lookup_table!$C:$C, price_lookup_table!$B:$B), "")</f>
        <v>Corporate Flex</v>
      </c>
    </row>
    <row r="60" spans="1:31" ht="16.5" x14ac:dyDescent="0.25">
      <c r="A60" t="s">
        <v>651</v>
      </c>
      <c r="B60" s="36">
        <v>45691</v>
      </c>
      <c r="C60" s="36">
        <v>45680</v>
      </c>
      <c r="D60" t="s">
        <v>28</v>
      </c>
      <c r="E60" t="s">
        <v>29</v>
      </c>
      <c r="F60" t="s">
        <v>1526</v>
      </c>
      <c r="G60" t="s">
        <v>1527</v>
      </c>
      <c r="H60" t="s">
        <v>1528</v>
      </c>
      <c r="I60" t="s">
        <v>1529</v>
      </c>
      <c r="J60"/>
      <c r="K60"/>
      <c r="L60"/>
      <c r="M60" t="s">
        <v>685</v>
      </c>
      <c r="N60" t="s">
        <v>1247</v>
      </c>
      <c r="O60" t="s">
        <v>388</v>
      </c>
      <c r="P60" s="36">
        <v>27597</v>
      </c>
      <c r="Q60" s="45">
        <f t="shared" si="0"/>
        <v>49</v>
      </c>
      <c r="R60" t="s">
        <v>875</v>
      </c>
      <c r="S60">
        <v>447917792601</v>
      </c>
      <c r="T60" t="s">
        <v>30</v>
      </c>
      <c r="U60"/>
      <c r="V60" s="39" cm="1">
        <f t="array" ref="V60">IFERROR(
    _xlfn.XLOOKUP(1,
        (tblPrices[Prefix]=$AC60)*(tblPrices[Product Code]=$T60),
        tblPrices[Price]
    ),
    0
)
+
IF(ISNUMBER(SEARCH("Mammogram",$U60)),
    IFERROR(_xlfn.XLOOKUP(1,(tblPrices[Prefix]=$AC60)*(tblPrices[Product Code]="Mammogram"),tblPrices[Price]),0),
    0
)
+
IF(ISNUMBER(SEARCH("PSA",$U60)),
    IFERROR(_xlfn.XLOOKUP(1,(tblPrices[Prefix]=$AC60)*(tblPrices[Product Code]="PSA"),tblPrices[Price]),0),
    0
)</f>
        <v>0</v>
      </c>
      <c r="W60" t="s">
        <v>629</v>
      </c>
      <c r="X60" t="s">
        <v>1056</v>
      </c>
      <c r="Y60"/>
      <c r="Z60">
        <v>19257564</v>
      </c>
      <c r="AA60" s="1" t="s">
        <v>159</v>
      </c>
      <c r="AB60" s="1" t="str" cm="1">
        <f t="array" ref="AB60" xml:space="preserve"> _xlfn.LET(_xlpm.pc, UPPER(TRIM(M60)), LEFT(_xlpm.pc, MIN(FIND({0,1,2,3,4,5,6,7,8,9}, _xlpm.pc&amp;"0123456789"))-1))</f>
        <v>B</v>
      </c>
      <c r="AC60" s="1" t="s">
        <v>159</v>
      </c>
      <c r="AD60" s="1" t="str">
        <f>VLOOKUP(AB60, postcode_table!A:B, 2, FALSE)</f>
        <v>Birmingham</v>
      </c>
      <c r="AE60" s="1" t="str">
        <f>IFERROR(_xlfn.XLOOKUP(AC60, price_lookup_table!$C:$C, price_lookup_table!$B:$B), "")</f>
        <v>Corporate Flex</v>
      </c>
    </row>
    <row r="61" spans="1:31" ht="16.5" x14ac:dyDescent="0.25">
      <c r="A61" t="s">
        <v>34</v>
      </c>
      <c r="B61" s="36">
        <v>45691</v>
      </c>
      <c r="C61" s="36">
        <v>45665</v>
      </c>
      <c r="D61" t="s">
        <v>28</v>
      </c>
      <c r="E61" t="s">
        <v>29</v>
      </c>
      <c r="F61" t="s">
        <v>1530</v>
      </c>
      <c r="G61" t="s">
        <v>1531</v>
      </c>
      <c r="H61" t="s">
        <v>1532</v>
      </c>
      <c r="I61" t="s">
        <v>1533</v>
      </c>
      <c r="J61"/>
      <c r="K61"/>
      <c r="L61"/>
      <c r="M61" t="s">
        <v>691</v>
      </c>
      <c r="N61" t="s">
        <v>1246</v>
      </c>
      <c r="O61" t="s">
        <v>387</v>
      </c>
      <c r="P61" s="36">
        <v>25912</v>
      </c>
      <c r="Q61" s="45">
        <f t="shared" si="0"/>
        <v>54</v>
      </c>
      <c r="R61" t="s">
        <v>880</v>
      </c>
      <c r="S61">
        <v>447939536351</v>
      </c>
      <c r="T61" t="s">
        <v>30</v>
      </c>
      <c r="U61"/>
      <c r="V61" s="39" cm="1">
        <f t="array" ref="V61">IFERROR(
    _xlfn.XLOOKUP(1,
        (tblPrices[Prefix]=$AC61)*(tblPrices[Product Code]=$T61),
        tblPrices[Price]
    ),
    0
)
+
IF(ISNUMBER(SEARCH("Mammogram",$U61)),
    IFERROR(_xlfn.XLOOKUP(1,(tblPrices[Prefix]=$AC61)*(tblPrices[Product Code]="Mammogram"),tblPrices[Price]),0),
    0
)
+
IF(ISNUMBER(SEARCH("PSA",$U61)),
    IFERROR(_xlfn.XLOOKUP(1,(tblPrices[Prefix]=$AC61)*(tblPrices[Product Code]="PSA"),tblPrices[Price]),0),
    0
)</f>
        <v>970.5</v>
      </c>
      <c r="W61" t="s">
        <v>629</v>
      </c>
      <c r="X61" t="s">
        <v>1061</v>
      </c>
      <c r="Y61"/>
      <c r="Z61">
        <v>21962046</v>
      </c>
      <c r="AA61" t="s">
        <v>1081</v>
      </c>
      <c r="AB61" s="1" t="str" cm="1">
        <f t="array" ref="AB61" xml:space="preserve"> _xlfn.LET(_xlpm.pc, UPPER(TRIM(M61)), LEFT(_xlpm.pc, MIN(FIND({0,1,2,3,4,5,6,7,8,9}, _xlpm.pc&amp;"0123456789"))-1))</f>
        <v>BA</v>
      </c>
      <c r="AC61" s="1" t="str">
        <f t="shared" si="1"/>
        <v>M01</v>
      </c>
      <c r="AD61" s="1" t="str">
        <f>VLOOKUP(AB61, postcode_table!A:B, 2, FALSE)</f>
        <v>Bath</v>
      </c>
      <c r="AE61" s="1" t="str">
        <f>IFERROR(_xlfn.XLOOKUP(AC61, price_lookup_table!$C:$C, price_lookup_table!$B:$B), "")</f>
        <v>Self Pay</v>
      </c>
    </row>
    <row r="62" spans="1:31" ht="16.5" x14ac:dyDescent="0.25">
      <c r="A62" t="s">
        <v>37</v>
      </c>
      <c r="B62" s="36">
        <v>45691</v>
      </c>
      <c r="C62" s="36">
        <v>45666</v>
      </c>
      <c r="D62" t="s">
        <v>28</v>
      </c>
      <c r="E62" t="s">
        <v>29</v>
      </c>
      <c r="F62" t="s">
        <v>678</v>
      </c>
      <c r="G62" t="s">
        <v>1534</v>
      </c>
      <c r="H62" t="s">
        <v>1535</v>
      </c>
      <c r="I62" t="s">
        <v>1536</v>
      </c>
      <c r="J62"/>
      <c r="K62"/>
      <c r="L62"/>
      <c r="M62" t="s">
        <v>730</v>
      </c>
      <c r="N62" t="s">
        <v>1245</v>
      </c>
      <c r="O62" t="s">
        <v>387</v>
      </c>
      <c r="P62" s="36">
        <v>36013</v>
      </c>
      <c r="Q62" s="45">
        <f t="shared" si="0"/>
        <v>26</v>
      </c>
      <c r="R62" t="s">
        <v>918</v>
      </c>
      <c r="S62"/>
      <c r="T62" t="s">
        <v>30</v>
      </c>
      <c r="U62"/>
      <c r="V62" s="39" cm="1">
        <f t="array" ref="V62">IFERROR(
    _xlfn.XLOOKUP(1,
        (tblPrices[Prefix]=$AC62)*(tblPrices[Product Code]=$T62),
        tblPrices[Price]
    ),
    0
)
+
IF(ISNUMBER(SEARCH("Mammogram",$U62)),
    IFERROR(_xlfn.XLOOKUP(1,(tblPrices[Prefix]=$AC62)*(tblPrices[Product Code]="Mammogram"),tblPrices[Price]),0),
    0
)
+
IF(ISNUMBER(SEARCH("PSA",$U62)),
    IFERROR(_xlfn.XLOOKUP(1,(tblPrices[Prefix]=$AC62)*(tblPrices[Product Code]="PSA"),tblPrices[Price]),0),
    0
)</f>
        <v>970.5</v>
      </c>
      <c r="W62" t="s">
        <v>629</v>
      </c>
      <c r="X62" t="s">
        <v>1058</v>
      </c>
      <c r="Y62"/>
      <c r="Z62">
        <v>16419057</v>
      </c>
      <c r="AA62" t="s">
        <v>1081</v>
      </c>
      <c r="AB62" s="1" t="str" cm="1">
        <f t="array" ref="AB62" xml:space="preserve"> _xlfn.LET(_xlpm.pc, UPPER(TRIM(M62)), LEFT(_xlpm.pc, MIN(FIND({0,1,2,3,4,5,6,7,8,9}, _xlpm.pc&amp;"0123456789"))-1))</f>
        <v>HD</v>
      </c>
      <c r="AC62" s="1" t="str">
        <f t="shared" si="1"/>
        <v>M01</v>
      </c>
      <c r="AD62" s="1" t="str">
        <f>VLOOKUP(AB62, postcode_table!A:B, 2, FALSE)</f>
        <v>Huddersfield</v>
      </c>
      <c r="AE62" s="1" t="str">
        <f>IFERROR(_xlfn.XLOOKUP(AC62, price_lookup_table!$C:$C, price_lookup_table!$B:$B), "")</f>
        <v>Self Pay</v>
      </c>
    </row>
    <row r="63" spans="1:31" ht="16.5" x14ac:dyDescent="0.25">
      <c r="A63" t="s">
        <v>645</v>
      </c>
      <c r="B63" s="36">
        <v>45692</v>
      </c>
      <c r="C63" s="36">
        <v>45678</v>
      </c>
      <c r="D63" t="s">
        <v>28</v>
      </c>
      <c r="E63" t="s">
        <v>29</v>
      </c>
      <c r="F63" t="s">
        <v>1537</v>
      </c>
      <c r="G63" t="s">
        <v>1538</v>
      </c>
      <c r="H63" t="s">
        <v>1539</v>
      </c>
      <c r="I63" t="s">
        <v>1540</v>
      </c>
      <c r="J63"/>
      <c r="K63"/>
      <c r="L63"/>
      <c r="M63" t="s">
        <v>669</v>
      </c>
      <c r="N63" t="s">
        <v>1244</v>
      </c>
      <c r="O63" t="s">
        <v>387</v>
      </c>
      <c r="P63" s="36">
        <v>28156</v>
      </c>
      <c r="Q63" s="45">
        <f t="shared" si="0"/>
        <v>48</v>
      </c>
      <c r="R63" t="s">
        <v>863</v>
      </c>
      <c r="S63">
        <v>447770414997</v>
      </c>
      <c r="T63" t="s">
        <v>35</v>
      </c>
      <c r="U63"/>
      <c r="V63" s="39" cm="1">
        <f t="array" ref="V63">IFERROR(
    _xlfn.XLOOKUP(1,
        (tblPrices[Prefix]=$AC63)*(tblPrices[Product Code]=$T63),
        tblPrices[Price]
    ),
    0
)
+
IF(ISNUMBER(SEARCH("Mammogram",$U63)),
    IFERROR(_xlfn.XLOOKUP(1,(tblPrices[Prefix]=$AC63)*(tblPrices[Product Code]="Mammogram"),tblPrices[Price]),0),
    0
)
+
IF(ISNUMBER(SEARCH("PSA",$U63)),
    IFERROR(_xlfn.XLOOKUP(1,(tblPrices[Prefix]=$AC63)*(tblPrices[Product Code]="PSA"),tblPrices[Price]),0),
    0
)</f>
        <v>543</v>
      </c>
      <c r="W63" t="s">
        <v>629</v>
      </c>
      <c r="X63" t="s">
        <v>1048</v>
      </c>
      <c r="Y63"/>
      <c r="Z63">
        <v>15453719</v>
      </c>
      <c r="AA63" t="s">
        <v>1082</v>
      </c>
      <c r="AB63" s="1" t="str" cm="1">
        <f t="array" ref="AB63" xml:space="preserve"> _xlfn.LET(_xlpm.pc, UPPER(TRIM(M63)), LEFT(_xlpm.pc, MIN(FIND({0,1,2,3,4,5,6,7,8,9}, _xlpm.pc&amp;"0123456789"))-1))</f>
        <v>AB</v>
      </c>
      <c r="AC63" s="1" t="str">
        <f t="shared" si="1"/>
        <v>AXA</v>
      </c>
      <c r="AD63" s="1" t="str">
        <f>VLOOKUP(AB63, postcode_table!A:B, 2, FALSE)</f>
        <v>Aberdeen</v>
      </c>
      <c r="AE63" s="1" t="str">
        <f>IFERROR(_xlfn.XLOOKUP(AC63, price_lookup_table!$C:$C, price_lookup_table!$B:$B), "")</f>
        <v>Self Pay</v>
      </c>
    </row>
    <row r="64" spans="1:31" ht="16.5" x14ac:dyDescent="0.25">
      <c r="A64" t="s">
        <v>645</v>
      </c>
      <c r="B64" s="36">
        <v>45692</v>
      </c>
      <c r="C64" s="36">
        <v>45678</v>
      </c>
      <c r="D64" t="s">
        <v>28</v>
      </c>
      <c r="E64" t="s">
        <v>29</v>
      </c>
      <c r="F64" t="s">
        <v>1541</v>
      </c>
      <c r="G64" t="s">
        <v>1542</v>
      </c>
      <c r="H64" t="s">
        <v>1543</v>
      </c>
      <c r="I64" t="s">
        <v>1544</v>
      </c>
      <c r="J64"/>
      <c r="K64"/>
      <c r="L64"/>
      <c r="M64" t="s">
        <v>669</v>
      </c>
      <c r="N64" t="s">
        <v>1243</v>
      </c>
      <c r="O64" t="s">
        <v>388</v>
      </c>
      <c r="P64" s="36">
        <v>20447</v>
      </c>
      <c r="Q64" s="45">
        <f t="shared" si="0"/>
        <v>69</v>
      </c>
      <c r="R64" t="s">
        <v>864</v>
      </c>
      <c r="S64">
        <v>447762175832</v>
      </c>
      <c r="T64" t="s">
        <v>35</v>
      </c>
      <c r="U64"/>
      <c r="V64" s="39" cm="1">
        <f t="array" ref="V64">IFERROR(
    _xlfn.XLOOKUP(1,
        (tblPrices[Prefix]=$AC64)*(tblPrices[Product Code]=$T64),
        tblPrices[Price]
    ),
    0
)
+
IF(ISNUMBER(SEARCH("Mammogram",$U64)),
    IFERROR(_xlfn.XLOOKUP(1,(tblPrices[Prefix]=$AC64)*(tblPrices[Product Code]="Mammogram"),tblPrices[Price]),0),
    0
)
+
IF(ISNUMBER(SEARCH("PSA",$U64)),
    IFERROR(_xlfn.XLOOKUP(1,(tblPrices[Prefix]=$AC64)*(tblPrices[Product Code]="PSA"),tblPrices[Price]),0),
    0
)</f>
        <v>543</v>
      </c>
      <c r="W64" t="s">
        <v>629</v>
      </c>
      <c r="X64" t="s">
        <v>1048</v>
      </c>
      <c r="Y64"/>
      <c r="Z64">
        <v>19567994</v>
      </c>
      <c r="AA64" t="s">
        <v>1087</v>
      </c>
      <c r="AB64" s="1" t="str" cm="1">
        <f t="array" ref="AB64" xml:space="preserve"> _xlfn.LET(_xlpm.pc, UPPER(TRIM(M64)), LEFT(_xlpm.pc, MIN(FIND({0,1,2,3,4,5,6,7,8,9}, _xlpm.pc&amp;"0123456789"))-1))</f>
        <v>AB</v>
      </c>
      <c r="AC64" s="1" t="str">
        <f t="shared" si="1"/>
        <v>AXA</v>
      </c>
      <c r="AD64" s="1" t="str">
        <f>VLOOKUP(AB64, postcode_table!A:B, 2, FALSE)</f>
        <v>Aberdeen</v>
      </c>
      <c r="AE64" s="1" t="str">
        <f>IFERROR(_xlfn.XLOOKUP(AC64, price_lookup_table!$C:$C, price_lookup_table!$B:$B), "")</f>
        <v>Self Pay</v>
      </c>
    </row>
    <row r="65" spans="1:31" ht="16.5" x14ac:dyDescent="0.25">
      <c r="A65" t="s">
        <v>34</v>
      </c>
      <c r="B65" s="36">
        <v>45692</v>
      </c>
      <c r="C65" s="36">
        <v>45674</v>
      </c>
      <c r="D65" t="s">
        <v>28</v>
      </c>
      <c r="E65" t="s">
        <v>29</v>
      </c>
      <c r="F65" t="s">
        <v>660</v>
      </c>
      <c r="G65" t="s">
        <v>1545</v>
      </c>
      <c r="H65" t="s">
        <v>1546</v>
      </c>
      <c r="I65" t="s">
        <v>1547</v>
      </c>
      <c r="J65"/>
      <c r="K65"/>
      <c r="L65"/>
      <c r="M65" t="s">
        <v>753</v>
      </c>
      <c r="N65" t="s">
        <v>1242</v>
      </c>
      <c r="O65" t="s">
        <v>388</v>
      </c>
      <c r="P65" s="36">
        <v>20972</v>
      </c>
      <c r="Q65" s="45">
        <f t="shared" si="0"/>
        <v>67</v>
      </c>
      <c r="R65" t="s">
        <v>943</v>
      </c>
      <c r="S65">
        <v>447508042487</v>
      </c>
      <c r="T65" t="s">
        <v>30</v>
      </c>
      <c r="U65"/>
      <c r="V65" s="39" cm="1">
        <f t="array" ref="V65">IFERROR(
    _xlfn.XLOOKUP(1,
        (tblPrices[Prefix]=$AC65)*(tblPrices[Product Code]=$T65),
        tblPrices[Price]
    ),
    0
)
+
IF(ISNUMBER(SEARCH("Mammogram",$U65)),
    IFERROR(_xlfn.XLOOKUP(1,(tblPrices[Prefix]=$AC65)*(tblPrices[Product Code]="Mammogram"),tblPrices[Price]),0),
    0
)
+
IF(ISNUMBER(SEARCH("PSA",$U65)),
    IFERROR(_xlfn.XLOOKUP(1,(tblPrices[Prefix]=$AC65)*(tblPrices[Product Code]="PSA"),tblPrices[Price]),0),
    0
)</f>
        <v>728</v>
      </c>
      <c r="W65" t="s">
        <v>629</v>
      </c>
      <c r="X65" t="s">
        <v>642</v>
      </c>
      <c r="Y65"/>
      <c r="Z65">
        <v>22020490</v>
      </c>
      <c r="AA65" t="s">
        <v>1082</v>
      </c>
      <c r="AB65" s="1" t="str" cm="1">
        <f t="array" ref="AB65" xml:space="preserve"> _xlfn.LET(_xlpm.pc, UPPER(TRIM(M65)), LEFT(_xlpm.pc, MIN(FIND({0,1,2,3,4,5,6,7,8,9}, _xlpm.pc&amp;"0123456789"))-1))</f>
        <v>KT</v>
      </c>
      <c r="AC65" s="1" t="str">
        <f t="shared" si="1"/>
        <v>AXA</v>
      </c>
      <c r="AD65" s="1" t="str">
        <f>VLOOKUP(AB65, postcode_table!A:B, 2, FALSE)</f>
        <v>Kingston upon Thames</v>
      </c>
      <c r="AE65" s="1" t="str">
        <f>IFERROR(_xlfn.XLOOKUP(AC65, price_lookup_table!$C:$C, price_lookup_table!$B:$B), "")</f>
        <v>Self Pay</v>
      </c>
    </row>
    <row r="66" spans="1:31" ht="16.5" x14ac:dyDescent="0.25">
      <c r="A66" t="s">
        <v>34</v>
      </c>
      <c r="B66" s="36">
        <v>45692</v>
      </c>
      <c r="C66" s="36">
        <v>45667</v>
      </c>
      <c r="D66" t="s">
        <v>28</v>
      </c>
      <c r="E66" t="s">
        <v>29</v>
      </c>
      <c r="F66" t="s">
        <v>1548</v>
      </c>
      <c r="G66" t="s">
        <v>1549</v>
      </c>
      <c r="H66" t="s">
        <v>1550</v>
      </c>
      <c r="I66" t="s">
        <v>1551</v>
      </c>
      <c r="J66"/>
      <c r="K66"/>
      <c r="L66"/>
      <c r="M66" t="s">
        <v>796</v>
      </c>
      <c r="N66" t="s">
        <v>1241</v>
      </c>
      <c r="O66" t="s">
        <v>387</v>
      </c>
      <c r="P66" s="36">
        <v>17306</v>
      </c>
      <c r="Q66" s="45">
        <f t="shared" si="0"/>
        <v>77</v>
      </c>
      <c r="R66" t="s">
        <v>987</v>
      </c>
      <c r="S66">
        <v>447881903049</v>
      </c>
      <c r="T66" t="s">
        <v>30</v>
      </c>
      <c r="U66"/>
      <c r="V66" s="39" cm="1">
        <f t="array" ref="V66">IFERROR(
    _xlfn.XLOOKUP(1,
        (tblPrices[Prefix]=$AC66)*(tblPrices[Product Code]=$T66),
        tblPrices[Price]
    ),
    0
)
+
IF(ISNUMBER(SEARCH("Mammogram",$U66)),
    IFERROR(_xlfn.XLOOKUP(1,(tblPrices[Prefix]=$AC66)*(tblPrices[Product Code]="Mammogram"),tblPrices[Price]),0),
    0
)
+
IF(ISNUMBER(SEARCH("PSA",$U66)),
    IFERROR(_xlfn.XLOOKUP(1,(tblPrices[Prefix]=$AC66)*(tblPrices[Product Code]="PSA"),tblPrices[Price]),0),
    0
)</f>
        <v>728</v>
      </c>
      <c r="W66" t="s">
        <v>629</v>
      </c>
      <c r="X66" t="s">
        <v>636</v>
      </c>
      <c r="Y66"/>
      <c r="Z66">
        <v>22011647</v>
      </c>
      <c r="AA66" t="s">
        <v>1082</v>
      </c>
      <c r="AB66" s="1" t="str" cm="1">
        <f t="array" ref="AB66" xml:space="preserve"> _xlfn.LET(_xlpm.pc, UPPER(TRIM(M66)), LEFT(_xlpm.pc, MIN(FIND({0,1,2,3,4,5,6,7,8,9}, _xlpm.pc&amp;"0123456789"))-1))</f>
        <v>RH</v>
      </c>
      <c r="AC66" s="1" t="str">
        <f t="shared" ref="AC66:AC129" si="2">LEFT(AA66, 3)</f>
        <v>AXA</v>
      </c>
      <c r="AD66" s="1" t="str">
        <f>VLOOKUP(AB66, postcode_table!A:B, 2, FALSE)</f>
        <v>Redhill</v>
      </c>
      <c r="AE66" s="1" t="str">
        <f>IFERROR(_xlfn.XLOOKUP(AC66, price_lookup_table!$C:$C, price_lookup_table!$B:$B), "")</f>
        <v>Self Pay</v>
      </c>
    </row>
    <row r="67" spans="1:31" ht="16.5" x14ac:dyDescent="0.25">
      <c r="A67" t="s">
        <v>647</v>
      </c>
      <c r="B67" s="36">
        <v>45692</v>
      </c>
      <c r="C67" s="36">
        <v>45663</v>
      </c>
      <c r="D67" t="s">
        <v>28</v>
      </c>
      <c r="E67" t="s">
        <v>29</v>
      </c>
      <c r="F67" t="s">
        <v>708</v>
      </c>
      <c r="G67" t="s">
        <v>802</v>
      </c>
      <c r="H67" t="s">
        <v>1552</v>
      </c>
      <c r="I67" t="s">
        <v>1553</v>
      </c>
      <c r="J67"/>
      <c r="K67"/>
      <c r="L67"/>
      <c r="M67" t="s">
        <v>694</v>
      </c>
      <c r="N67" t="s">
        <v>1240</v>
      </c>
      <c r="O67" t="s">
        <v>388</v>
      </c>
      <c r="P67" s="36">
        <v>26897</v>
      </c>
      <c r="Q67" s="45">
        <f t="shared" si="0"/>
        <v>51</v>
      </c>
      <c r="R67" t="s">
        <v>884</v>
      </c>
      <c r="S67">
        <v>447899790448</v>
      </c>
      <c r="T67" t="s">
        <v>35</v>
      </c>
      <c r="U67"/>
      <c r="V67" s="39" cm="1">
        <f t="array" ref="V67">IFERROR(
    _xlfn.XLOOKUP(1,
        (tblPrices[Prefix]=$AC67)*(tblPrices[Product Code]=$T67),
        tblPrices[Price]
    ),
    0
)
+
IF(ISNUMBER(SEARCH("Mammogram",$U67)),
    IFERROR(_xlfn.XLOOKUP(1,(tblPrices[Prefix]=$AC67)*(tblPrices[Product Code]="Mammogram"),tblPrices[Price]),0),
    0
)
+
IF(ISNUMBER(SEARCH("PSA",$U67)),
    IFERROR(_xlfn.XLOOKUP(1,(tblPrices[Prefix]=$AC67)*(tblPrices[Product Code]="PSA"),tblPrices[Price]),0),
    0
)</f>
        <v>724.5</v>
      </c>
      <c r="W67" t="s">
        <v>629</v>
      </c>
      <c r="X67" t="s">
        <v>636</v>
      </c>
      <c r="Y67"/>
      <c r="Z67">
        <v>13035206</v>
      </c>
      <c r="AA67" t="s">
        <v>1081</v>
      </c>
      <c r="AB67" s="1" t="str" cm="1">
        <f t="array" ref="AB67" xml:space="preserve"> _xlfn.LET(_xlpm.pc, UPPER(TRIM(M67)), LEFT(_xlpm.pc, MIN(FIND({0,1,2,3,4,5,6,7,8,9}, _xlpm.pc&amp;"0123456789"))-1))</f>
        <v>BA</v>
      </c>
      <c r="AC67" s="1" t="str">
        <f t="shared" si="2"/>
        <v>M01</v>
      </c>
      <c r="AD67" s="1" t="str">
        <f>VLOOKUP(AB67, postcode_table!A:B, 2, FALSE)</f>
        <v>Bath</v>
      </c>
      <c r="AE67" s="1" t="str">
        <f>IFERROR(_xlfn.XLOOKUP(AC67, price_lookup_table!$C:$C, price_lookup_table!$B:$B), "")</f>
        <v>Self Pay</v>
      </c>
    </row>
    <row r="68" spans="1:31" ht="16.5" x14ac:dyDescent="0.25">
      <c r="A68" t="s">
        <v>34</v>
      </c>
      <c r="B68" s="36">
        <v>45692</v>
      </c>
      <c r="C68" s="36">
        <v>45666</v>
      </c>
      <c r="D68" t="s">
        <v>28</v>
      </c>
      <c r="E68" t="s">
        <v>29</v>
      </c>
      <c r="F68" t="s">
        <v>1554</v>
      </c>
      <c r="G68" t="s">
        <v>1555</v>
      </c>
      <c r="H68" t="s">
        <v>1556</v>
      </c>
      <c r="I68" t="s">
        <v>1557</v>
      </c>
      <c r="J68"/>
      <c r="K68"/>
      <c r="L68"/>
      <c r="M68" t="s">
        <v>747</v>
      </c>
      <c r="N68" t="s">
        <v>1239</v>
      </c>
      <c r="O68" t="s">
        <v>387</v>
      </c>
      <c r="P68" s="36">
        <v>33037</v>
      </c>
      <c r="Q68" s="45">
        <f t="shared" ref="Q68:Q131" si="3">DATEDIF(P68,B68,"Y")</f>
        <v>34</v>
      </c>
      <c r="R68" t="s">
        <v>935</v>
      </c>
      <c r="S68">
        <v>447973655648</v>
      </c>
      <c r="T68" t="s">
        <v>30</v>
      </c>
      <c r="U68"/>
      <c r="V68" s="39" cm="1">
        <f t="array" ref="V68">IFERROR(
    _xlfn.XLOOKUP(1,
        (tblPrices[Prefix]=$AC68)*(tblPrices[Product Code]=$T68),
        tblPrices[Price]
    ),
    0
)
+
IF(ISNUMBER(SEARCH("Mammogram",$U68)),
    IFERROR(_xlfn.XLOOKUP(1,(tblPrices[Prefix]=$AC68)*(tblPrices[Product Code]="Mammogram"),tblPrices[Price]),0),
    0
)
+
IF(ISNUMBER(SEARCH("PSA",$U68)),
    IFERROR(_xlfn.XLOOKUP(1,(tblPrices[Prefix]=$AC68)*(tblPrices[Product Code]="PSA"),tblPrices[Price]),0),
    0
)</f>
        <v>970.5</v>
      </c>
      <c r="W68" t="s">
        <v>629</v>
      </c>
      <c r="X68" t="s">
        <v>1078</v>
      </c>
      <c r="Y68"/>
      <c r="Z68">
        <v>17094828</v>
      </c>
      <c r="AA68" t="s">
        <v>1081</v>
      </c>
      <c r="AB68" s="1" t="str" cm="1">
        <f t="array" ref="AB68" xml:space="preserve"> _xlfn.LET(_xlpm.pc, UPPER(TRIM(M68)), LEFT(_xlpm.pc, MIN(FIND({0,1,2,3,4,5,6,7,8,9}, _xlpm.pc&amp;"0123456789"))-1))</f>
        <v>KT</v>
      </c>
      <c r="AC68" s="1" t="str">
        <f t="shared" si="2"/>
        <v>M01</v>
      </c>
      <c r="AD68" s="1" t="str">
        <f>VLOOKUP(AB68, postcode_table!A:B, 2, FALSE)</f>
        <v>Kingston upon Thames</v>
      </c>
      <c r="AE68" s="1" t="str">
        <f>IFERROR(_xlfn.XLOOKUP(AC68, price_lookup_table!$C:$C, price_lookup_table!$B:$B), "")</f>
        <v>Self Pay</v>
      </c>
    </row>
    <row r="69" spans="1:31" ht="16.5" x14ac:dyDescent="0.25">
      <c r="A69" t="s">
        <v>647</v>
      </c>
      <c r="B69" s="36">
        <v>45693</v>
      </c>
      <c r="C69" s="36">
        <v>45684</v>
      </c>
      <c r="D69" t="s">
        <v>28</v>
      </c>
      <c r="E69" t="s">
        <v>29</v>
      </c>
      <c r="F69" t="s">
        <v>1558</v>
      </c>
      <c r="G69" t="s">
        <v>1559</v>
      </c>
      <c r="H69" t="s">
        <v>1560</v>
      </c>
      <c r="I69" t="s">
        <v>1561</v>
      </c>
      <c r="J69"/>
      <c r="K69"/>
      <c r="L69"/>
      <c r="M69" t="s">
        <v>665</v>
      </c>
      <c r="N69" t="s">
        <v>1238</v>
      </c>
      <c r="O69" t="s">
        <v>387</v>
      </c>
      <c r="P69" s="36">
        <v>15947</v>
      </c>
      <c r="Q69" s="45">
        <f t="shared" si="3"/>
        <v>81</v>
      </c>
      <c r="R69" t="s">
        <v>860</v>
      </c>
      <c r="S69">
        <v>447887950229</v>
      </c>
      <c r="T69" t="s">
        <v>174</v>
      </c>
      <c r="U69"/>
      <c r="V69" s="39" cm="1">
        <f t="array" ref="V69">IFERROR(
    _xlfn.XLOOKUP(1,
        (tblPrices[Prefix]=$AC69)*(tblPrices[Product Code]=$T69),
        tblPrices[Price]
    ),
    0
)
+
IF(ISNUMBER(SEARCH("Mammogram",$U69)),
    IFERROR(_xlfn.XLOOKUP(1,(tblPrices[Prefix]=$AC69)*(tblPrices[Product Code]="Mammogram"),tblPrices[Price]),0),
    0
)
+
IF(ISNUMBER(SEARCH("PSA",$U69)),
    IFERROR(_xlfn.XLOOKUP(1,(tblPrices[Prefix]=$AC69)*(tblPrices[Product Code]="PSA"),tblPrices[Price]),0),
    0
)</f>
        <v>357</v>
      </c>
      <c r="W69" t="s">
        <v>629</v>
      </c>
      <c r="X69" t="s">
        <v>636</v>
      </c>
      <c r="Y69"/>
      <c r="Z69">
        <v>13007616</v>
      </c>
      <c r="AA69" t="s">
        <v>1085</v>
      </c>
      <c r="AB69" s="1" t="str" cm="1">
        <f t="array" ref="AB69" xml:space="preserve"> _xlfn.LET(_xlpm.pc, UPPER(TRIM(M69)), LEFT(_xlpm.pc, MIN(FIND({0,1,2,3,4,5,6,7,8,9}, _xlpm.pc&amp;"0123456789"))-1))</f>
        <v>SN</v>
      </c>
      <c r="AC69" s="1" t="str">
        <f t="shared" si="2"/>
        <v>AXA</v>
      </c>
      <c r="AD69" s="1" t="str">
        <f>VLOOKUP(AB69, postcode_table!A:B, 2, FALSE)</f>
        <v>Swindon</v>
      </c>
      <c r="AE69" s="1" t="str">
        <f>IFERROR(_xlfn.XLOOKUP(AC69, price_lookup_table!$C:$C, price_lookup_table!$B:$B), "")</f>
        <v>Self Pay</v>
      </c>
    </row>
    <row r="70" spans="1:31" ht="16.5" x14ac:dyDescent="0.25">
      <c r="A70" t="s">
        <v>34</v>
      </c>
      <c r="B70" s="36">
        <v>45693</v>
      </c>
      <c r="C70" s="36">
        <v>45671</v>
      </c>
      <c r="D70" t="s">
        <v>28</v>
      </c>
      <c r="E70" t="s">
        <v>29</v>
      </c>
      <c r="F70" t="s">
        <v>1562</v>
      </c>
      <c r="G70" t="s">
        <v>1563</v>
      </c>
      <c r="H70" t="s">
        <v>1564</v>
      </c>
      <c r="I70" t="s">
        <v>1565</v>
      </c>
      <c r="J70"/>
      <c r="K70"/>
      <c r="L70"/>
      <c r="M70" t="s">
        <v>752</v>
      </c>
      <c r="N70" t="s">
        <v>1237</v>
      </c>
      <c r="O70" t="s">
        <v>388</v>
      </c>
      <c r="P70" s="36">
        <v>30887</v>
      </c>
      <c r="Q70" s="45">
        <f t="shared" si="3"/>
        <v>40</v>
      </c>
      <c r="R70" t="s">
        <v>942</v>
      </c>
      <c r="S70">
        <v>447912212381</v>
      </c>
      <c r="T70" t="s">
        <v>35</v>
      </c>
      <c r="U70"/>
      <c r="V70" s="39" cm="1">
        <f t="array" ref="V70">IFERROR(
    _xlfn.XLOOKUP(1,
        (tblPrices[Prefix]=$AC70)*(tblPrices[Product Code]=$T70),
        tblPrices[Price]
    ),
    0
)
+
IF(ISNUMBER(SEARCH("Mammogram",$U70)),
    IFERROR(_xlfn.XLOOKUP(1,(tblPrices[Prefix]=$AC70)*(tblPrices[Product Code]="Mammogram"),tblPrices[Price]),0),
    0
)
+
IF(ISNUMBER(SEARCH("PSA",$U70)),
    IFERROR(_xlfn.XLOOKUP(1,(tblPrices[Prefix]=$AC70)*(tblPrices[Product Code]="PSA"),tblPrices[Price]),0),
    0
)</f>
        <v>724.5</v>
      </c>
      <c r="W70" t="s">
        <v>629</v>
      </c>
      <c r="X70" t="s">
        <v>636</v>
      </c>
      <c r="Y70"/>
      <c r="Z70">
        <v>22015830</v>
      </c>
      <c r="AA70" t="s">
        <v>1081</v>
      </c>
      <c r="AB70" s="1" t="str" cm="1">
        <f t="array" ref="AB70" xml:space="preserve"> _xlfn.LET(_xlpm.pc, UPPER(TRIM(M70)), LEFT(_xlpm.pc, MIN(FIND({0,1,2,3,4,5,6,7,8,9}, _xlpm.pc&amp;"0123456789"))-1))</f>
        <v>KT</v>
      </c>
      <c r="AC70" s="1" t="str">
        <f t="shared" si="2"/>
        <v>M01</v>
      </c>
      <c r="AD70" s="1" t="str">
        <f>VLOOKUP(AB70, postcode_table!A:B, 2, FALSE)</f>
        <v>Kingston upon Thames</v>
      </c>
      <c r="AE70" s="1" t="str">
        <f>IFERROR(_xlfn.XLOOKUP(AC70, price_lookup_table!$C:$C, price_lookup_table!$B:$B), "")</f>
        <v>Self Pay</v>
      </c>
    </row>
    <row r="71" spans="1:31" ht="16.5" x14ac:dyDescent="0.25">
      <c r="A71" t="s">
        <v>46</v>
      </c>
      <c r="B71" s="36">
        <v>45693</v>
      </c>
      <c r="C71" s="36">
        <v>45659</v>
      </c>
      <c r="D71" t="s">
        <v>28</v>
      </c>
      <c r="E71" t="s">
        <v>29</v>
      </c>
      <c r="F71" t="s">
        <v>1566</v>
      </c>
      <c r="G71" t="s">
        <v>1567</v>
      </c>
      <c r="H71" t="s">
        <v>1568</v>
      </c>
      <c r="I71" t="s">
        <v>1483</v>
      </c>
      <c r="J71"/>
      <c r="K71"/>
      <c r="L71"/>
      <c r="M71" t="s">
        <v>784</v>
      </c>
      <c r="N71" t="s">
        <v>1236</v>
      </c>
      <c r="O71" t="s">
        <v>387</v>
      </c>
      <c r="P71" s="36">
        <v>29848</v>
      </c>
      <c r="Q71" s="45">
        <f t="shared" si="3"/>
        <v>43</v>
      </c>
      <c r="R71" t="s">
        <v>975</v>
      </c>
      <c r="S71">
        <v>447817204760</v>
      </c>
      <c r="T71" t="s">
        <v>35</v>
      </c>
      <c r="U71"/>
      <c r="V71" s="39" cm="1">
        <f t="array" ref="V71">IFERROR(
    _xlfn.XLOOKUP(1,
        (tblPrices[Prefix]=$AC71)*(tblPrices[Product Code]=$T71),
        tblPrices[Price]
    ),
    0
)
+
IF(ISNUMBER(SEARCH("Mammogram",$U71)),
    IFERROR(_xlfn.XLOOKUP(1,(tblPrices[Prefix]=$AC71)*(tblPrices[Product Code]="Mammogram"),tblPrices[Price]),0),
    0
)
+
IF(ISNUMBER(SEARCH("PSA",$U71)),
    IFERROR(_xlfn.XLOOKUP(1,(tblPrices[Prefix]=$AC71)*(tblPrices[Product Code]="PSA"),tblPrices[Price]),0),
    0
)</f>
        <v>724.5</v>
      </c>
      <c r="W71" t="s">
        <v>629</v>
      </c>
      <c r="X71" t="s">
        <v>636</v>
      </c>
      <c r="Y71"/>
      <c r="Z71">
        <v>10931841</v>
      </c>
      <c r="AA71" t="s">
        <v>1081</v>
      </c>
      <c r="AB71" s="1" t="str" cm="1">
        <f t="array" ref="AB71" xml:space="preserve"> _xlfn.LET(_xlpm.pc, UPPER(TRIM(M71)), LEFT(_xlpm.pc, MIN(FIND({0,1,2,3,4,5,6,7,8,9}, _xlpm.pc&amp;"0123456789"))-1))</f>
        <v>OX</v>
      </c>
      <c r="AC71" s="1" t="str">
        <f t="shared" si="2"/>
        <v>M01</v>
      </c>
      <c r="AD71" s="1" t="str">
        <f>VLOOKUP(AB71, postcode_table!A:B, 2, FALSE)</f>
        <v>Oxford</v>
      </c>
      <c r="AE71" s="1" t="str">
        <f>IFERROR(_xlfn.XLOOKUP(AC71, price_lookup_table!$C:$C, price_lookup_table!$B:$B), "")</f>
        <v>Self Pay</v>
      </c>
    </row>
    <row r="72" spans="1:31" ht="16.5" x14ac:dyDescent="0.25">
      <c r="A72" t="s">
        <v>46</v>
      </c>
      <c r="B72" s="36">
        <v>45693</v>
      </c>
      <c r="C72" s="36">
        <v>45659</v>
      </c>
      <c r="D72" t="s">
        <v>28</v>
      </c>
      <c r="E72" t="s">
        <v>29</v>
      </c>
      <c r="F72" t="s">
        <v>1569</v>
      </c>
      <c r="G72" t="s">
        <v>1570</v>
      </c>
      <c r="H72" t="s">
        <v>1571</v>
      </c>
      <c r="I72" t="s">
        <v>1425</v>
      </c>
      <c r="J72"/>
      <c r="K72"/>
      <c r="L72"/>
      <c r="M72" t="s">
        <v>784</v>
      </c>
      <c r="N72" t="s">
        <v>1235</v>
      </c>
      <c r="O72" t="s">
        <v>388</v>
      </c>
      <c r="P72" s="36">
        <v>33879</v>
      </c>
      <c r="Q72" s="45">
        <f t="shared" si="3"/>
        <v>32</v>
      </c>
      <c r="R72" t="s">
        <v>976</v>
      </c>
      <c r="S72">
        <v>447836625999</v>
      </c>
      <c r="T72" t="s">
        <v>35</v>
      </c>
      <c r="U72"/>
      <c r="V72" s="39" cm="1">
        <f t="array" ref="V72">IFERROR(
    _xlfn.XLOOKUP(1,
        (tblPrices[Prefix]=$AC72)*(tblPrices[Product Code]=$T72),
        tblPrices[Price]
    ),
    0
)
+
IF(ISNUMBER(SEARCH("Mammogram",$U72)),
    IFERROR(_xlfn.XLOOKUP(1,(tblPrices[Prefix]=$AC72)*(tblPrices[Product Code]="Mammogram"),tblPrices[Price]),0),
    0
)
+
IF(ISNUMBER(SEARCH("PSA",$U72)),
    IFERROR(_xlfn.XLOOKUP(1,(tblPrices[Prefix]=$AC72)*(tblPrices[Product Code]="PSA"),tblPrices[Price]),0),
    0
)</f>
        <v>724.5</v>
      </c>
      <c r="W72" t="s">
        <v>629</v>
      </c>
      <c r="X72" t="s">
        <v>636</v>
      </c>
      <c r="Y72"/>
      <c r="Z72">
        <v>14655034</v>
      </c>
      <c r="AA72" t="s">
        <v>1081</v>
      </c>
      <c r="AB72" s="1" t="str" cm="1">
        <f t="array" ref="AB72" xml:space="preserve"> _xlfn.LET(_xlpm.pc, UPPER(TRIM(M72)), LEFT(_xlpm.pc, MIN(FIND({0,1,2,3,4,5,6,7,8,9}, _xlpm.pc&amp;"0123456789"))-1))</f>
        <v>OX</v>
      </c>
      <c r="AC72" s="1" t="str">
        <f t="shared" si="2"/>
        <v>M01</v>
      </c>
      <c r="AD72" s="1" t="str">
        <f>VLOOKUP(AB72, postcode_table!A:B, 2, FALSE)</f>
        <v>Oxford</v>
      </c>
      <c r="AE72" s="1" t="str">
        <f>IFERROR(_xlfn.XLOOKUP(AC72, price_lookup_table!$C:$C, price_lookup_table!$B:$B), "")</f>
        <v>Self Pay</v>
      </c>
    </row>
    <row r="73" spans="1:31" ht="16.5" x14ac:dyDescent="0.25">
      <c r="A73" t="s">
        <v>645</v>
      </c>
      <c r="B73" s="36">
        <v>45694</v>
      </c>
      <c r="C73" s="36">
        <v>45665</v>
      </c>
      <c r="D73" t="s">
        <v>28</v>
      </c>
      <c r="E73" t="s">
        <v>29</v>
      </c>
      <c r="F73" t="s">
        <v>1572</v>
      </c>
      <c r="G73" t="s">
        <v>1573</v>
      </c>
      <c r="H73" t="s">
        <v>1574</v>
      </c>
      <c r="I73" t="s">
        <v>1575</v>
      </c>
      <c r="J73"/>
      <c r="K73"/>
      <c r="L73"/>
      <c r="M73" t="s">
        <v>671</v>
      </c>
      <c r="N73" t="s">
        <v>1234</v>
      </c>
      <c r="O73" t="s">
        <v>387</v>
      </c>
      <c r="P73" s="36">
        <v>28627</v>
      </c>
      <c r="Q73" s="45">
        <f t="shared" si="3"/>
        <v>46</v>
      </c>
      <c r="R73" t="s">
        <v>865</v>
      </c>
      <c r="S73">
        <v>447805082888</v>
      </c>
      <c r="T73" t="s">
        <v>174</v>
      </c>
      <c r="U73"/>
      <c r="V73" s="39" cm="1">
        <f t="array" ref="V73">IFERROR(
    _xlfn.XLOOKUP(1,
        (tblPrices[Prefix]=$AC73)*(tblPrices[Product Code]=$T73),
        tblPrices[Price]
    ),
    0
)
+
IF(ISNUMBER(SEARCH("Mammogram",$U73)),
    IFERROR(_xlfn.XLOOKUP(1,(tblPrices[Prefix]=$AC73)*(tblPrices[Product Code]="Mammogram"),tblPrices[Price]),0),
    0
)
+
IF(ISNUMBER(SEARCH("PSA",$U73)),
    IFERROR(_xlfn.XLOOKUP(1,(tblPrices[Prefix]=$AC73)*(tblPrices[Product Code]="PSA"),tblPrices[Price]),0),
    0
)</f>
        <v>357</v>
      </c>
      <c r="W73" t="s">
        <v>629</v>
      </c>
      <c r="X73" t="s">
        <v>1048</v>
      </c>
      <c r="Y73"/>
      <c r="Z73">
        <v>22008557</v>
      </c>
      <c r="AA73" t="s">
        <v>1082</v>
      </c>
      <c r="AB73" s="1" t="str" cm="1">
        <f t="array" ref="AB73" xml:space="preserve"> _xlfn.LET(_xlpm.pc, UPPER(TRIM(M73)), LEFT(_xlpm.pc, MIN(FIND({0,1,2,3,4,5,6,7,8,9}, _xlpm.pc&amp;"0123456789"))-1))</f>
        <v>AB</v>
      </c>
      <c r="AC73" s="1" t="str">
        <f t="shared" si="2"/>
        <v>AXA</v>
      </c>
      <c r="AD73" s="1" t="str">
        <f>VLOOKUP(AB73, postcode_table!A:B, 2, FALSE)</f>
        <v>Aberdeen</v>
      </c>
      <c r="AE73" s="1" t="str">
        <f>IFERROR(_xlfn.XLOOKUP(AC73, price_lookup_table!$C:$C, price_lookup_table!$B:$B), "")</f>
        <v>Self Pay</v>
      </c>
    </row>
    <row r="74" spans="1:31" ht="16.5" x14ac:dyDescent="0.25">
      <c r="A74" t="s">
        <v>655</v>
      </c>
      <c r="B74" s="36">
        <v>45694</v>
      </c>
      <c r="C74" s="36">
        <v>45674</v>
      </c>
      <c r="D74" t="s">
        <v>28</v>
      </c>
      <c r="E74" t="s">
        <v>29</v>
      </c>
      <c r="F74" t="s">
        <v>1576</v>
      </c>
      <c r="G74" t="s">
        <v>1577</v>
      </c>
      <c r="H74" t="s">
        <v>1578</v>
      </c>
      <c r="I74" t="s">
        <v>1402</v>
      </c>
      <c r="J74"/>
      <c r="K74"/>
      <c r="L74"/>
      <c r="M74" t="s">
        <v>697</v>
      </c>
      <c r="N74" t="s">
        <v>1233</v>
      </c>
      <c r="O74" t="s">
        <v>387</v>
      </c>
      <c r="P74" s="36">
        <v>15261</v>
      </c>
      <c r="Q74" s="45">
        <f t="shared" si="3"/>
        <v>83</v>
      </c>
      <c r="R74" t="s">
        <v>885</v>
      </c>
      <c r="S74" t="s">
        <v>886</v>
      </c>
      <c r="T74" t="s">
        <v>35</v>
      </c>
      <c r="U74"/>
      <c r="V74" s="39" cm="1">
        <f t="array" ref="V74">IFERROR(
    _xlfn.XLOOKUP(1,
        (tblPrices[Prefix]=$AC74)*(tblPrices[Product Code]=$T74),
        tblPrices[Price]
    ),
    0
)
+
IF(ISNUMBER(SEARCH("Mammogram",$U74)),
    IFERROR(_xlfn.XLOOKUP(1,(tblPrices[Prefix]=$AC74)*(tblPrices[Product Code]="Mammogram"),tblPrices[Price]),0),
    0
)
+
IF(ISNUMBER(SEARCH("PSA",$U74)),
    IFERROR(_xlfn.XLOOKUP(1,(tblPrices[Prefix]=$AC74)*(tblPrices[Product Code]="PSA"),tblPrices[Price]),0),
    0
)</f>
        <v>543</v>
      </c>
      <c r="W74" t="s">
        <v>629</v>
      </c>
      <c r="X74" t="s">
        <v>1051</v>
      </c>
      <c r="Y74"/>
      <c r="Z74">
        <v>21450091</v>
      </c>
      <c r="AA74" t="s">
        <v>1087</v>
      </c>
      <c r="AB74" s="1" t="str" cm="1">
        <f t="array" ref="AB74" xml:space="preserve"> _xlfn.LET(_xlpm.pc, UPPER(TRIM(M74)), LEFT(_xlpm.pc, MIN(FIND({0,1,2,3,4,5,6,7,8,9}, _xlpm.pc&amp;"0123456789"))-1))</f>
        <v>BH</v>
      </c>
      <c r="AC74" s="1" t="str">
        <f t="shared" si="2"/>
        <v>AXA</v>
      </c>
      <c r="AD74" s="1" t="str">
        <f>VLOOKUP(AB74, postcode_table!A:B, 2, FALSE)</f>
        <v>Bournemouth</v>
      </c>
      <c r="AE74" s="1" t="str">
        <f>IFERROR(_xlfn.XLOOKUP(AC74, price_lookup_table!$C:$C, price_lookup_table!$B:$B), "")</f>
        <v>Self Pay</v>
      </c>
    </row>
    <row r="75" spans="1:31" ht="16.5" x14ac:dyDescent="0.25">
      <c r="A75" t="s">
        <v>655</v>
      </c>
      <c r="B75" s="36">
        <v>45694</v>
      </c>
      <c r="C75" s="36">
        <v>45673</v>
      </c>
      <c r="D75" t="s">
        <v>28</v>
      </c>
      <c r="E75" t="s">
        <v>29</v>
      </c>
      <c r="F75" t="s">
        <v>1579</v>
      </c>
      <c r="G75" t="s">
        <v>1580</v>
      </c>
      <c r="H75" t="s">
        <v>1581</v>
      </c>
      <c r="I75" t="s">
        <v>1582</v>
      </c>
      <c r="J75"/>
      <c r="K75"/>
      <c r="L75"/>
      <c r="M75" t="s">
        <v>826</v>
      </c>
      <c r="N75" t="s">
        <v>1232</v>
      </c>
      <c r="O75" t="s">
        <v>388</v>
      </c>
      <c r="P75" s="36">
        <v>17274</v>
      </c>
      <c r="Q75" s="45">
        <f t="shared" si="3"/>
        <v>77</v>
      </c>
      <c r="R75" t="s">
        <v>1020</v>
      </c>
      <c r="S75">
        <v>447813139473</v>
      </c>
      <c r="T75" t="s">
        <v>35</v>
      </c>
      <c r="U75"/>
      <c r="V75" s="39" cm="1">
        <f t="array" ref="V75">IFERROR(
    _xlfn.XLOOKUP(1,
        (tblPrices[Prefix]=$AC75)*(tblPrices[Product Code]=$T75),
        tblPrices[Price]
    ),
    0
)
+
IF(ISNUMBER(SEARCH("Mammogram",$U75)),
    IFERROR(_xlfn.XLOOKUP(1,(tblPrices[Prefix]=$AC75)*(tblPrices[Product Code]="Mammogram"),tblPrices[Price]),0),
    0
)
+
IF(ISNUMBER(SEARCH("PSA",$U75)),
    IFERROR(_xlfn.XLOOKUP(1,(tblPrices[Prefix]=$AC75)*(tblPrices[Product Code]="PSA"),tblPrices[Price]),0),
    0
)</f>
        <v>543</v>
      </c>
      <c r="W75" t="s">
        <v>629</v>
      </c>
      <c r="X75" t="s">
        <v>1061</v>
      </c>
      <c r="Y75"/>
      <c r="Z75">
        <v>22019971</v>
      </c>
      <c r="AA75" t="s">
        <v>1082</v>
      </c>
      <c r="AB75" s="1" t="str" cm="1">
        <f t="array" ref="AB75" xml:space="preserve"> _xlfn.LET(_xlpm.pc, UPPER(TRIM(M75)), LEFT(_xlpm.pc, MIN(FIND({0,1,2,3,4,5,6,7,8,9}, _xlpm.pc&amp;"0123456789"))-1))</f>
        <v>SO</v>
      </c>
      <c r="AC75" s="1" t="str">
        <f t="shared" si="2"/>
        <v>AXA</v>
      </c>
      <c r="AD75" s="1" t="str">
        <f>VLOOKUP(AB75, postcode_table!A:B, 2, FALSE)</f>
        <v>Southampton</v>
      </c>
      <c r="AE75" s="1" t="str">
        <f>IFERROR(_xlfn.XLOOKUP(AC75, price_lookup_table!$C:$C, price_lookup_table!$B:$B), "")</f>
        <v>Self Pay</v>
      </c>
    </row>
    <row r="76" spans="1:31" ht="16.5" x14ac:dyDescent="0.25">
      <c r="A76" t="s">
        <v>42</v>
      </c>
      <c r="B76" s="36">
        <v>45694</v>
      </c>
      <c r="C76" s="36">
        <v>45693</v>
      </c>
      <c r="D76" t="s">
        <v>28</v>
      </c>
      <c r="E76" t="s">
        <v>29</v>
      </c>
      <c r="F76" t="s">
        <v>1583</v>
      </c>
      <c r="G76" t="s">
        <v>1584</v>
      </c>
      <c r="H76" t="s">
        <v>1585</v>
      </c>
      <c r="I76" t="s">
        <v>1586</v>
      </c>
      <c r="J76"/>
      <c r="K76"/>
      <c r="L76"/>
      <c r="M76" t="s">
        <v>848</v>
      </c>
      <c r="N76" t="s">
        <v>1231</v>
      </c>
      <c r="O76" t="s">
        <v>387</v>
      </c>
      <c r="P76" s="36">
        <v>31491</v>
      </c>
      <c r="Q76" s="45">
        <f t="shared" si="3"/>
        <v>38</v>
      </c>
      <c r="R76" t="s">
        <v>1042</v>
      </c>
      <c r="S76">
        <v>447365598114</v>
      </c>
      <c r="T76" t="s">
        <v>197</v>
      </c>
      <c r="U76"/>
      <c r="V76" s="39" cm="1">
        <f t="array" ref="V76">IFERROR(
    _xlfn.XLOOKUP(1,
        (tblPrices[Prefix]=$AC76)*(tblPrices[Product Code]=$T76),
        tblPrices[Price]
    ),
    0
)
+
IF(ISNUMBER(SEARCH("Mammogram",$U76)),
    IFERROR(_xlfn.XLOOKUP(1,(tblPrices[Prefix]=$AC76)*(tblPrices[Product Code]="Mammogram"),tblPrices[Price]),0),
    0
)
+
IF(ISNUMBER(SEARCH("PSA",$U76)),
    IFERROR(_xlfn.XLOOKUP(1,(tblPrices[Prefix]=$AC76)*(tblPrices[Product Code]="PSA"),tblPrices[Price]),0),
    0
)</f>
        <v>185</v>
      </c>
      <c r="W76" t="s">
        <v>629</v>
      </c>
      <c r="X76" t="s">
        <v>638</v>
      </c>
      <c r="Y76"/>
      <c r="Z76">
        <v>22044695</v>
      </c>
      <c r="AA76" t="s">
        <v>1118</v>
      </c>
      <c r="AB76" s="1" t="str" cm="1">
        <f t="array" ref="AB76" xml:space="preserve"> _xlfn.LET(_xlpm.pc, UPPER(TRIM(M76)), LEFT(_xlpm.pc, MIN(FIND({0,1,2,3,4,5,6,7,8,9}, _xlpm.pc&amp;"0123456789"))-1))</f>
        <v>WC</v>
      </c>
      <c r="AC76" s="1" t="str">
        <f t="shared" si="2"/>
        <v>AXA</v>
      </c>
      <c r="AD76" s="1" t="str">
        <f>VLOOKUP(AB76, postcode_table!A:B, 2, FALSE)</f>
        <v>West Central London</v>
      </c>
      <c r="AE76" s="1" t="str">
        <f>IFERROR(_xlfn.XLOOKUP(AC76, price_lookup_table!$C:$C, price_lookup_table!$B:$B), "")</f>
        <v>Self Pay</v>
      </c>
    </row>
    <row r="77" spans="1:31" ht="16.5" x14ac:dyDescent="0.25">
      <c r="A77" t="s">
        <v>645</v>
      </c>
      <c r="B77" s="36">
        <v>45694</v>
      </c>
      <c r="C77" s="36">
        <v>45678</v>
      </c>
      <c r="D77" t="s">
        <v>28</v>
      </c>
      <c r="E77" t="s">
        <v>29</v>
      </c>
      <c r="F77" t="s">
        <v>1587</v>
      </c>
      <c r="G77" t="s">
        <v>1588</v>
      </c>
      <c r="H77" t="s">
        <v>1589</v>
      </c>
      <c r="I77" t="s">
        <v>1590</v>
      </c>
      <c r="J77"/>
      <c r="K77"/>
      <c r="L77"/>
      <c r="M77" t="s">
        <v>674</v>
      </c>
      <c r="N77" t="s">
        <v>1230</v>
      </c>
      <c r="O77" t="s">
        <v>387</v>
      </c>
      <c r="P77" s="36">
        <v>30497</v>
      </c>
      <c r="Q77" s="45">
        <f t="shared" si="3"/>
        <v>41</v>
      </c>
      <c r="R77" t="s">
        <v>867</v>
      </c>
      <c r="S77">
        <v>447507068811</v>
      </c>
      <c r="T77" t="s">
        <v>35</v>
      </c>
      <c r="U77"/>
      <c r="V77" s="39" cm="1">
        <f t="array" ref="V77">IFERROR(
    _xlfn.XLOOKUP(1,
        (tblPrices[Prefix]=$AC77)*(tblPrices[Product Code]=$T77),
        tblPrices[Price]
    ),
    0
)
+
IF(ISNUMBER(SEARCH("Mammogram",$U77)),
    IFERROR(_xlfn.XLOOKUP(1,(tblPrices[Prefix]=$AC77)*(tblPrices[Product Code]="Mammogram"),tblPrices[Price]),0),
    0
)
+
IF(ISNUMBER(SEARCH("PSA",$U77)),
    IFERROR(_xlfn.XLOOKUP(1,(tblPrices[Prefix]=$AC77)*(tblPrices[Product Code]="PSA"),tblPrices[Price]),0),
    0
)</f>
        <v>724.5</v>
      </c>
      <c r="W77" t="s">
        <v>629</v>
      </c>
      <c r="X77" t="s">
        <v>1056</v>
      </c>
      <c r="Y77"/>
      <c r="Z77">
        <v>13774573</v>
      </c>
      <c r="AA77" t="s">
        <v>1081</v>
      </c>
      <c r="AB77" s="1" t="str" cm="1">
        <f t="array" ref="AB77" xml:space="preserve"> _xlfn.LET(_xlpm.pc, UPPER(TRIM(M77)), LEFT(_xlpm.pc, MIN(FIND({0,1,2,3,4,5,6,7,8,9}, _xlpm.pc&amp;"0123456789"))-1))</f>
        <v>AB</v>
      </c>
      <c r="AC77" s="1" t="str">
        <f t="shared" si="2"/>
        <v>M01</v>
      </c>
      <c r="AD77" s="1" t="str">
        <f>VLOOKUP(AB77, postcode_table!A:B, 2, FALSE)</f>
        <v>Aberdeen</v>
      </c>
      <c r="AE77" s="1" t="str">
        <f>IFERROR(_xlfn.XLOOKUP(AC77, price_lookup_table!$C:$C, price_lookup_table!$B:$B), "")</f>
        <v>Self Pay</v>
      </c>
    </row>
    <row r="78" spans="1:31" ht="16.5" x14ac:dyDescent="0.25">
      <c r="A78" t="s">
        <v>645</v>
      </c>
      <c r="B78" s="36">
        <v>45694</v>
      </c>
      <c r="C78" s="36">
        <v>45679</v>
      </c>
      <c r="D78" t="s">
        <v>28</v>
      </c>
      <c r="E78" t="s">
        <v>29</v>
      </c>
      <c r="F78" t="s">
        <v>1591</v>
      </c>
      <c r="G78" t="s">
        <v>1592</v>
      </c>
      <c r="H78" t="s">
        <v>1593</v>
      </c>
      <c r="I78" t="s">
        <v>1594</v>
      </c>
      <c r="J78"/>
      <c r="K78"/>
      <c r="L78"/>
      <c r="M78" t="s">
        <v>675</v>
      </c>
      <c r="N78" t="s">
        <v>1229</v>
      </c>
      <c r="O78" t="s">
        <v>388</v>
      </c>
      <c r="P78" s="36">
        <v>29375</v>
      </c>
      <c r="Q78" s="45">
        <f t="shared" si="3"/>
        <v>44</v>
      </c>
      <c r="R78" t="s">
        <v>868</v>
      </c>
      <c r="S78">
        <v>447748208020</v>
      </c>
      <c r="T78" t="s">
        <v>35</v>
      </c>
      <c r="U78"/>
      <c r="V78" s="39" cm="1">
        <f t="array" ref="V78">IFERROR(
    _xlfn.XLOOKUP(1,
        (tblPrices[Prefix]=$AC78)*(tblPrices[Product Code]=$T78),
        tblPrices[Price]
    ),
    0
)
+
IF(ISNUMBER(SEARCH("Mammogram",$U78)),
    IFERROR(_xlfn.XLOOKUP(1,(tblPrices[Prefix]=$AC78)*(tblPrices[Product Code]="Mammogram"),tblPrices[Price]),0),
    0
)
+
IF(ISNUMBER(SEARCH("PSA",$U78)),
    IFERROR(_xlfn.XLOOKUP(1,(tblPrices[Prefix]=$AC78)*(tblPrices[Product Code]="PSA"),tblPrices[Price]),0),
    0
)</f>
        <v>724.5</v>
      </c>
      <c r="W78" t="s">
        <v>629</v>
      </c>
      <c r="X78" t="s">
        <v>1048</v>
      </c>
      <c r="Y78"/>
      <c r="Z78">
        <v>22025737</v>
      </c>
      <c r="AA78" t="s">
        <v>1081</v>
      </c>
      <c r="AB78" s="1" t="str" cm="1">
        <f t="array" ref="AB78" xml:space="preserve"> _xlfn.LET(_xlpm.pc, UPPER(TRIM(M78)), LEFT(_xlpm.pc, MIN(FIND({0,1,2,3,4,5,6,7,8,9}, _xlpm.pc&amp;"0123456789"))-1))</f>
        <v>AB</v>
      </c>
      <c r="AC78" s="1" t="str">
        <f t="shared" si="2"/>
        <v>M01</v>
      </c>
      <c r="AD78" s="1" t="str">
        <f>VLOOKUP(AB78, postcode_table!A:B, 2, FALSE)</f>
        <v>Aberdeen</v>
      </c>
      <c r="AE78" s="1" t="str">
        <f>IFERROR(_xlfn.XLOOKUP(AC78, price_lookup_table!$C:$C, price_lookup_table!$B:$B), "")</f>
        <v>Self Pay</v>
      </c>
    </row>
    <row r="79" spans="1:31" ht="16.5" x14ac:dyDescent="0.25">
      <c r="A79" t="s">
        <v>46</v>
      </c>
      <c r="B79" s="36">
        <v>45694</v>
      </c>
      <c r="C79" s="36">
        <v>45666</v>
      </c>
      <c r="D79" t="s">
        <v>28</v>
      </c>
      <c r="E79" t="s">
        <v>29</v>
      </c>
      <c r="F79" t="s">
        <v>759</v>
      </c>
      <c r="G79" t="s">
        <v>1595</v>
      </c>
      <c r="H79" t="s">
        <v>1596</v>
      </c>
      <c r="I79" t="s">
        <v>1597</v>
      </c>
      <c r="J79"/>
      <c r="K79"/>
      <c r="L79"/>
      <c r="M79" t="s">
        <v>735</v>
      </c>
      <c r="N79" t="s">
        <v>1228</v>
      </c>
      <c r="O79" t="s">
        <v>388</v>
      </c>
      <c r="P79" s="36">
        <v>23468</v>
      </c>
      <c r="Q79" s="45">
        <f t="shared" si="3"/>
        <v>60</v>
      </c>
      <c r="R79" t="s">
        <v>923</v>
      </c>
      <c r="S79">
        <v>441494726263</v>
      </c>
      <c r="T79" t="s">
        <v>35</v>
      </c>
      <c r="U79"/>
      <c r="V79" s="39" cm="1">
        <f t="array" ref="V79">IFERROR(
    _xlfn.XLOOKUP(1,
        (tblPrices[Prefix]=$AC79)*(tblPrices[Product Code]=$T79),
        tblPrices[Price]
    ),
    0
)
+
IF(ISNUMBER(SEARCH("Mammogram",$U79)),
    IFERROR(_xlfn.XLOOKUP(1,(tblPrices[Prefix]=$AC79)*(tblPrices[Product Code]="Mammogram"),tblPrices[Price]),0),
    0
)
+
IF(ISNUMBER(SEARCH("PSA",$U79)),
    IFERROR(_xlfn.XLOOKUP(1,(tblPrices[Prefix]=$AC79)*(tblPrices[Product Code]="PSA"),tblPrices[Price]),0),
    0
)</f>
        <v>724.5</v>
      </c>
      <c r="W79" t="s">
        <v>629</v>
      </c>
      <c r="X79" t="s">
        <v>640</v>
      </c>
      <c r="Y79"/>
      <c r="Z79">
        <v>22010853</v>
      </c>
      <c r="AA79" t="s">
        <v>1083</v>
      </c>
      <c r="AB79" s="1" t="str" cm="1">
        <f t="array" ref="AB79" xml:space="preserve"> _xlfn.LET(_xlpm.pc, UPPER(TRIM(M79)), LEFT(_xlpm.pc, MIN(FIND({0,1,2,3,4,5,6,7,8,9}, _xlpm.pc&amp;"0123456789"))-1))</f>
        <v>HP</v>
      </c>
      <c r="AC79" s="1" t="str">
        <f t="shared" si="2"/>
        <v>M01</v>
      </c>
      <c r="AD79" s="1" t="str">
        <f>VLOOKUP(AB79, postcode_table!A:B, 2, FALSE)</f>
        <v>Hemel Hempstead</v>
      </c>
      <c r="AE79" s="1" t="str">
        <f>IFERROR(_xlfn.XLOOKUP(AC79, price_lookup_table!$C:$C, price_lookup_table!$B:$B), "")</f>
        <v>Self Pay</v>
      </c>
    </row>
    <row r="80" spans="1:31" ht="16.5" x14ac:dyDescent="0.25">
      <c r="A80" t="s">
        <v>646</v>
      </c>
      <c r="B80" s="36">
        <v>45694</v>
      </c>
      <c r="C80" s="36">
        <v>45688</v>
      </c>
      <c r="D80" t="s">
        <v>28</v>
      </c>
      <c r="E80" t="s">
        <v>29</v>
      </c>
      <c r="F80" t="s">
        <v>1598</v>
      </c>
      <c r="G80" t="s">
        <v>1599</v>
      </c>
      <c r="H80" t="s">
        <v>1600</v>
      </c>
      <c r="I80" t="s">
        <v>1601</v>
      </c>
      <c r="J80"/>
      <c r="K80"/>
      <c r="L80"/>
      <c r="M80" t="s">
        <v>785</v>
      </c>
      <c r="N80" t="s">
        <v>1227</v>
      </c>
      <c r="O80" t="s">
        <v>387</v>
      </c>
      <c r="P80" s="36">
        <v>20983</v>
      </c>
      <c r="Q80" s="45">
        <f t="shared" si="3"/>
        <v>67</v>
      </c>
      <c r="R80" t="s">
        <v>977</v>
      </c>
      <c r="S80">
        <v>441505872057</v>
      </c>
      <c r="T80" t="s">
        <v>174</v>
      </c>
      <c r="U80" t="s">
        <v>43</v>
      </c>
      <c r="V80" s="39" cm="1">
        <f t="array" ref="V80">IFERROR(
    _xlfn.XLOOKUP(1,
        (tblPrices[Prefix]=$AC80)*(tblPrices[Product Code]=$T80),
        tblPrices[Price]
    ),
    0
)
+
IF(ISNUMBER(SEARCH("Mammogram",$U80)),
    IFERROR(_xlfn.XLOOKUP(1,(tblPrices[Prefix]=$AC80)*(tblPrices[Product Code]="Mammogram"),tblPrices[Price]),0),
    0
)
+
IF(ISNUMBER(SEARCH("PSA",$U80)),
    IFERROR(_xlfn.XLOOKUP(1,(tblPrices[Prefix]=$AC80)*(tblPrices[Product Code]="PSA"),tblPrices[Price]),0),
    0
)</f>
        <v>588.5</v>
      </c>
      <c r="W80" t="s">
        <v>629</v>
      </c>
      <c r="X80" t="s">
        <v>1050</v>
      </c>
      <c r="Y80"/>
      <c r="Z80">
        <v>10479964</v>
      </c>
      <c r="AA80" t="s">
        <v>1083</v>
      </c>
      <c r="AB80" s="1" t="str" cm="1">
        <f t="array" ref="AB80" xml:space="preserve"> _xlfn.LET(_xlpm.pc, UPPER(TRIM(M80)), LEFT(_xlpm.pc, MIN(FIND({0,1,2,3,4,5,6,7,8,9}, _xlpm.pc&amp;"0123456789"))-1))</f>
        <v>PA</v>
      </c>
      <c r="AC80" s="1" t="str">
        <f t="shared" si="2"/>
        <v>M01</v>
      </c>
      <c r="AD80" s="1" t="str">
        <f>VLOOKUP(AB80, postcode_table!A:B, 2, FALSE)</f>
        <v>Paisley</v>
      </c>
      <c r="AE80" s="1" t="str">
        <f>IFERROR(_xlfn.XLOOKUP(AC80, price_lookup_table!$C:$C, price_lookup_table!$B:$B), "")</f>
        <v>Self Pay</v>
      </c>
    </row>
    <row r="81" spans="1:31" ht="16.5" x14ac:dyDescent="0.25">
      <c r="A81" t="s">
        <v>653</v>
      </c>
      <c r="B81" s="36">
        <v>45694</v>
      </c>
      <c r="C81" s="36">
        <v>45659</v>
      </c>
      <c r="D81" t="s">
        <v>28</v>
      </c>
      <c r="E81" t="s">
        <v>29</v>
      </c>
      <c r="F81" t="s">
        <v>1602</v>
      </c>
      <c r="G81" t="s">
        <v>1603</v>
      </c>
      <c r="H81" t="s">
        <v>1604</v>
      </c>
      <c r="I81" t="s">
        <v>1457</v>
      </c>
      <c r="J81"/>
      <c r="K81"/>
      <c r="L81"/>
      <c r="M81" t="s">
        <v>821</v>
      </c>
      <c r="N81" t="s">
        <v>1226</v>
      </c>
      <c r="O81" t="s">
        <v>387</v>
      </c>
      <c r="P81" s="36">
        <v>29455</v>
      </c>
      <c r="Q81" s="45">
        <f t="shared" si="3"/>
        <v>44</v>
      </c>
      <c r="R81" t="s">
        <v>1014</v>
      </c>
      <c r="S81">
        <v>447717824765</v>
      </c>
      <c r="T81" t="s">
        <v>174</v>
      </c>
      <c r="U81"/>
      <c r="V81" s="39" cm="1">
        <f t="array" ref="V81">IFERROR(
    _xlfn.XLOOKUP(1,
        (tblPrices[Prefix]=$AC81)*(tblPrices[Product Code]=$T81),
        tblPrices[Price]
    ),
    0
)
+
IF(ISNUMBER(SEARCH("Mammogram",$U81)),
    IFERROR(_xlfn.XLOOKUP(1,(tblPrices[Prefix]=$AC81)*(tblPrices[Product Code]="Mammogram"),tblPrices[Price]),0),
    0
)
+
IF(ISNUMBER(SEARCH("PSA",$U81)),
    IFERROR(_xlfn.XLOOKUP(1,(tblPrices[Prefix]=$AC81)*(tblPrices[Product Code]="PSA"),tblPrices[Price]),0),
    0
)</f>
        <v>476.5</v>
      </c>
      <c r="W81" t="s">
        <v>629</v>
      </c>
      <c r="X81" t="s">
        <v>1048</v>
      </c>
      <c r="Y81"/>
      <c r="Z81">
        <v>14044847</v>
      </c>
      <c r="AA81" t="s">
        <v>1081</v>
      </c>
      <c r="AB81" s="1" t="str" cm="1">
        <f t="array" ref="AB81" xml:space="preserve"> _xlfn.LET(_xlpm.pc, UPPER(TRIM(M81)), LEFT(_xlpm.pc, MIN(FIND({0,1,2,3,4,5,6,7,8,9}, _xlpm.pc&amp;"0123456789"))-1))</f>
        <v>SN</v>
      </c>
      <c r="AC81" s="1" t="str">
        <f t="shared" si="2"/>
        <v>M01</v>
      </c>
      <c r="AD81" s="1" t="str">
        <f>VLOOKUP(AB81, postcode_table!A:B, 2, FALSE)</f>
        <v>Swindon</v>
      </c>
      <c r="AE81" s="1" t="str">
        <f>IFERROR(_xlfn.XLOOKUP(AC81, price_lookup_table!$C:$C, price_lookup_table!$B:$B), "")</f>
        <v>Self Pay</v>
      </c>
    </row>
    <row r="82" spans="1:31" ht="16.5" x14ac:dyDescent="0.25">
      <c r="A82" t="s">
        <v>655</v>
      </c>
      <c r="B82" s="36">
        <v>45694</v>
      </c>
      <c r="C82" s="36">
        <v>45686</v>
      </c>
      <c r="D82" t="s">
        <v>28</v>
      </c>
      <c r="E82" t="s">
        <v>29</v>
      </c>
      <c r="F82" t="s">
        <v>1605</v>
      </c>
      <c r="G82" t="s">
        <v>1606</v>
      </c>
      <c r="H82" t="s">
        <v>1607</v>
      </c>
      <c r="I82" t="s">
        <v>1608</v>
      </c>
      <c r="J82"/>
      <c r="K82"/>
      <c r="L82"/>
      <c r="M82" t="s">
        <v>824</v>
      </c>
      <c r="N82" t="s">
        <v>1225</v>
      </c>
      <c r="O82" t="s">
        <v>387</v>
      </c>
      <c r="P82" s="36">
        <v>25805</v>
      </c>
      <c r="Q82" s="45">
        <f t="shared" si="3"/>
        <v>54</v>
      </c>
      <c r="R82" t="s">
        <v>1017</v>
      </c>
      <c r="S82">
        <v>447785103655</v>
      </c>
      <c r="T82" t="s">
        <v>35</v>
      </c>
      <c r="U82"/>
      <c r="V82" s="39" cm="1">
        <f t="array" ref="V82">IFERROR(
    _xlfn.XLOOKUP(1,
        (tblPrices[Prefix]=$AC82)*(tblPrices[Product Code]=$T82),
        tblPrices[Price]
    ),
    0
)
+
IF(ISNUMBER(SEARCH("Mammogram",$U82)),
    IFERROR(_xlfn.XLOOKUP(1,(tblPrices[Prefix]=$AC82)*(tblPrices[Product Code]="Mammogram"),tblPrices[Price]),0),
    0
)
+
IF(ISNUMBER(SEARCH("PSA",$U82)),
    IFERROR(_xlfn.XLOOKUP(1,(tblPrices[Prefix]=$AC82)*(tblPrices[Product Code]="PSA"),tblPrices[Price]),0),
    0
)</f>
        <v>724.5</v>
      </c>
      <c r="W82" t="s">
        <v>629</v>
      </c>
      <c r="X82" t="s">
        <v>642</v>
      </c>
      <c r="Y82"/>
      <c r="Z82">
        <v>22036178</v>
      </c>
      <c r="AA82" t="s">
        <v>1081</v>
      </c>
      <c r="AB82" s="1" t="str" cm="1">
        <f t="array" ref="AB82" xml:space="preserve"> _xlfn.LET(_xlpm.pc, UPPER(TRIM(M82)), LEFT(_xlpm.pc, MIN(FIND({0,1,2,3,4,5,6,7,8,9}, _xlpm.pc&amp;"0123456789"))-1))</f>
        <v>SO</v>
      </c>
      <c r="AC82" s="1" t="str">
        <f t="shared" si="2"/>
        <v>M01</v>
      </c>
      <c r="AD82" s="1" t="str">
        <f>VLOOKUP(AB82, postcode_table!A:B, 2, FALSE)</f>
        <v>Southampton</v>
      </c>
      <c r="AE82" s="1" t="str">
        <f>IFERROR(_xlfn.XLOOKUP(AC82, price_lookup_table!$C:$C, price_lookup_table!$B:$B), "")</f>
        <v>Self Pay</v>
      </c>
    </row>
    <row r="83" spans="1:31" ht="16.5" x14ac:dyDescent="0.25">
      <c r="A83" t="s">
        <v>72</v>
      </c>
      <c r="B83" s="36">
        <v>45695</v>
      </c>
      <c r="C83" s="36">
        <v>45680</v>
      </c>
      <c r="D83" t="s">
        <v>28</v>
      </c>
      <c r="E83" t="s">
        <v>29</v>
      </c>
      <c r="F83" t="s">
        <v>66</v>
      </c>
      <c r="G83" t="s">
        <v>1609</v>
      </c>
      <c r="H83" t="s">
        <v>1610</v>
      </c>
      <c r="I83" t="s">
        <v>1611</v>
      </c>
      <c r="J83"/>
      <c r="K83"/>
      <c r="L83"/>
      <c r="M83" t="s">
        <v>849</v>
      </c>
      <c r="N83" t="s">
        <v>1224</v>
      </c>
      <c r="O83" t="s">
        <v>387</v>
      </c>
      <c r="P83" s="36">
        <v>33280</v>
      </c>
      <c r="Q83" s="45">
        <f t="shared" si="3"/>
        <v>33</v>
      </c>
      <c r="R83" t="s">
        <v>1043</v>
      </c>
      <c r="S83">
        <v>447766077344</v>
      </c>
      <c r="T83" t="s">
        <v>35</v>
      </c>
      <c r="U83"/>
      <c r="V83" s="39" cm="1">
        <f t="array" ref="V83">IFERROR(
    _xlfn.XLOOKUP(1,
        (tblPrices[Prefix]=$AC83)*(tblPrices[Product Code]=$T83),
        tblPrices[Price]
    ),
    0
)
+
IF(ISNUMBER(SEARCH("Mammogram",$U83)),
    IFERROR(_xlfn.XLOOKUP(1,(tblPrices[Prefix]=$AC83)*(tblPrices[Product Code]="Mammogram"),tblPrices[Price]),0),
    0
)
+
IF(ISNUMBER(SEARCH("PSA",$U83)),
    IFERROR(_xlfn.XLOOKUP(1,(tblPrices[Prefix]=$AC83)*(tblPrices[Product Code]="PSA"),tblPrices[Price]),0),
    0
)</f>
        <v>543</v>
      </c>
      <c r="W83" t="s">
        <v>629</v>
      </c>
      <c r="X83" t="s">
        <v>1063</v>
      </c>
      <c r="Y83"/>
      <c r="Z83">
        <v>22029315</v>
      </c>
      <c r="AA83" t="s">
        <v>1119</v>
      </c>
      <c r="AB83" s="1" t="str" cm="1">
        <f t="array" ref="AB83" xml:space="preserve"> _xlfn.LET(_xlpm.pc, UPPER(TRIM(M83)), LEFT(_xlpm.pc, MIN(FIND({0,1,2,3,4,5,6,7,8,9}, _xlpm.pc&amp;"0123456789"))-1))</f>
        <v>WD</v>
      </c>
      <c r="AC83" s="1" t="str">
        <f t="shared" si="2"/>
        <v>AXA</v>
      </c>
      <c r="AD83" s="1" t="str">
        <f>VLOOKUP(AB83, postcode_table!A:B, 2, FALSE)</f>
        <v>Watford</v>
      </c>
      <c r="AE83" s="1" t="str">
        <f>IFERROR(_xlfn.XLOOKUP(AC83, price_lookup_table!$C:$C, price_lookup_table!$B:$B), "")</f>
        <v>Self Pay</v>
      </c>
    </row>
    <row r="84" spans="1:31" ht="16.5" x14ac:dyDescent="0.25">
      <c r="A84" t="s">
        <v>659</v>
      </c>
      <c r="B84" s="36">
        <v>45695</v>
      </c>
      <c r="C84" s="36">
        <v>45692</v>
      </c>
      <c r="D84" t="s">
        <v>28</v>
      </c>
      <c r="E84" t="s">
        <v>29</v>
      </c>
      <c r="F84" t="s">
        <v>712</v>
      </c>
      <c r="G84" t="s">
        <v>1612</v>
      </c>
      <c r="H84" t="s">
        <v>1613</v>
      </c>
      <c r="I84" t="s">
        <v>1614</v>
      </c>
      <c r="J84"/>
      <c r="K84"/>
      <c r="L84"/>
      <c r="M84" t="s">
        <v>661</v>
      </c>
      <c r="N84" t="s">
        <v>1223</v>
      </c>
      <c r="O84" t="s">
        <v>387</v>
      </c>
      <c r="P84" s="36">
        <v>19881</v>
      </c>
      <c r="Q84" s="45">
        <f t="shared" si="3"/>
        <v>70</v>
      </c>
      <c r="R84" t="s">
        <v>856</v>
      </c>
      <c r="S84">
        <v>447710782340</v>
      </c>
      <c r="T84" t="s">
        <v>197</v>
      </c>
      <c r="U84"/>
      <c r="V84" s="39" cm="1">
        <f t="array" ref="V84">IFERROR(
    _xlfn.XLOOKUP(1,
        (tblPrices[Prefix]=$AC84)*(tblPrices[Product Code]=$T84),
        tblPrices[Price]
    ),
    0
)
+
IF(ISNUMBER(SEARCH("Mammogram",$U84)),
    IFERROR(_xlfn.XLOOKUP(1,(tblPrices[Prefix]=$AC84)*(tblPrices[Product Code]="Mammogram"),tblPrices[Price]),0),
    0
)
+
IF(ISNUMBER(SEARCH("PSA",$U84)),
    IFERROR(_xlfn.XLOOKUP(1,(tblPrices[Prefix]=$AC84)*(tblPrices[Product Code]="PSA"),tblPrices[Price]),0),
    0
)</f>
        <v>246</v>
      </c>
      <c r="W84" t="s">
        <v>629</v>
      </c>
      <c r="X84" t="s">
        <v>1060</v>
      </c>
      <c r="Y84"/>
      <c r="Z84">
        <v>18555795</v>
      </c>
      <c r="AA84" t="s">
        <v>1081</v>
      </c>
      <c r="AB84" s="1" t="str" cm="1">
        <f t="array" ref="AB84" xml:space="preserve"> _xlfn.LET(_xlpm.pc, UPPER(TRIM(M84)), LEFT(_xlpm.pc, MIN(FIND({0,1,2,3,4,5,6,7,8,9}, _xlpm.pc&amp;"0123456789"))-1))</f>
        <v>IP</v>
      </c>
      <c r="AC84" s="1" t="str">
        <f t="shared" si="2"/>
        <v>M01</v>
      </c>
      <c r="AD84" s="1" t="str">
        <f>VLOOKUP(AB84, postcode_table!A:B, 2, FALSE)</f>
        <v>Ipswich</v>
      </c>
      <c r="AE84" s="1" t="str">
        <f>IFERROR(_xlfn.XLOOKUP(AC84, price_lookup_table!$C:$C, price_lookup_table!$B:$B), "")</f>
        <v>Self Pay</v>
      </c>
    </row>
    <row r="85" spans="1:31" ht="16.5" x14ac:dyDescent="0.25">
      <c r="A85" t="s">
        <v>657</v>
      </c>
      <c r="B85" s="36">
        <v>45695</v>
      </c>
      <c r="C85" s="36">
        <v>45679</v>
      </c>
      <c r="D85" t="s">
        <v>28</v>
      </c>
      <c r="E85" t="s">
        <v>29</v>
      </c>
      <c r="F85" t="s">
        <v>1615</v>
      </c>
      <c r="G85" t="s">
        <v>1616</v>
      </c>
      <c r="H85" t="s">
        <v>1617</v>
      </c>
      <c r="I85" t="s">
        <v>1618</v>
      </c>
      <c r="J85"/>
      <c r="K85"/>
      <c r="L85"/>
      <c r="M85" t="s">
        <v>755</v>
      </c>
      <c r="N85" t="s">
        <v>1222</v>
      </c>
      <c r="O85" t="s">
        <v>387</v>
      </c>
      <c r="P85" s="36">
        <v>24709</v>
      </c>
      <c r="Q85" s="45">
        <f t="shared" si="3"/>
        <v>57</v>
      </c>
      <c r="R85" t="s">
        <v>944</v>
      </c>
      <c r="S85">
        <v>447976510006</v>
      </c>
      <c r="T85" t="s">
        <v>35</v>
      </c>
      <c r="U85"/>
      <c r="V85" s="39" cm="1">
        <f t="array" ref="V85">IFERROR(
    _xlfn.XLOOKUP(1,
        (tblPrices[Prefix]=$AC85)*(tblPrices[Product Code]=$T85),
        tblPrices[Price]
    ),
    0
)
+
IF(ISNUMBER(SEARCH("Mammogram",$U85)),
    IFERROR(_xlfn.XLOOKUP(1,(tblPrices[Prefix]=$AC85)*(tblPrices[Product Code]="Mammogram"),tblPrices[Price]),0),
    0
)
+
IF(ISNUMBER(SEARCH("PSA",$U85)),
    IFERROR(_xlfn.XLOOKUP(1,(tblPrices[Prefix]=$AC85)*(tblPrices[Product Code]="PSA"),tblPrices[Price]),0),
    0
)</f>
        <v>543</v>
      </c>
      <c r="W85" t="s">
        <v>629</v>
      </c>
      <c r="X85" t="s">
        <v>1074</v>
      </c>
      <c r="Y85"/>
      <c r="Z85">
        <v>19071125</v>
      </c>
      <c r="AA85" t="s">
        <v>1091</v>
      </c>
      <c r="AB85" s="1" t="str" cm="1">
        <f t="array" ref="AB85" xml:space="preserve"> _xlfn.LET(_xlpm.pc, UPPER(TRIM(M85)), LEFT(_xlpm.pc, MIN(FIND({0,1,2,3,4,5,6,7,8,9}, _xlpm.pc&amp;"0123456789"))-1))</f>
        <v>LE</v>
      </c>
      <c r="AC85" s="1" t="s">
        <v>1994</v>
      </c>
      <c r="AD85" s="1" t="str">
        <f>VLOOKUP(AB85, postcode_table!A:B, 2, FALSE)</f>
        <v>Leicester</v>
      </c>
      <c r="AE85" s="1" t="str">
        <f>IFERROR(_xlfn.XLOOKUP(AC85, price_lookup_table!$C:$C, price_lookup_table!$B:$B), "")</f>
        <v>Self Pay</v>
      </c>
    </row>
    <row r="86" spans="1:31" ht="16.5" x14ac:dyDescent="0.25">
      <c r="A86" t="s">
        <v>34</v>
      </c>
      <c r="B86" s="36">
        <v>45698</v>
      </c>
      <c r="C86" s="36">
        <v>45693</v>
      </c>
      <c r="D86" t="s">
        <v>28</v>
      </c>
      <c r="E86" t="s">
        <v>29</v>
      </c>
      <c r="F86" t="s">
        <v>1619</v>
      </c>
      <c r="G86" t="s">
        <v>1620</v>
      </c>
      <c r="H86" t="s">
        <v>1621</v>
      </c>
      <c r="I86" t="s">
        <v>1622</v>
      </c>
      <c r="J86"/>
      <c r="K86"/>
      <c r="L86"/>
      <c r="M86" t="s">
        <v>711</v>
      </c>
      <c r="N86" t="s">
        <v>1221</v>
      </c>
      <c r="O86" t="s">
        <v>387</v>
      </c>
      <c r="P86" s="36">
        <v>22026</v>
      </c>
      <c r="Q86" s="45">
        <f t="shared" si="3"/>
        <v>64</v>
      </c>
      <c r="R86" t="s">
        <v>902</v>
      </c>
      <c r="S86">
        <v>447743841359</v>
      </c>
      <c r="T86" t="s">
        <v>30</v>
      </c>
      <c r="U86"/>
      <c r="V86" s="39" cm="1">
        <f t="array" ref="V86">IFERROR(
    _xlfn.XLOOKUP(1,
        (tblPrices[Prefix]=$AC86)*(tblPrices[Product Code]=$T86),
        tblPrices[Price]
    ),
    0
)
+
IF(ISNUMBER(SEARCH("Mammogram",$U86)),
    IFERROR(_xlfn.XLOOKUP(1,(tblPrices[Prefix]=$AC86)*(tblPrices[Product Code]="Mammogram"),tblPrices[Price]),0),
    0
)
+
IF(ISNUMBER(SEARCH("PSA",$U86)),
    IFERROR(_xlfn.XLOOKUP(1,(tblPrices[Prefix]=$AC86)*(tblPrices[Product Code]="PSA"),tblPrices[Price]),0),
    0
)</f>
        <v>728</v>
      </c>
      <c r="W86" t="s">
        <v>629</v>
      </c>
      <c r="X86" t="s">
        <v>637</v>
      </c>
      <c r="Y86"/>
      <c r="Z86">
        <v>22044274</v>
      </c>
      <c r="AA86" t="s">
        <v>1094</v>
      </c>
      <c r="AB86" s="1" t="str" cm="1">
        <f t="array" ref="AB86" xml:space="preserve"> _xlfn.LET(_xlpm.pc, UPPER(TRIM(M86)), LEFT(_xlpm.pc, MIN(FIND({0,1,2,3,4,5,6,7,8,9}, _xlpm.pc&amp;"0123456789"))-1))</f>
        <v>CT</v>
      </c>
      <c r="AC86" s="1" t="str">
        <f t="shared" si="2"/>
        <v>AXA</v>
      </c>
      <c r="AD86" s="1" t="str">
        <f>VLOOKUP(AB86, postcode_table!A:B, 2, FALSE)</f>
        <v>Canterbury</v>
      </c>
      <c r="AE86" s="1" t="str">
        <f>IFERROR(_xlfn.XLOOKUP(AC86, price_lookup_table!$C:$C, price_lookup_table!$B:$B), "")</f>
        <v>Self Pay</v>
      </c>
    </row>
    <row r="87" spans="1:31" ht="16.5" x14ac:dyDescent="0.25">
      <c r="A87" t="s">
        <v>650</v>
      </c>
      <c r="B87" s="36">
        <v>45698</v>
      </c>
      <c r="C87" s="36">
        <v>45674</v>
      </c>
      <c r="D87" t="s">
        <v>28</v>
      </c>
      <c r="E87" t="s">
        <v>29</v>
      </c>
      <c r="F87" t="s">
        <v>1623</v>
      </c>
      <c r="G87" t="s">
        <v>1624</v>
      </c>
      <c r="H87" t="s">
        <v>1625</v>
      </c>
      <c r="I87" t="s">
        <v>1626</v>
      </c>
      <c r="J87"/>
      <c r="K87"/>
      <c r="L87"/>
      <c r="M87" t="s">
        <v>746</v>
      </c>
      <c r="N87" t="s">
        <v>1220</v>
      </c>
      <c r="O87" t="s">
        <v>388</v>
      </c>
      <c r="P87" s="36">
        <v>20248</v>
      </c>
      <c r="Q87" s="45">
        <f t="shared" si="3"/>
        <v>69</v>
      </c>
      <c r="R87" t="s">
        <v>934</v>
      </c>
      <c r="S87">
        <v>447495746204</v>
      </c>
      <c r="T87" t="s">
        <v>35</v>
      </c>
      <c r="U87"/>
      <c r="V87" s="39" cm="1">
        <f t="array" ref="V87">IFERROR(
    _xlfn.XLOOKUP(1,
        (tblPrices[Prefix]=$AC87)*(tblPrices[Product Code]=$T87),
        tblPrices[Price]
    ),
    0
)
+
IF(ISNUMBER(SEARCH("Mammogram",$U87)),
    IFERROR(_xlfn.XLOOKUP(1,(tblPrices[Prefix]=$AC87)*(tblPrices[Product Code]="Mammogram"),tblPrices[Price]),0),
    0
)
+
IF(ISNUMBER(SEARCH("PSA",$U87)),
    IFERROR(_xlfn.XLOOKUP(1,(tblPrices[Prefix]=$AC87)*(tblPrices[Product Code]="PSA"),tblPrices[Price]),0),
    0
)</f>
        <v>543</v>
      </c>
      <c r="W87" t="s">
        <v>629</v>
      </c>
      <c r="X87" t="s">
        <v>1060</v>
      </c>
      <c r="Y87"/>
      <c r="Z87">
        <v>20855416</v>
      </c>
      <c r="AA87" t="s">
        <v>1087</v>
      </c>
      <c r="AB87" s="1" t="str" cm="1">
        <f t="array" ref="AB87" xml:space="preserve"> _xlfn.LET(_xlpm.pc, UPPER(TRIM(M87)), LEFT(_xlpm.pc, MIN(FIND({0,1,2,3,4,5,6,7,8,9}, _xlpm.pc&amp;"0123456789"))-1))</f>
        <v>KT</v>
      </c>
      <c r="AC87" s="1" t="str">
        <f t="shared" si="2"/>
        <v>AXA</v>
      </c>
      <c r="AD87" s="1" t="str">
        <f>VLOOKUP(AB87, postcode_table!A:B, 2, FALSE)</f>
        <v>Kingston upon Thames</v>
      </c>
      <c r="AE87" s="1" t="str">
        <f>IFERROR(_xlfn.XLOOKUP(AC87, price_lookup_table!$C:$C, price_lookup_table!$B:$B), "")</f>
        <v>Self Pay</v>
      </c>
    </row>
    <row r="88" spans="1:31" ht="16.5" x14ac:dyDescent="0.25">
      <c r="A88" t="s">
        <v>389</v>
      </c>
      <c r="B88" s="36">
        <v>45698</v>
      </c>
      <c r="C88" s="36">
        <v>45671</v>
      </c>
      <c r="D88" t="s">
        <v>28</v>
      </c>
      <c r="E88" t="s">
        <v>29</v>
      </c>
      <c r="F88" t="s">
        <v>1627</v>
      </c>
      <c r="G88" t="s">
        <v>1628</v>
      </c>
      <c r="H88" t="s">
        <v>1629</v>
      </c>
      <c r="I88" t="s">
        <v>1630</v>
      </c>
      <c r="J88"/>
      <c r="K88"/>
      <c r="L88"/>
      <c r="M88" t="s">
        <v>760</v>
      </c>
      <c r="N88" t="s">
        <v>1219</v>
      </c>
      <c r="O88" t="s">
        <v>388</v>
      </c>
      <c r="P88" s="36">
        <v>27583</v>
      </c>
      <c r="Q88" s="45">
        <f t="shared" si="3"/>
        <v>49</v>
      </c>
      <c r="R88" t="s">
        <v>948</v>
      </c>
      <c r="S88">
        <v>447725984753</v>
      </c>
      <c r="T88" t="s">
        <v>35</v>
      </c>
      <c r="U88"/>
      <c r="V88" s="39" cm="1">
        <f t="array" ref="V88">IFERROR(
    _xlfn.XLOOKUP(1,
        (tblPrices[Prefix]=$AC88)*(tblPrices[Product Code]=$T88),
        tblPrices[Price]
    ),
    0
)
+
IF(ISNUMBER(SEARCH("Mammogram",$U88)),
    IFERROR(_xlfn.XLOOKUP(1,(tblPrices[Prefix]=$AC88)*(tblPrices[Product Code]="Mammogram"),tblPrices[Price]),0),
    0
)
+
IF(ISNUMBER(SEARCH("PSA",$U88)),
    IFERROR(_xlfn.XLOOKUP(1,(tblPrices[Prefix]=$AC88)*(tblPrices[Product Code]="PSA"),tblPrices[Price]),0),
    0
)</f>
        <v>543</v>
      </c>
      <c r="W88" t="s">
        <v>629</v>
      </c>
      <c r="X88" t="s">
        <v>1062</v>
      </c>
      <c r="Y88"/>
      <c r="Z88">
        <v>19088078</v>
      </c>
      <c r="AA88" t="s">
        <v>1082</v>
      </c>
      <c r="AB88" s="1" t="str" cm="1">
        <f t="array" ref="AB88" xml:space="preserve"> _xlfn.LET(_xlpm.pc, UPPER(TRIM(M88)), LEFT(_xlpm.pc, MIN(FIND({0,1,2,3,4,5,6,7,8,9}, _xlpm.pc&amp;"0123456789"))-1))</f>
        <v>MK</v>
      </c>
      <c r="AC88" s="1" t="str">
        <f t="shared" si="2"/>
        <v>AXA</v>
      </c>
      <c r="AD88" s="1" t="str">
        <f>VLOOKUP(AB88, postcode_table!A:B, 2, FALSE)</f>
        <v>Milton Keynes</v>
      </c>
      <c r="AE88" s="1" t="str">
        <f>IFERROR(_xlfn.XLOOKUP(AC88, price_lookup_table!$C:$C, price_lookup_table!$B:$B), "")</f>
        <v>Self Pay</v>
      </c>
    </row>
    <row r="89" spans="1:31" ht="16.5" x14ac:dyDescent="0.25">
      <c r="A89" t="s">
        <v>624</v>
      </c>
      <c r="B89" s="36">
        <v>45698</v>
      </c>
      <c r="C89" s="36">
        <v>45691</v>
      </c>
      <c r="D89" t="s">
        <v>28</v>
      </c>
      <c r="E89" t="s">
        <v>29</v>
      </c>
      <c r="F89" t="s">
        <v>1631</v>
      </c>
      <c r="G89" t="s">
        <v>1632</v>
      </c>
      <c r="H89" t="s">
        <v>1633</v>
      </c>
      <c r="I89" t="s">
        <v>1634</v>
      </c>
      <c r="J89"/>
      <c r="K89"/>
      <c r="L89"/>
      <c r="M89" t="s">
        <v>777</v>
      </c>
      <c r="N89" t="s">
        <v>1218</v>
      </c>
      <c r="O89" t="s">
        <v>387</v>
      </c>
      <c r="P89" s="36">
        <v>17383</v>
      </c>
      <c r="Q89" s="45">
        <f t="shared" si="3"/>
        <v>77</v>
      </c>
      <c r="R89" t="s">
        <v>967</v>
      </c>
      <c r="S89">
        <v>447989346080</v>
      </c>
      <c r="T89" t="s">
        <v>30</v>
      </c>
      <c r="U89"/>
      <c r="V89" s="39" cm="1">
        <f t="array" ref="V89">IFERROR(
    _xlfn.XLOOKUP(1,
        (tblPrices[Prefix]=$AC89)*(tblPrices[Product Code]=$T89),
        tblPrices[Price]
    ),
    0
)
+
IF(ISNUMBER(SEARCH("Mammogram",$U89)),
    IFERROR(_xlfn.XLOOKUP(1,(tblPrices[Prefix]=$AC89)*(tblPrices[Product Code]="Mammogram"),tblPrices[Price]),0),
    0
)
+
IF(ISNUMBER(SEARCH("PSA",$U89)),
    IFERROR(_xlfn.XLOOKUP(1,(tblPrices[Prefix]=$AC89)*(tblPrices[Product Code]="PSA"),tblPrices[Price]),0),
    0
)</f>
        <v>728</v>
      </c>
      <c r="W89" t="s">
        <v>629</v>
      </c>
      <c r="X89" t="s">
        <v>1067</v>
      </c>
      <c r="Y89"/>
      <c r="Z89">
        <v>14503993</v>
      </c>
      <c r="AA89" t="s">
        <v>1087</v>
      </c>
      <c r="AB89" s="1" t="str" cm="1">
        <f t="array" ref="AB89" xml:space="preserve"> _xlfn.LET(_xlpm.pc, UPPER(TRIM(M89)), LEFT(_xlpm.pc, MIN(FIND({0,1,2,3,4,5,6,7,8,9}, _xlpm.pc&amp;"0123456789"))-1))</f>
        <v>NG</v>
      </c>
      <c r="AC89" s="1" t="str">
        <f t="shared" si="2"/>
        <v>AXA</v>
      </c>
      <c r="AD89" s="1" t="str">
        <f>VLOOKUP(AB89, postcode_table!A:B, 2, FALSE)</f>
        <v>Nottingham</v>
      </c>
      <c r="AE89" s="1" t="str">
        <f>IFERROR(_xlfn.XLOOKUP(AC89, price_lookup_table!$C:$C, price_lookup_table!$B:$B), "")</f>
        <v>Self Pay</v>
      </c>
    </row>
    <row r="90" spans="1:31" ht="16.5" x14ac:dyDescent="0.25">
      <c r="A90" t="s">
        <v>34</v>
      </c>
      <c r="B90" s="36">
        <v>45698</v>
      </c>
      <c r="C90" s="36">
        <v>45680</v>
      </c>
      <c r="D90" t="s">
        <v>28</v>
      </c>
      <c r="E90" t="s">
        <v>29</v>
      </c>
      <c r="F90" t="s">
        <v>1635</v>
      </c>
      <c r="G90" t="s">
        <v>1636</v>
      </c>
      <c r="H90" t="s">
        <v>1637</v>
      </c>
      <c r="I90" t="s">
        <v>1638</v>
      </c>
      <c r="J90"/>
      <c r="K90"/>
      <c r="L90"/>
      <c r="M90" t="s">
        <v>791</v>
      </c>
      <c r="N90" t="s">
        <v>1217</v>
      </c>
      <c r="O90" t="s">
        <v>388</v>
      </c>
      <c r="P90" s="36">
        <v>27462</v>
      </c>
      <c r="Q90" s="45">
        <f t="shared" si="3"/>
        <v>49</v>
      </c>
      <c r="R90" t="s">
        <v>983</v>
      </c>
      <c r="S90">
        <v>447899672801</v>
      </c>
      <c r="T90" t="s">
        <v>30</v>
      </c>
      <c r="U90" t="s">
        <v>628</v>
      </c>
      <c r="V90" s="39" cm="1">
        <f t="array" ref="V90">IFERROR(
    _xlfn.XLOOKUP(1,
        (tblPrices[Prefix]=$AC90)*(tblPrices[Product Code]=$T90),
        tblPrices[Price]
    ),
    0
)
+
IF(ISNUMBER(SEARCH("Mammogram",$U90)),
    IFERROR(_xlfn.XLOOKUP(1,(tblPrices[Prefix]=$AC90)*(tblPrices[Product Code]="Mammogram"),tblPrices[Price]),0),
    0
)
+
IF(ISNUMBER(SEARCH("PSA",$U90)),
    IFERROR(_xlfn.XLOOKUP(1,(tblPrices[Prefix]=$AC90)*(tblPrices[Product Code]="PSA"),tblPrices[Price]),0),
    0
)</f>
        <v>875</v>
      </c>
      <c r="W90" t="s">
        <v>629</v>
      </c>
      <c r="X90" t="s">
        <v>1079</v>
      </c>
      <c r="Y90"/>
      <c r="Z90">
        <v>22025312</v>
      </c>
      <c r="AA90" t="s">
        <v>1082</v>
      </c>
      <c r="AB90" s="1" t="str" cm="1">
        <f t="array" ref="AB90" xml:space="preserve"> _xlfn.LET(_xlpm.pc, UPPER(TRIM(M90)), LEFT(_xlpm.pc, MIN(FIND({0,1,2,3,4,5,6,7,8,9}, _xlpm.pc&amp;"0123456789"))-1))</f>
        <v>RG</v>
      </c>
      <c r="AC90" s="1" t="str">
        <f t="shared" si="2"/>
        <v>AXA</v>
      </c>
      <c r="AD90" s="1" t="str">
        <f>VLOOKUP(AB90, postcode_table!A:B, 2, FALSE)</f>
        <v>Reading</v>
      </c>
      <c r="AE90" s="1" t="str">
        <f>IFERROR(_xlfn.XLOOKUP(AC90, price_lookup_table!$C:$C, price_lookup_table!$B:$B), "")</f>
        <v>Self Pay</v>
      </c>
    </row>
    <row r="91" spans="1:31" ht="16.5" x14ac:dyDescent="0.25">
      <c r="A91" t="s">
        <v>34</v>
      </c>
      <c r="B91" s="36">
        <v>45698</v>
      </c>
      <c r="C91" s="36">
        <v>45685</v>
      </c>
      <c r="D91" t="s">
        <v>28</v>
      </c>
      <c r="E91" t="s">
        <v>29</v>
      </c>
      <c r="F91" t="s">
        <v>1639</v>
      </c>
      <c r="G91" t="s">
        <v>1640</v>
      </c>
      <c r="H91" t="s">
        <v>1641</v>
      </c>
      <c r="I91" t="s">
        <v>1642</v>
      </c>
      <c r="J91"/>
      <c r="K91"/>
      <c r="L91"/>
      <c r="M91" t="s">
        <v>790</v>
      </c>
      <c r="N91" t="s">
        <v>1216</v>
      </c>
      <c r="O91" t="s">
        <v>387</v>
      </c>
      <c r="P91" s="36">
        <v>27651</v>
      </c>
      <c r="Q91" s="45">
        <f t="shared" si="3"/>
        <v>49</v>
      </c>
      <c r="R91" t="s">
        <v>982</v>
      </c>
      <c r="S91">
        <v>447831647175</v>
      </c>
      <c r="T91" t="s">
        <v>30</v>
      </c>
      <c r="U91"/>
      <c r="V91" s="39" cm="1">
        <f t="array" ref="V91">IFERROR(
    _xlfn.XLOOKUP(1,
        (tblPrices[Prefix]=$AC91)*(tblPrices[Product Code]=$T91),
        tblPrices[Price]
    ),
    0
)
+
IF(ISNUMBER(SEARCH("Mammogram",$U91)),
    IFERROR(_xlfn.XLOOKUP(1,(tblPrices[Prefix]=$AC91)*(tblPrices[Product Code]="Mammogram"),tblPrices[Price]),0),
    0
)
+
IF(ISNUMBER(SEARCH("PSA",$U91)),
    IFERROR(_xlfn.XLOOKUP(1,(tblPrices[Prefix]=$AC91)*(tblPrices[Product Code]="PSA"),tblPrices[Price]),0),
    0
)</f>
        <v>728</v>
      </c>
      <c r="W91" t="s">
        <v>629</v>
      </c>
      <c r="X91" t="s">
        <v>1073</v>
      </c>
      <c r="Y91"/>
      <c r="Z91">
        <v>10916346</v>
      </c>
      <c r="AA91" t="s">
        <v>1087</v>
      </c>
      <c r="AB91" s="1" t="str" cm="1">
        <f t="array" ref="AB91" xml:space="preserve"> _xlfn.LET(_xlpm.pc, UPPER(TRIM(M91)), LEFT(_xlpm.pc, MIN(FIND({0,1,2,3,4,5,6,7,8,9}, _xlpm.pc&amp;"0123456789"))-1))</f>
        <v>RG</v>
      </c>
      <c r="AC91" s="1" t="str">
        <f t="shared" si="2"/>
        <v>AXA</v>
      </c>
      <c r="AD91" s="1" t="str">
        <f>VLOOKUP(AB91, postcode_table!A:B, 2, FALSE)</f>
        <v>Reading</v>
      </c>
      <c r="AE91" s="1" t="str">
        <f>IFERROR(_xlfn.XLOOKUP(AC91, price_lookup_table!$C:$C, price_lookup_table!$B:$B), "")</f>
        <v>Self Pay</v>
      </c>
    </row>
    <row r="92" spans="1:31" ht="16.5" x14ac:dyDescent="0.25">
      <c r="A92" t="s">
        <v>46</v>
      </c>
      <c r="B92" s="36">
        <v>45698</v>
      </c>
      <c r="C92" s="36">
        <v>45670</v>
      </c>
      <c r="D92" t="s">
        <v>28</v>
      </c>
      <c r="E92" t="s">
        <v>29</v>
      </c>
      <c r="F92" t="s">
        <v>1643</v>
      </c>
      <c r="G92" t="s">
        <v>1644</v>
      </c>
      <c r="H92" t="s">
        <v>1645</v>
      </c>
      <c r="I92" t="s">
        <v>1646</v>
      </c>
      <c r="J92"/>
      <c r="K92"/>
      <c r="L92"/>
      <c r="M92" t="s">
        <v>817</v>
      </c>
      <c r="N92" t="s">
        <v>1215</v>
      </c>
      <c r="O92" t="s">
        <v>387</v>
      </c>
      <c r="P92" s="36">
        <v>16723</v>
      </c>
      <c r="Q92" s="45">
        <f t="shared" si="3"/>
        <v>79</v>
      </c>
      <c r="R92" t="s">
        <v>1010</v>
      </c>
      <c r="S92">
        <v>447411076320</v>
      </c>
      <c r="T92" t="s">
        <v>35</v>
      </c>
      <c r="U92"/>
      <c r="V92" s="39" cm="1">
        <f t="array" ref="V92">IFERROR(
    _xlfn.XLOOKUP(1,
        (tblPrices[Prefix]=$AC92)*(tblPrices[Product Code]=$T92),
        tblPrices[Price]
    ),
    0
)
+
IF(ISNUMBER(SEARCH("Mammogram",$U92)),
    IFERROR(_xlfn.XLOOKUP(1,(tblPrices[Prefix]=$AC92)*(tblPrices[Product Code]="Mammogram"),tblPrices[Price]),0),
    0
)
+
IF(ISNUMBER(SEARCH("PSA",$U92)),
    IFERROR(_xlfn.XLOOKUP(1,(tblPrices[Prefix]=$AC92)*(tblPrices[Product Code]="PSA"),tblPrices[Price]),0),
    0
)</f>
        <v>543</v>
      </c>
      <c r="W92" t="s">
        <v>629</v>
      </c>
      <c r="X92" t="s">
        <v>1050</v>
      </c>
      <c r="Y92"/>
      <c r="Z92">
        <v>17533074</v>
      </c>
      <c r="AA92" t="s">
        <v>1082</v>
      </c>
      <c r="AB92" s="1" t="str" cm="1">
        <f t="array" ref="AB92" xml:space="preserve"> _xlfn.LET(_xlpm.pc, UPPER(TRIM(M92)), LEFT(_xlpm.pc, MIN(FIND({0,1,2,3,4,5,6,7,8,9}, _xlpm.pc&amp;"0123456789"))-1))</f>
        <v>SL</v>
      </c>
      <c r="AC92" s="1" t="str">
        <f t="shared" si="2"/>
        <v>AXA</v>
      </c>
      <c r="AD92" s="1" t="str">
        <f>VLOOKUP(AB92, postcode_table!A:B, 2, FALSE)</f>
        <v>Slough</v>
      </c>
      <c r="AE92" s="1" t="str">
        <f>IFERROR(_xlfn.XLOOKUP(AC92, price_lookup_table!$C:$C, price_lookup_table!$B:$B), "")</f>
        <v>Self Pay</v>
      </c>
    </row>
    <row r="93" spans="1:31" ht="16.5" x14ac:dyDescent="0.25">
      <c r="A93" t="s">
        <v>34</v>
      </c>
      <c r="B93" s="36">
        <v>45698</v>
      </c>
      <c r="C93" s="36">
        <v>45684</v>
      </c>
      <c r="D93" t="s">
        <v>28</v>
      </c>
      <c r="E93" t="s">
        <v>29</v>
      </c>
      <c r="F93" t="s">
        <v>648</v>
      </c>
      <c r="G93" t="s">
        <v>1647</v>
      </c>
      <c r="H93" t="s">
        <v>1648</v>
      </c>
      <c r="I93" t="s">
        <v>1649</v>
      </c>
      <c r="J93"/>
      <c r="K93"/>
      <c r="L93"/>
      <c r="M93" t="s">
        <v>827</v>
      </c>
      <c r="N93" t="s">
        <v>1214</v>
      </c>
      <c r="O93" t="s">
        <v>387</v>
      </c>
      <c r="P93" s="36">
        <v>17616</v>
      </c>
      <c r="Q93" s="45">
        <f t="shared" si="3"/>
        <v>76</v>
      </c>
      <c r="R93" t="s">
        <v>1021</v>
      </c>
      <c r="S93">
        <v>447584015970</v>
      </c>
      <c r="T93" t="s">
        <v>30</v>
      </c>
      <c r="U93"/>
      <c r="V93" s="39" cm="1">
        <f t="array" ref="V93">IFERROR(
    _xlfn.XLOOKUP(1,
        (tblPrices[Prefix]=$AC93)*(tblPrices[Product Code]=$T93),
        tblPrices[Price]
    ),
    0
)
+
IF(ISNUMBER(SEARCH("Mammogram",$U93)),
    IFERROR(_xlfn.XLOOKUP(1,(tblPrices[Prefix]=$AC93)*(tblPrices[Product Code]="Mammogram"),tblPrices[Price]),0),
    0
)
+
IF(ISNUMBER(SEARCH("PSA",$U93)),
    IFERROR(_xlfn.XLOOKUP(1,(tblPrices[Prefix]=$AC93)*(tblPrices[Product Code]="PSA"),tblPrices[Price]),0),
    0
)</f>
        <v>728</v>
      </c>
      <c r="W93" t="s">
        <v>629</v>
      </c>
      <c r="X93" t="s">
        <v>640</v>
      </c>
      <c r="Y93"/>
      <c r="Z93">
        <v>20887842</v>
      </c>
      <c r="AA93" t="s">
        <v>1112</v>
      </c>
      <c r="AB93" s="1" t="str" cm="1">
        <f t="array" ref="AB93" xml:space="preserve"> _xlfn.LET(_xlpm.pc, UPPER(TRIM(M93)), LEFT(_xlpm.pc, MIN(FIND({0,1,2,3,4,5,6,7,8,9}, _xlpm.pc&amp;"0123456789"))-1))</f>
        <v>SP</v>
      </c>
      <c r="AC93" s="1" t="str">
        <f t="shared" si="2"/>
        <v>AXA</v>
      </c>
      <c r="AD93" s="1" t="str">
        <f>VLOOKUP(AB93, postcode_table!A:B, 2, FALSE)</f>
        <v>Salisbury</v>
      </c>
      <c r="AE93" s="1" t="str">
        <f>IFERROR(_xlfn.XLOOKUP(AC93, price_lookup_table!$C:$C, price_lookup_table!$B:$B), "")</f>
        <v>Self Pay</v>
      </c>
    </row>
    <row r="94" spans="1:31" ht="16.5" x14ac:dyDescent="0.25">
      <c r="A94" t="s">
        <v>42</v>
      </c>
      <c r="B94" s="36">
        <v>45698</v>
      </c>
      <c r="C94" s="36">
        <v>45665</v>
      </c>
      <c r="D94" t="s">
        <v>28</v>
      </c>
      <c r="E94" t="s">
        <v>29</v>
      </c>
      <c r="F94" t="s">
        <v>1650</v>
      </c>
      <c r="G94" t="s">
        <v>1651</v>
      </c>
      <c r="H94" t="s">
        <v>1652</v>
      </c>
      <c r="I94" t="s">
        <v>1653</v>
      </c>
      <c r="J94"/>
      <c r="K94"/>
      <c r="L94"/>
      <c r="M94" t="s">
        <v>842</v>
      </c>
      <c r="N94" t="s">
        <v>1213</v>
      </c>
      <c r="O94" t="s">
        <v>387</v>
      </c>
      <c r="P94" s="36">
        <v>17303</v>
      </c>
      <c r="Q94" s="45">
        <f t="shared" si="3"/>
        <v>77</v>
      </c>
      <c r="R94" t="s">
        <v>1035</v>
      </c>
      <c r="S94">
        <v>447730466101</v>
      </c>
      <c r="T94" t="s">
        <v>35</v>
      </c>
      <c r="U94"/>
      <c r="V94" s="39" cm="1">
        <f t="array" ref="V94">IFERROR(
    _xlfn.XLOOKUP(1,
        (tblPrices[Prefix]=$AC94)*(tblPrices[Product Code]=$T94),
        tblPrices[Price]
    ),
    0
)
+
IF(ISNUMBER(SEARCH("Mammogram",$U94)),
    IFERROR(_xlfn.XLOOKUP(1,(tblPrices[Prefix]=$AC94)*(tblPrices[Product Code]="Mammogram"),tblPrices[Price]),0),
    0
)
+
IF(ISNUMBER(SEARCH("PSA",$U94)),
    IFERROR(_xlfn.XLOOKUP(1,(tblPrices[Prefix]=$AC94)*(tblPrices[Product Code]="PSA"),tblPrices[Price]),0),
    0
)</f>
        <v>543</v>
      </c>
      <c r="W94" t="s">
        <v>629</v>
      </c>
      <c r="X94" t="s">
        <v>1049</v>
      </c>
      <c r="Y94"/>
      <c r="Z94">
        <v>22007750</v>
      </c>
      <c r="AA94" t="s">
        <v>1082</v>
      </c>
      <c r="AB94" s="1" t="str" cm="1">
        <f t="array" ref="AB94" xml:space="preserve"> _xlfn.LET(_xlpm.pc, UPPER(TRIM(M94)), LEFT(_xlpm.pc, MIN(FIND({0,1,2,3,4,5,6,7,8,9}, _xlpm.pc&amp;"0123456789"))-1))</f>
        <v>W</v>
      </c>
      <c r="AC94" s="1" t="str">
        <f t="shared" si="2"/>
        <v>AXA</v>
      </c>
      <c r="AD94" s="1" t="str">
        <f>VLOOKUP(AB94, postcode_table!A:B, 2, FALSE)</f>
        <v>West London</v>
      </c>
      <c r="AE94" s="1" t="str">
        <f>IFERROR(_xlfn.XLOOKUP(AC94, price_lookup_table!$C:$C, price_lookup_table!$B:$B), "")</f>
        <v>Self Pay</v>
      </c>
    </row>
    <row r="95" spans="1:31" ht="16.5" x14ac:dyDescent="0.25">
      <c r="A95" t="s">
        <v>647</v>
      </c>
      <c r="B95" s="36">
        <v>45698</v>
      </c>
      <c r="C95" s="36">
        <v>45694</v>
      </c>
      <c r="D95" t="s">
        <v>28</v>
      </c>
      <c r="E95" t="s">
        <v>29</v>
      </c>
      <c r="F95" t="s">
        <v>1654</v>
      </c>
      <c r="G95" t="s">
        <v>1655</v>
      </c>
      <c r="H95" t="s">
        <v>1656</v>
      </c>
      <c r="I95" t="s">
        <v>1657</v>
      </c>
      <c r="J95"/>
      <c r="K95"/>
      <c r="L95"/>
      <c r="M95" t="s">
        <v>688</v>
      </c>
      <c r="N95" t="s">
        <v>1212</v>
      </c>
      <c r="O95" t="s">
        <v>387</v>
      </c>
      <c r="P95" s="36">
        <v>29918</v>
      </c>
      <c r="Q95" s="45">
        <f t="shared" si="3"/>
        <v>43</v>
      </c>
      <c r="R95" t="s">
        <v>877</v>
      </c>
      <c r="S95">
        <v>447711014422</v>
      </c>
      <c r="T95" t="s">
        <v>35</v>
      </c>
      <c r="U95"/>
      <c r="V95" s="39" cm="1">
        <f t="array" ref="V95">IFERROR(
    _xlfn.XLOOKUP(1,
        (tblPrices[Prefix]=$AC95)*(tblPrices[Product Code]=$T95),
        tblPrices[Price]
    ),
    0
)
+
IF(ISNUMBER(SEARCH("Mammogram",$U95)),
    IFERROR(_xlfn.XLOOKUP(1,(tblPrices[Prefix]=$AC95)*(tblPrices[Product Code]="Mammogram"),tblPrices[Price]),0),
    0
)
+
IF(ISNUMBER(SEARCH("PSA",$U95)),
    IFERROR(_xlfn.XLOOKUP(1,(tblPrices[Prefix]=$AC95)*(tblPrices[Product Code]="PSA"),tblPrices[Price]),0),
    0
)</f>
        <v>724.5</v>
      </c>
      <c r="W95" t="s">
        <v>629</v>
      </c>
      <c r="X95" t="s">
        <v>637</v>
      </c>
      <c r="Y95"/>
      <c r="Z95">
        <v>21413353</v>
      </c>
      <c r="AA95" t="s">
        <v>1081</v>
      </c>
      <c r="AB95" s="1" t="str" cm="1">
        <f t="array" ref="AB95" xml:space="preserve"> _xlfn.LET(_xlpm.pc, UPPER(TRIM(M95)), LEFT(_xlpm.pc, MIN(FIND({0,1,2,3,4,5,6,7,8,9}, _xlpm.pc&amp;"0123456789"))-1))</f>
        <v>BA</v>
      </c>
      <c r="AC95" s="1" t="str">
        <f t="shared" si="2"/>
        <v>M01</v>
      </c>
      <c r="AD95" s="1" t="str">
        <f>VLOOKUP(AB95, postcode_table!A:B, 2, FALSE)</f>
        <v>Bath</v>
      </c>
      <c r="AE95" s="1" t="str">
        <f>IFERROR(_xlfn.XLOOKUP(AC95, price_lookup_table!$C:$C, price_lookup_table!$B:$B), "")</f>
        <v>Self Pay</v>
      </c>
    </row>
    <row r="96" spans="1:31" ht="16.5" x14ac:dyDescent="0.25">
      <c r="A96" t="s">
        <v>37</v>
      </c>
      <c r="B96" s="36">
        <v>45698</v>
      </c>
      <c r="C96" s="36">
        <v>45679</v>
      </c>
      <c r="D96" t="s">
        <v>28</v>
      </c>
      <c r="E96" t="s">
        <v>29</v>
      </c>
      <c r="F96" t="s">
        <v>1658</v>
      </c>
      <c r="G96" t="s">
        <v>1659</v>
      </c>
      <c r="H96" t="s">
        <v>1660</v>
      </c>
      <c r="I96" t="s">
        <v>1661</v>
      </c>
      <c r="J96"/>
      <c r="K96"/>
      <c r="L96"/>
      <c r="M96" t="s">
        <v>800</v>
      </c>
      <c r="N96" t="s">
        <v>1211</v>
      </c>
      <c r="O96" t="s">
        <v>387</v>
      </c>
      <c r="P96" s="36">
        <v>17421</v>
      </c>
      <c r="Q96" s="45">
        <f t="shared" si="3"/>
        <v>77</v>
      </c>
      <c r="R96" t="s">
        <v>993</v>
      </c>
      <c r="S96">
        <v>447786304471</v>
      </c>
      <c r="T96" t="s">
        <v>30</v>
      </c>
      <c r="U96"/>
      <c r="V96" s="39" cm="1">
        <f t="array" ref="V96">IFERROR(
    _xlfn.XLOOKUP(1,
        (tblPrices[Prefix]=$AC96)*(tblPrices[Product Code]=$T96),
        tblPrices[Price]
    ),
    0
)
+
IF(ISNUMBER(SEARCH("Mammogram",$U96)),
    IFERROR(_xlfn.XLOOKUP(1,(tblPrices[Prefix]=$AC96)*(tblPrices[Product Code]="Mammogram"),tblPrices[Price]),0),
    0
)
+
IF(ISNUMBER(SEARCH("PSA",$U96)),
    IFERROR(_xlfn.XLOOKUP(1,(tblPrices[Prefix]=$AC96)*(tblPrices[Product Code]="PSA"),tblPrices[Price]),0),
    0
)</f>
        <v>970.5</v>
      </c>
      <c r="W96" t="s">
        <v>629</v>
      </c>
      <c r="X96" t="s">
        <v>1074</v>
      </c>
      <c r="Y96"/>
      <c r="Z96">
        <v>20735215</v>
      </c>
      <c r="AA96" t="s">
        <v>1081</v>
      </c>
      <c r="AB96" s="1" t="str" cm="1">
        <f t="array" ref="AB96" xml:space="preserve"> _xlfn.LET(_xlpm.pc, UPPER(TRIM(M96)), LEFT(_xlpm.pc, MIN(FIND({0,1,2,3,4,5,6,7,8,9}, _xlpm.pc&amp;"0123456789"))-1))</f>
        <v>S</v>
      </c>
      <c r="AC96" s="1" t="str">
        <f t="shared" si="2"/>
        <v>M01</v>
      </c>
      <c r="AD96" s="1" t="str">
        <f>VLOOKUP(AB96, postcode_table!A:B, 2, FALSE)</f>
        <v>Sheffield</v>
      </c>
      <c r="AE96" s="1" t="str">
        <f>IFERROR(_xlfn.XLOOKUP(AC96, price_lookup_table!$C:$C, price_lookup_table!$B:$B), "")</f>
        <v>Self Pay</v>
      </c>
    </row>
    <row r="97" spans="1:31" ht="16.5" x14ac:dyDescent="0.25">
      <c r="A97" t="s">
        <v>37</v>
      </c>
      <c r="B97" s="36">
        <v>45698</v>
      </c>
      <c r="C97" s="36">
        <v>45663</v>
      </c>
      <c r="D97" t="s">
        <v>28</v>
      </c>
      <c r="E97" t="s">
        <v>29</v>
      </c>
      <c r="F97" t="s">
        <v>1662</v>
      </c>
      <c r="G97" t="s">
        <v>1663</v>
      </c>
      <c r="H97" t="s">
        <v>1664</v>
      </c>
      <c r="I97" t="s">
        <v>1665</v>
      </c>
      <c r="J97"/>
      <c r="K97"/>
      <c r="L97"/>
      <c r="M97" t="s">
        <v>801</v>
      </c>
      <c r="N97" t="s">
        <v>1210</v>
      </c>
      <c r="O97" t="s">
        <v>388</v>
      </c>
      <c r="P97" s="36">
        <v>23246</v>
      </c>
      <c r="Q97" s="45">
        <f t="shared" si="3"/>
        <v>61</v>
      </c>
      <c r="R97" t="s">
        <v>994</v>
      </c>
      <c r="S97">
        <v>447970141223</v>
      </c>
      <c r="T97" t="s">
        <v>30</v>
      </c>
      <c r="U97"/>
      <c r="V97" s="39" cm="1">
        <f t="array" ref="V97">IFERROR(
    _xlfn.XLOOKUP(1,
        (tblPrices[Prefix]=$AC97)*(tblPrices[Product Code]=$T97),
        tblPrices[Price]
    ),
    0
)
+
IF(ISNUMBER(SEARCH("Mammogram",$U97)),
    IFERROR(_xlfn.XLOOKUP(1,(tblPrices[Prefix]=$AC97)*(tblPrices[Product Code]="Mammogram"),tblPrices[Price]),0),
    0
)
+
IF(ISNUMBER(SEARCH("PSA",$U97)),
    IFERROR(_xlfn.XLOOKUP(1,(tblPrices[Prefix]=$AC97)*(tblPrices[Product Code]="PSA"),tblPrices[Price]),0),
    0
)</f>
        <v>970.5</v>
      </c>
      <c r="W97" t="s">
        <v>629</v>
      </c>
      <c r="X97" t="s">
        <v>1058</v>
      </c>
      <c r="Y97"/>
      <c r="Z97">
        <v>21369823</v>
      </c>
      <c r="AA97" t="s">
        <v>1081</v>
      </c>
      <c r="AB97" s="1" t="str" cm="1">
        <f t="array" ref="AB97" xml:space="preserve"> _xlfn.LET(_xlpm.pc, UPPER(TRIM(M97)), LEFT(_xlpm.pc, MIN(FIND({0,1,2,3,4,5,6,7,8,9}, _xlpm.pc&amp;"0123456789"))-1))</f>
        <v>S</v>
      </c>
      <c r="AC97" s="1" t="str">
        <f t="shared" si="2"/>
        <v>M01</v>
      </c>
      <c r="AD97" s="1" t="str">
        <f>VLOOKUP(AB97, postcode_table!A:B, 2, FALSE)</f>
        <v>Sheffield</v>
      </c>
      <c r="AE97" s="1" t="str">
        <f>IFERROR(_xlfn.XLOOKUP(AC97, price_lookup_table!$C:$C, price_lookup_table!$B:$B), "")</f>
        <v>Self Pay</v>
      </c>
    </row>
    <row r="98" spans="1:31" ht="16.5" x14ac:dyDescent="0.25">
      <c r="A98" t="s">
        <v>37</v>
      </c>
      <c r="B98" s="36">
        <v>45698</v>
      </c>
      <c r="C98" s="36">
        <v>45663</v>
      </c>
      <c r="D98" t="s">
        <v>28</v>
      </c>
      <c r="E98" t="s">
        <v>29</v>
      </c>
      <c r="F98" t="s">
        <v>717</v>
      </c>
      <c r="G98" t="s">
        <v>1666</v>
      </c>
      <c r="H98" t="s">
        <v>1667</v>
      </c>
      <c r="I98" t="s">
        <v>1668</v>
      </c>
      <c r="J98"/>
      <c r="K98"/>
      <c r="L98"/>
      <c r="M98" t="s">
        <v>801</v>
      </c>
      <c r="N98" t="s">
        <v>1209</v>
      </c>
      <c r="O98" t="s">
        <v>387</v>
      </c>
      <c r="P98" s="36">
        <v>22991</v>
      </c>
      <c r="Q98" s="45">
        <f t="shared" si="3"/>
        <v>62</v>
      </c>
      <c r="R98" t="s">
        <v>995</v>
      </c>
      <c r="S98">
        <v>447810208318</v>
      </c>
      <c r="T98" t="s">
        <v>30</v>
      </c>
      <c r="U98"/>
      <c r="V98" s="39" cm="1">
        <f t="array" ref="V98">IFERROR(
    _xlfn.XLOOKUP(1,
        (tblPrices[Prefix]=$AC98)*(tblPrices[Product Code]=$T98),
        tblPrices[Price]
    ),
    0
)
+
IF(ISNUMBER(SEARCH("Mammogram",$U98)),
    IFERROR(_xlfn.XLOOKUP(1,(tblPrices[Prefix]=$AC98)*(tblPrices[Product Code]="Mammogram"),tblPrices[Price]),0),
    0
)
+
IF(ISNUMBER(SEARCH("PSA",$U98)),
    IFERROR(_xlfn.XLOOKUP(1,(tblPrices[Prefix]=$AC98)*(tblPrices[Product Code]="PSA"),tblPrices[Price]),0),
    0
)</f>
        <v>970.5</v>
      </c>
      <c r="W98" t="s">
        <v>629</v>
      </c>
      <c r="X98" t="s">
        <v>1058</v>
      </c>
      <c r="Y98"/>
      <c r="Z98">
        <v>22005898</v>
      </c>
      <c r="AA98" t="s">
        <v>1081</v>
      </c>
      <c r="AB98" s="1" t="str" cm="1">
        <f t="array" ref="AB98" xml:space="preserve"> _xlfn.LET(_xlpm.pc, UPPER(TRIM(M98)), LEFT(_xlpm.pc, MIN(FIND({0,1,2,3,4,5,6,7,8,9}, _xlpm.pc&amp;"0123456789"))-1))</f>
        <v>S</v>
      </c>
      <c r="AC98" s="1" t="str">
        <f t="shared" si="2"/>
        <v>M01</v>
      </c>
      <c r="AD98" s="1" t="str">
        <f>VLOOKUP(AB98, postcode_table!A:B, 2, FALSE)</f>
        <v>Sheffield</v>
      </c>
      <c r="AE98" s="1" t="str">
        <f>IFERROR(_xlfn.XLOOKUP(AC98, price_lookup_table!$C:$C, price_lookup_table!$B:$B), "")</f>
        <v>Self Pay</v>
      </c>
    </row>
    <row r="99" spans="1:31" ht="16.5" x14ac:dyDescent="0.25">
      <c r="A99" t="s">
        <v>72</v>
      </c>
      <c r="B99" s="36">
        <v>45699</v>
      </c>
      <c r="C99" s="36">
        <v>45670</v>
      </c>
      <c r="D99" t="s">
        <v>28</v>
      </c>
      <c r="E99" t="s">
        <v>29</v>
      </c>
      <c r="F99" t="s">
        <v>1669</v>
      </c>
      <c r="G99" t="s">
        <v>1670</v>
      </c>
      <c r="H99" t="s">
        <v>1671</v>
      </c>
      <c r="I99" t="s">
        <v>1672</v>
      </c>
      <c r="J99"/>
      <c r="K99"/>
      <c r="L99"/>
      <c r="M99" t="s">
        <v>679</v>
      </c>
      <c r="N99" t="s">
        <v>1208</v>
      </c>
      <c r="O99" t="s">
        <v>388</v>
      </c>
      <c r="P99" s="36">
        <v>34613</v>
      </c>
      <c r="Q99" s="45">
        <f t="shared" si="3"/>
        <v>30</v>
      </c>
      <c r="R99" t="s">
        <v>870</v>
      </c>
      <c r="S99">
        <v>447468595878</v>
      </c>
      <c r="T99" t="s">
        <v>35</v>
      </c>
      <c r="U99"/>
      <c r="V99" s="39" cm="1">
        <f t="array" ref="V99">IFERROR(
    _xlfn.XLOOKUP(1,
        (tblPrices[Prefix]=$AC99)*(tblPrices[Product Code]=$T99),
        tblPrices[Price]
    ),
    0
)
+
IF(ISNUMBER(SEARCH("Mammogram",$U99)),
    IFERROR(_xlfn.XLOOKUP(1,(tblPrices[Prefix]=$AC99)*(tblPrices[Product Code]="Mammogram"),tblPrices[Price]),0),
    0
)
+
IF(ISNUMBER(SEARCH("PSA",$U99)),
    IFERROR(_xlfn.XLOOKUP(1,(tblPrices[Prefix]=$AC99)*(tblPrices[Product Code]="PSA"),tblPrices[Price]),0),
    0
)</f>
        <v>543</v>
      </c>
      <c r="W99" t="s">
        <v>629</v>
      </c>
      <c r="X99" t="s">
        <v>1063</v>
      </c>
      <c r="Y99"/>
      <c r="Z99">
        <v>22013986</v>
      </c>
      <c r="AA99" t="s">
        <v>1082</v>
      </c>
      <c r="AB99" s="1" t="str" cm="1">
        <f t="array" ref="AB99" xml:space="preserve"> _xlfn.LET(_xlpm.pc, UPPER(TRIM(M99)), LEFT(_xlpm.pc, MIN(FIND({0,1,2,3,4,5,6,7,8,9}, _xlpm.pc&amp;"0123456789"))-1))</f>
        <v>AL</v>
      </c>
      <c r="AC99" s="1" t="str">
        <f t="shared" si="2"/>
        <v>AXA</v>
      </c>
      <c r="AD99" s="1" t="str">
        <f>VLOOKUP(AB99, postcode_table!A:B, 2, FALSE)</f>
        <v>St Albans</v>
      </c>
      <c r="AE99" s="1" t="str">
        <f>IFERROR(_xlfn.XLOOKUP(AC99, price_lookup_table!$C:$C, price_lookup_table!$B:$B), "")</f>
        <v>Self Pay</v>
      </c>
    </row>
    <row r="100" spans="1:31" ht="16.5" x14ac:dyDescent="0.25">
      <c r="A100" t="s">
        <v>72</v>
      </c>
      <c r="B100" s="36">
        <v>45699</v>
      </c>
      <c r="C100" s="36">
        <v>45670</v>
      </c>
      <c r="D100" t="s">
        <v>28</v>
      </c>
      <c r="E100" t="s">
        <v>29</v>
      </c>
      <c r="F100" t="s">
        <v>1673</v>
      </c>
      <c r="G100" t="s">
        <v>1674</v>
      </c>
      <c r="H100" t="s">
        <v>1675</v>
      </c>
      <c r="I100" t="s">
        <v>1676</v>
      </c>
      <c r="J100"/>
      <c r="K100"/>
      <c r="L100"/>
      <c r="M100" t="s">
        <v>679</v>
      </c>
      <c r="N100" t="s">
        <v>1207</v>
      </c>
      <c r="O100" t="s">
        <v>387</v>
      </c>
      <c r="P100" s="36">
        <v>16733</v>
      </c>
      <c r="Q100" s="45">
        <f t="shared" si="3"/>
        <v>79</v>
      </c>
      <c r="R100" t="s">
        <v>871</v>
      </c>
      <c r="S100">
        <v>447788311236</v>
      </c>
      <c r="T100" t="s">
        <v>35</v>
      </c>
      <c r="U100"/>
      <c r="V100" s="39" cm="1">
        <f t="array" ref="V100">IFERROR(
    _xlfn.XLOOKUP(1,
        (tblPrices[Prefix]=$AC100)*(tblPrices[Product Code]=$T100),
        tblPrices[Price]
    ),
    0
)
+
IF(ISNUMBER(SEARCH("Mammogram",$U100)),
    IFERROR(_xlfn.XLOOKUP(1,(tblPrices[Prefix]=$AC100)*(tblPrices[Product Code]="Mammogram"),tblPrices[Price]),0),
    0
)
+
IF(ISNUMBER(SEARCH("PSA",$U100)),
    IFERROR(_xlfn.XLOOKUP(1,(tblPrices[Prefix]=$AC100)*(tblPrices[Product Code]="PSA"),tblPrices[Price]),0),
    0
)</f>
        <v>543</v>
      </c>
      <c r="W100" t="s">
        <v>629</v>
      </c>
      <c r="X100" t="s">
        <v>1072</v>
      </c>
      <c r="Y100"/>
      <c r="Z100">
        <v>22013972</v>
      </c>
      <c r="AA100" t="s">
        <v>1082</v>
      </c>
      <c r="AB100" s="1" t="str" cm="1">
        <f t="array" ref="AB100" xml:space="preserve"> _xlfn.LET(_xlpm.pc, UPPER(TRIM(M100)), LEFT(_xlpm.pc, MIN(FIND({0,1,2,3,4,5,6,7,8,9}, _xlpm.pc&amp;"0123456789"))-1))</f>
        <v>AL</v>
      </c>
      <c r="AC100" s="1" t="str">
        <f t="shared" si="2"/>
        <v>AXA</v>
      </c>
      <c r="AD100" s="1" t="str">
        <f>VLOOKUP(AB100, postcode_table!A:B, 2, FALSE)</f>
        <v>St Albans</v>
      </c>
      <c r="AE100" s="1" t="str">
        <f>IFERROR(_xlfn.XLOOKUP(AC100, price_lookup_table!$C:$C, price_lookup_table!$B:$B), "")</f>
        <v>Self Pay</v>
      </c>
    </row>
    <row r="101" spans="1:31" ht="16.5" x14ac:dyDescent="0.25">
      <c r="A101" t="s">
        <v>696</v>
      </c>
      <c r="B101" s="36">
        <v>45699</v>
      </c>
      <c r="C101" s="36">
        <v>45693</v>
      </c>
      <c r="D101" t="s">
        <v>28</v>
      </c>
      <c r="E101" t="s">
        <v>29</v>
      </c>
      <c r="F101" t="s">
        <v>1677</v>
      </c>
      <c r="G101" t="s">
        <v>1678</v>
      </c>
      <c r="H101" t="s">
        <v>1679</v>
      </c>
      <c r="I101" t="s">
        <v>1680</v>
      </c>
      <c r="J101"/>
      <c r="K101"/>
      <c r="L101"/>
      <c r="M101" t="s">
        <v>789</v>
      </c>
      <c r="N101" t="s">
        <v>1206</v>
      </c>
      <c r="O101" t="s">
        <v>387</v>
      </c>
      <c r="P101" s="36">
        <v>34826</v>
      </c>
      <c r="Q101" s="45">
        <f t="shared" si="3"/>
        <v>29</v>
      </c>
      <c r="R101" t="s">
        <v>981</v>
      </c>
      <c r="S101">
        <v>447790431123</v>
      </c>
      <c r="T101" t="s">
        <v>174</v>
      </c>
      <c r="U101"/>
      <c r="V101" s="39" cm="1">
        <f t="array" ref="V101">IFERROR(
    _xlfn.XLOOKUP(1,
        (tblPrices[Prefix]=$AC101)*(tblPrices[Product Code]=$T101),
        tblPrices[Price]
    ),
    0
)
+
IF(ISNUMBER(SEARCH("Mammogram",$U101)),
    IFERROR(_xlfn.XLOOKUP(1,(tblPrices[Prefix]=$AC101)*(tblPrices[Product Code]="Mammogram"),tblPrices[Price]),0),
    0
)
+
IF(ISNUMBER(SEARCH("PSA",$U101)),
    IFERROR(_xlfn.XLOOKUP(1,(tblPrices[Prefix]=$AC101)*(tblPrices[Product Code]="PSA"),tblPrices[Price]),0),
    0
)</f>
        <v>357</v>
      </c>
      <c r="W101" t="s">
        <v>629</v>
      </c>
      <c r="X101" t="s">
        <v>642</v>
      </c>
      <c r="Y101"/>
      <c r="Z101">
        <v>22044587</v>
      </c>
      <c r="AA101" t="s">
        <v>1105</v>
      </c>
      <c r="AB101" s="1" t="str" cm="1">
        <f t="array" ref="AB101" xml:space="preserve"> _xlfn.LET(_xlpm.pc, UPPER(TRIM(M101)), LEFT(_xlpm.pc, MIN(FIND({0,1,2,3,4,5,6,7,8,9}, _xlpm.pc&amp;"0123456789"))-1))</f>
        <v>RG</v>
      </c>
      <c r="AC101" s="1" t="str">
        <f t="shared" si="2"/>
        <v>AXA</v>
      </c>
      <c r="AD101" s="1" t="str">
        <f>VLOOKUP(AB101, postcode_table!A:B, 2, FALSE)</f>
        <v>Reading</v>
      </c>
      <c r="AE101" s="1" t="str">
        <f>IFERROR(_xlfn.XLOOKUP(AC101, price_lookup_table!$C:$C, price_lookup_table!$B:$B), "")</f>
        <v>Self Pay</v>
      </c>
    </row>
    <row r="102" spans="1:31" ht="16.5" x14ac:dyDescent="0.25">
      <c r="A102" t="s">
        <v>42</v>
      </c>
      <c r="B102" s="36">
        <v>45699</v>
      </c>
      <c r="C102" s="36">
        <v>45659</v>
      </c>
      <c r="D102" t="s">
        <v>28</v>
      </c>
      <c r="E102" t="s">
        <v>29</v>
      </c>
      <c r="F102" t="s">
        <v>1681</v>
      </c>
      <c r="G102" t="s">
        <v>1682</v>
      </c>
      <c r="H102" t="s">
        <v>1683</v>
      </c>
      <c r="I102" t="s">
        <v>1684</v>
      </c>
      <c r="J102"/>
      <c r="K102"/>
      <c r="L102"/>
      <c r="M102" t="s">
        <v>830</v>
      </c>
      <c r="N102" t="s">
        <v>1205</v>
      </c>
      <c r="O102" t="s">
        <v>387</v>
      </c>
      <c r="P102" s="36">
        <v>36879</v>
      </c>
      <c r="Q102" s="45">
        <f t="shared" si="3"/>
        <v>24</v>
      </c>
      <c r="R102" t="s">
        <v>1024</v>
      </c>
      <c r="S102">
        <v>447907564617</v>
      </c>
      <c r="T102" t="s">
        <v>174</v>
      </c>
      <c r="U102"/>
      <c r="V102" s="39" cm="1">
        <f t="array" ref="V102">IFERROR(
    _xlfn.XLOOKUP(1,
        (tblPrices[Prefix]=$AC102)*(tblPrices[Product Code]=$T102),
        tblPrices[Price]
    ),
    0
)
+
IF(ISNUMBER(SEARCH("Mammogram",$U102)),
    IFERROR(_xlfn.XLOOKUP(1,(tblPrices[Prefix]=$AC102)*(tblPrices[Product Code]="Mammogram"),tblPrices[Price]),0),
    0
)
+
IF(ISNUMBER(SEARCH("PSA",$U102)),
    IFERROR(_xlfn.XLOOKUP(1,(tblPrices[Prefix]=$AC102)*(tblPrices[Product Code]="PSA"),tblPrices[Price]),0),
    0
)</f>
        <v>357</v>
      </c>
      <c r="W102" t="s">
        <v>629</v>
      </c>
      <c r="X102" t="s">
        <v>1056</v>
      </c>
      <c r="Y102"/>
      <c r="Z102">
        <v>18604514</v>
      </c>
      <c r="AA102" t="s">
        <v>1087</v>
      </c>
      <c r="AB102" s="1" t="str" cm="1">
        <f t="array" ref="AB102" xml:space="preserve"> _xlfn.LET(_xlpm.pc, UPPER(TRIM(M102)), LEFT(_xlpm.pc, MIN(FIND({0,1,2,3,4,5,6,7,8,9}, _xlpm.pc&amp;"0123456789"))-1))</f>
        <v>SW</v>
      </c>
      <c r="AC102" s="1" t="str">
        <f t="shared" si="2"/>
        <v>AXA</v>
      </c>
      <c r="AD102" s="1" t="str">
        <f>VLOOKUP(AB102, postcode_table!A:B, 2, FALSE)</f>
        <v>South West London</v>
      </c>
      <c r="AE102" s="1" t="str">
        <f>IFERROR(_xlfn.XLOOKUP(AC102, price_lookup_table!$C:$C, price_lookup_table!$B:$B), "")</f>
        <v>Self Pay</v>
      </c>
    </row>
    <row r="103" spans="1:31" ht="16.5" x14ac:dyDescent="0.25">
      <c r="A103" t="s">
        <v>72</v>
      </c>
      <c r="B103" s="36">
        <v>45699</v>
      </c>
      <c r="C103" s="36">
        <v>45688</v>
      </c>
      <c r="D103" t="s">
        <v>28</v>
      </c>
      <c r="E103" t="s">
        <v>29</v>
      </c>
      <c r="F103" t="s">
        <v>1685</v>
      </c>
      <c r="G103" t="s">
        <v>1686</v>
      </c>
      <c r="H103" t="s">
        <v>1687</v>
      </c>
      <c r="I103" t="s">
        <v>1688</v>
      </c>
      <c r="J103"/>
      <c r="K103"/>
      <c r="L103"/>
      <c r="M103" t="s">
        <v>852</v>
      </c>
      <c r="N103" t="s">
        <v>1204</v>
      </c>
      <c r="O103" t="s">
        <v>387</v>
      </c>
      <c r="P103" s="36">
        <v>14691</v>
      </c>
      <c r="Q103" s="45">
        <f t="shared" si="3"/>
        <v>84</v>
      </c>
      <c r="R103" t="s">
        <v>1046</v>
      </c>
      <c r="S103">
        <v>447809826969</v>
      </c>
      <c r="T103" t="s">
        <v>174</v>
      </c>
      <c r="U103"/>
      <c r="V103" s="39" cm="1">
        <f t="array" ref="V103">IFERROR(
    _xlfn.XLOOKUP(1,
        (tblPrices[Prefix]=$AC103)*(tblPrices[Product Code]=$T103),
        tblPrices[Price]
    ),
    0
)
+
IF(ISNUMBER(SEARCH("Mammogram",$U103)),
    IFERROR(_xlfn.XLOOKUP(1,(tblPrices[Prefix]=$AC103)*(tblPrices[Product Code]="Mammogram"),tblPrices[Price]),0),
    0
)
+
IF(ISNUMBER(SEARCH("PSA",$U103)),
    IFERROR(_xlfn.XLOOKUP(1,(tblPrices[Prefix]=$AC103)*(tblPrices[Product Code]="PSA"),tblPrices[Price]),0),
    0
)</f>
        <v>357</v>
      </c>
      <c r="W103" t="s">
        <v>629</v>
      </c>
      <c r="X103" t="s">
        <v>1063</v>
      </c>
      <c r="Y103"/>
      <c r="Z103">
        <v>20172214</v>
      </c>
      <c r="AA103" t="s">
        <v>1082</v>
      </c>
      <c r="AB103" s="1" t="str" cm="1">
        <f t="array" ref="AB103" xml:space="preserve"> _xlfn.LET(_xlpm.pc, UPPER(TRIM(M103)), LEFT(_xlpm.pc, MIN(FIND({0,1,2,3,4,5,6,7,8,9}, _xlpm.pc&amp;"0123456789"))-1))</f>
        <v>WD</v>
      </c>
      <c r="AC103" s="1" t="str">
        <f t="shared" si="2"/>
        <v>AXA</v>
      </c>
      <c r="AD103" s="1" t="str">
        <f>VLOOKUP(AB103, postcode_table!A:B, 2, FALSE)</f>
        <v>Watford</v>
      </c>
      <c r="AE103" s="1" t="str">
        <f>IFERROR(_xlfn.XLOOKUP(AC103, price_lookup_table!$C:$C, price_lookup_table!$B:$B), "")</f>
        <v>Self Pay</v>
      </c>
    </row>
    <row r="104" spans="1:31" ht="16.5" x14ac:dyDescent="0.25">
      <c r="A104" t="s">
        <v>647</v>
      </c>
      <c r="B104" s="36">
        <v>45699</v>
      </c>
      <c r="C104" s="36">
        <v>45663</v>
      </c>
      <c r="D104" t="s">
        <v>28</v>
      </c>
      <c r="E104" t="s">
        <v>29</v>
      </c>
      <c r="F104" t="s">
        <v>1689</v>
      </c>
      <c r="G104" t="s">
        <v>1690</v>
      </c>
      <c r="H104" t="s">
        <v>1691</v>
      </c>
      <c r="I104" t="s">
        <v>1692</v>
      </c>
      <c r="J104"/>
      <c r="K104"/>
      <c r="L104"/>
      <c r="M104" t="s">
        <v>694</v>
      </c>
      <c r="N104" t="s">
        <v>1203</v>
      </c>
      <c r="O104" t="s">
        <v>387</v>
      </c>
      <c r="P104" s="36">
        <v>26101</v>
      </c>
      <c r="Q104" s="45">
        <f t="shared" si="3"/>
        <v>53</v>
      </c>
      <c r="R104" t="s">
        <v>883</v>
      </c>
      <c r="S104">
        <v>447885455660</v>
      </c>
      <c r="T104" t="s">
        <v>35</v>
      </c>
      <c r="U104"/>
      <c r="V104" s="39" cm="1">
        <f t="array" ref="V104">IFERROR(
    _xlfn.XLOOKUP(1,
        (tblPrices[Prefix]=$AC104)*(tblPrices[Product Code]=$T104),
        tblPrices[Price]
    ),
    0
)
+
IF(ISNUMBER(SEARCH("Mammogram",$U104)),
    IFERROR(_xlfn.XLOOKUP(1,(tblPrices[Prefix]=$AC104)*(tblPrices[Product Code]="Mammogram"),tblPrices[Price]),0),
    0
)
+
IF(ISNUMBER(SEARCH("PSA",$U104)),
    IFERROR(_xlfn.XLOOKUP(1,(tblPrices[Prefix]=$AC104)*(tblPrices[Product Code]="PSA"),tblPrices[Price]),0),
    0
)</f>
        <v>724.5</v>
      </c>
      <c r="W104" t="s">
        <v>629</v>
      </c>
      <c r="X104" t="s">
        <v>1077</v>
      </c>
      <c r="Y104"/>
      <c r="Z104">
        <v>13936181</v>
      </c>
      <c r="AA104" t="s">
        <v>1081</v>
      </c>
      <c r="AB104" s="1" t="str" cm="1">
        <f t="array" ref="AB104" xml:space="preserve"> _xlfn.LET(_xlpm.pc, UPPER(TRIM(M104)), LEFT(_xlpm.pc, MIN(FIND({0,1,2,3,4,5,6,7,8,9}, _xlpm.pc&amp;"0123456789"))-1))</f>
        <v>BA</v>
      </c>
      <c r="AC104" s="1" t="str">
        <f t="shared" si="2"/>
        <v>M01</v>
      </c>
      <c r="AD104" s="1" t="str">
        <f>VLOOKUP(AB104, postcode_table!A:B, 2, FALSE)</f>
        <v>Bath</v>
      </c>
      <c r="AE104" s="1" t="str">
        <f>IFERROR(_xlfn.XLOOKUP(AC104, price_lookup_table!$C:$C, price_lookup_table!$B:$B), "")</f>
        <v>Self Pay</v>
      </c>
    </row>
    <row r="105" spans="1:31" ht="16.5" x14ac:dyDescent="0.25">
      <c r="A105" t="s">
        <v>659</v>
      </c>
      <c r="B105" s="36">
        <v>45699</v>
      </c>
      <c r="C105" s="36">
        <v>45692</v>
      </c>
      <c r="D105" t="s">
        <v>28</v>
      </c>
      <c r="E105" t="s">
        <v>29</v>
      </c>
      <c r="F105" t="s">
        <v>1693</v>
      </c>
      <c r="G105" t="s">
        <v>1694</v>
      </c>
      <c r="H105" t="s">
        <v>1695</v>
      </c>
      <c r="I105" t="s">
        <v>1696</v>
      </c>
      <c r="J105"/>
      <c r="K105"/>
      <c r="L105"/>
      <c r="M105" t="s">
        <v>742</v>
      </c>
      <c r="N105" t="s">
        <v>1202</v>
      </c>
      <c r="O105" t="s">
        <v>387</v>
      </c>
      <c r="P105" s="36">
        <v>19575</v>
      </c>
      <c r="Q105" s="45">
        <f t="shared" si="3"/>
        <v>71</v>
      </c>
      <c r="R105" t="s">
        <v>930</v>
      </c>
      <c r="S105">
        <v>447742992319</v>
      </c>
      <c r="T105" t="s">
        <v>35</v>
      </c>
      <c r="U105"/>
      <c r="V105" s="39" cm="1">
        <f t="array" ref="V105">IFERROR(
    _xlfn.XLOOKUP(1,
        (tblPrices[Prefix]=$AC105)*(tblPrices[Product Code]=$T105),
        tblPrices[Price]
    ),
    0
)
+
IF(ISNUMBER(SEARCH("Mammogram",$U105)),
    IFERROR(_xlfn.XLOOKUP(1,(tblPrices[Prefix]=$AC105)*(tblPrices[Product Code]="Mammogram"),tblPrices[Price]),0),
    0
)
+
IF(ISNUMBER(SEARCH("PSA",$U105)),
    IFERROR(_xlfn.XLOOKUP(1,(tblPrices[Prefix]=$AC105)*(tblPrices[Product Code]="PSA"),tblPrices[Price]),0),
    0
)</f>
        <v>724.5</v>
      </c>
      <c r="W105" t="s">
        <v>629</v>
      </c>
      <c r="X105" t="s">
        <v>1048</v>
      </c>
      <c r="Y105"/>
      <c r="Z105">
        <v>16747195</v>
      </c>
      <c r="AA105" t="s">
        <v>1083</v>
      </c>
      <c r="AB105" s="1" t="str" cm="1">
        <f t="array" ref="AB105" xml:space="preserve"> _xlfn.LET(_xlpm.pc, UPPER(TRIM(M105)), LEFT(_xlpm.pc, MIN(FIND({0,1,2,3,4,5,6,7,8,9}, _xlpm.pc&amp;"0123456789"))-1))</f>
        <v>IP</v>
      </c>
      <c r="AC105" s="1" t="str">
        <f t="shared" si="2"/>
        <v>M01</v>
      </c>
      <c r="AD105" s="1" t="str">
        <f>VLOOKUP(AB105, postcode_table!A:B, 2, FALSE)</f>
        <v>Ipswich</v>
      </c>
      <c r="AE105" s="1" t="str">
        <f>IFERROR(_xlfn.XLOOKUP(AC105, price_lookup_table!$C:$C, price_lookup_table!$B:$B), "")</f>
        <v>Self Pay</v>
      </c>
    </row>
    <row r="106" spans="1:31" ht="16.5" x14ac:dyDescent="0.25">
      <c r="A106" t="s">
        <v>34</v>
      </c>
      <c r="B106" s="36">
        <v>45700</v>
      </c>
      <c r="C106" s="36">
        <v>45677</v>
      </c>
      <c r="D106" t="s">
        <v>28</v>
      </c>
      <c r="E106" t="s">
        <v>29</v>
      </c>
      <c r="F106" t="s">
        <v>1697</v>
      </c>
      <c r="G106" t="s">
        <v>1698</v>
      </c>
      <c r="H106" t="s">
        <v>1699</v>
      </c>
      <c r="I106" t="s">
        <v>1700</v>
      </c>
      <c r="J106"/>
      <c r="K106"/>
      <c r="L106"/>
      <c r="M106" t="s">
        <v>748</v>
      </c>
      <c r="N106" t="s">
        <v>1201</v>
      </c>
      <c r="O106" t="s">
        <v>387</v>
      </c>
      <c r="P106" s="36">
        <v>35561</v>
      </c>
      <c r="Q106" s="45">
        <f t="shared" si="3"/>
        <v>27</v>
      </c>
      <c r="R106" t="s">
        <v>936</v>
      </c>
      <c r="S106">
        <v>447920135836</v>
      </c>
      <c r="T106" t="s">
        <v>35</v>
      </c>
      <c r="U106"/>
      <c r="V106" s="39" cm="1">
        <f t="array" ref="V106">IFERROR(
    _xlfn.XLOOKUP(1,
        (tblPrices[Prefix]=$AC106)*(tblPrices[Product Code]=$T106),
        tblPrices[Price]
    ),
    0
)
+
IF(ISNUMBER(SEARCH("Mammogram",$U106)),
    IFERROR(_xlfn.XLOOKUP(1,(tblPrices[Prefix]=$AC106)*(tblPrices[Product Code]="Mammogram"),tblPrices[Price]),0),
    0
)
+
IF(ISNUMBER(SEARCH("PSA",$U106)),
    IFERROR(_xlfn.XLOOKUP(1,(tblPrices[Prefix]=$AC106)*(tblPrices[Product Code]="PSA"),tblPrices[Price]),0),
    0
)</f>
        <v>543</v>
      </c>
      <c r="W106" t="s">
        <v>629</v>
      </c>
      <c r="X106" t="s">
        <v>636</v>
      </c>
      <c r="Y106"/>
      <c r="Z106">
        <v>20743078</v>
      </c>
      <c r="AA106" t="s">
        <v>1082</v>
      </c>
      <c r="AB106" s="1" t="str" cm="1">
        <f t="array" ref="AB106" xml:space="preserve"> _xlfn.LET(_xlpm.pc, UPPER(TRIM(M106)), LEFT(_xlpm.pc, MIN(FIND({0,1,2,3,4,5,6,7,8,9}, _xlpm.pc&amp;"0123456789"))-1))</f>
        <v>KT</v>
      </c>
      <c r="AC106" s="1" t="str">
        <f t="shared" si="2"/>
        <v>AXA</v>
      </c>
      <c r="AD106" s="1" t="str">
        <f>VLOOKUP(AB106, postcode_table!A:B, 2, FALSE)</f>
        <v>Kingston upon Thames</v>
      </c>
      <c r="AE106" s="1" t="str">
        <f>IFERROR(_xlfn.XLOOKUP(AC106, price_lookup_table!$C:$C, price_lookup_table!$B:$B), "")</f>
        <v>Self Pay</v>
      </c>
    </row>
    <row r="107" spans="1:31" ht="16.5" x14ac:dyDescent="0.25">
      <c r="A107" t="s">
        <v>34</v>
      </c>
      <c r="B107" s="36">
        <v>45700</v>
      </c>
      <c r="C107" s="36">
        <v>45677</v>
      </c>
      <c r="D107" t="s">
        <v>28</v>
      </c>
      <c r="E107" t="s">
        <v>29</v>
      </c>
      <c r="F107" t="s">
        <v>1701</v>
      </c>
      <c r="G107" t="s">
        <v>1702</v>
      </c>
      <c r="H107" t="s">
        <v>1703</v>
      </c>
      <c r="I107" t="s">
        <v>1704</v>
      </c>
      <c r="J107"/>
      <c r="K107"/>
      <c r="L107"/>
      <c r="M107" t="s">
        <v>748</v>
      </c>
      <c r="N107" t="s">
        <v>1200</v>
      </c>
      <c r="O107" t="s">
        <v>388</v>
      </c>
      <c r="P107" s="36">
        <v>30126</v>
      </c>
      <c r="Q107" s="45">
        <f t="shared" si="3"/>
        <v>42</v>
      </c>
      <c r="R107" t="s">
        <v>937</v>
      </c>
      <c r="S107" t="s">
        <v>938</v>
      </c>
      <c r="T107" t="s">
        <v>35</v>
      </c>
      <c r="U107"/>
      <c r="V107" s="39" cm="1">
        <f t="array" ref="V107">IFERROR(
    _xlfn.XLOOKUP(1,
        (tblPrices[Prefix]=$AC107)*(tblPrices[Product Code]=$T107),
        tblPrices[Price]
    ),
    0
)
+
IF(ISNUMBER(SEARCH("Mammogram",$U107)),
    IFERROR(_xlfn.XLOOKUP(1,(tblPrices[Prefix]=$AC107)*(tblPrices[Product Code]="Mammogram"),tblPrices[Price]),0),
    0
)
+
IF(ISNUMBER(SEARCH("PSA",$U107)),
    IFERROR(_xlfn.XLOOKUP(1,(tblPrices[Prefix]=$AC107)*(tblPrices[Product Code]="PSA"),tblPrices[Price]),0),
    0
)</f>
        <v>543</v>
      </c>
      <c r="W107" t="s">
        <v>629</v>
      </c>
      <c r="X107" t="s">
        <v>636</v>
      </c>
      <c r="Y107"/>
      <c r="Z107">
        <v>20242774</v>
      </c>
      <c r="AA107" t="s">
        <v>1082</v>
      </c>
      <c r="AB107" s="1" t="str" cm="1">
        <f t="array" ref="AB107" xml:space="preserve"> _xlfn.LET(_xlpm.pc, UPPER(TRIM(M107)), LEFT(_xlpm.pc, MIN(FIND({0,1,2,3,4,5,6,7,8,9}, _xlpm.pc&amp;"0123456789"))-1))</f>
        <v>KT</v>
      </c>
      <c r="AC107" s="1" t="str">
        <f t="shared" si="2"/>
        <v>AXA</v>
      </c>
      <c r="AD107" s="1" t="str">
        <f>VLOOKUP(AB107, postcode_table!A:B, 2, FALSE)</f>
        <v>Kingston upon Thames</v>
      </c>
      <c r="AE107" s="1" t="str">
        <f>IFERROR(_xlfn.XLOOKUP(AC107, price_lookup_table!$C:$C, price_lookup_table!$B:$B), "")</f>
        <v>Self Pay</v>
      </c>
    </row>
    <row r="108" spans="1:31" ht="16.5" x14ac:dyDescent="0.25">
      <c r="A108" t="s">
        <v>46</v>
      </c>
      <c r="B108" s="36">
        <v>45700</v>
      </c>
      <c r="C108" s="36">
        <v>45670</v>
      </c>
      <c r="D108" t="s">
        <v>28</v>
      </c>
      <c r="E108" t="s">
        <v>29</v>
      </c>
      <c r="F108" t="s">
        <v>1705</v>
      </c>
      <c r="G108" t="s">
        <v>1706</v>
      </c>
      <c r="H108" t="s">
        <v>1707</v>
      </c>
      <c r="I108" t="s">
        <v>1544</v>
      </c>
      <c r="J108"/>
      <c r="K108"/>
      <c r="L108"/>
      <c r="M108" t="s">
        <v>819</v>
      </c>
      <c r="N108" t="s">
        <v>1199</v>
      </c>
      <c r="O108" t="s">
        <v>387</v>
      </c>
      <c r="P108" s="36">
        <v>28871</v>
      </c>
      <c r="Q108" s="45">
        <f t="shared" si="3"/>
        <v>46</v>
      </c>
      <c r="R108" t="s">
        <v>1012</v>
      </c>
      <c r="S108">
        <v>447765081029</v>
      </c>
      <c r="T108" t="s">
        <v>197</v>
      </c>
      <c r="U108"/>
      <c r="V108" s="39" cm="1">
        <f t="array" ref="V108">IFERROR(
    _xlfn.XLOOKUP(1,
        (tblPrices[Prefix]=$AC108)*(tblPrices[Product Code]=$T108),
        tblPrices[Price]
    ),
    0
)
+
IF(ISNUMBER(SEARCH("Mammogram",$U108)),
    IFERROR(_xlfn.XLOOKUP(1,(tblPrices[Prefix]=$AC108)*(tblPrices[Product Code]="Mammogram"),tblPrices[Price]),0),
    0
)
+
IF(ISNUMBER(SEARCH("PSA",$U108)),
    IFERROR(_xlfn.XLOOKUP(1,(tblPrices[Prefix]=$AC108)*(tblPrices[Product Code]="PSA"),tblPrices[Price]),0),
    0
)</f>
        <v>185</v>
      </c>
      <c r="W108" t="s">
        <v>629</v>
      </c>
      <c r="X108" t="s">
        <v>1060</v>
      </c>
      <c r="Y108"/>
      <c r="Z108">
        <v>21051872</v>
      </c>
      <c r="AA108" t="s">
        <v>1082</v>
      </c>
      <c r="AB108" s="1" t="str" cm="1">
        <f t="array" ref="AB108" xml:space="preserve"> _xlfn.LET(_xlpm.pc, UPPER(TRIM(M108)), LEFT(_xlpm.pc, MIN(FIND({0,1,2,3,4,5,6,7,8,9}, _xlpm.pc&amp;"0123456789"))-1))</f>
        <v>SL</v>
      </c>
      <c r="AC108" s="1" t="str">
        <f t="shared" si="2"/>
        <v>AXA</v>
      </c>
      <c r="AD108" s="1" t="str">
        <f>VLOOKUP(AB108, postcode_table!A:B, 2, FALSE)</f>
        <v>Slough</v>
      </c>
      <c r="AE108" s="1" t="str">
        <f>IFERROR(_xlfn.XLOOKUP(AC108, price_lookup_table!$C:$C, price_lookup_table!$B:$B), "")</f>
        <v>Self Pay</v>
      </c>
    </row>
    <row r="109" spans="1:31" ht="16.5" x14ac:dyDescent="0.25">
      <c r="A109" t="s">
        <v>650</v>
      </c>
      <c r="B109" s="36">
        <v>45700</v>
      </c>
      <c r="C109" s="36">
        <v>45698</v>
      </c>
      <c r="D109" t="s">
        <v>28</v>
      </c>
      <c r="E109" t="s">
        <v>29</v>
      </c>
      <c r="F109" t="s">
        <v>1708</v>
      </c>
      <c r="G109" t="s">
        <v>1709</v>
      </c>
      <c r="H109" t="s">
        <v>1710</v>
      </c>
      <c r="I109" t="s">
        <v>1711</v>
      </c>
      <c r="J109"/>
      <c r="K109"/>
      <c r="L109"/>
      <c r="M109" t="s">
        <v>837</v>
      </c>
      <c r="N109" t="s">
        <v>1198</v>
      </c>
      <c r="O109" t="s">
        <v>387</v>
      </c>
      <c r="P109" s="36">
        <v>24332</v>
      </c>
      <c r="Q109" s="45">
        <f t="shared" si="3"/>
        <v>58</v>
      </c>
      <c r="R109" t="s">
        <v>1030</v>
      </c>
      <c r="S109">
        <v>447977888889</v>
      </c>
      <c r="T109" t="s">
        <v>35</v>
      </c>
      <c r="U109"/>
      <c r="V109" s="39" cm="1">
        <f t="array" ref="V109">IFERROR(
    _xlfn.XLOOKUP(1,
        (tblPrices[Prefix]=$AC109)*(tblPrices[Product Code]=$T109),
        tblPrices[Price]
    ),
    0
)
+
IF(ISNUMBER(SEARCH("Mammogram",$U109)),
    IFERROR(_xlfn.XLOOKUP(1,(tblPrices[Prefix]=$AC109)*(tblPrices[Product Code]="Mammogram"),tblPrices[Price]),0),
    0
)
+
IF(ISNUMBER(SEARCH("PSA",$U109)),
    IFERROR(_xlfn.XLOOKUP(1,(tblPrices[Prefix]=$AC109)*(tblPrices[Product Code]="PSA"),tblPrices[Price]),0),
    0
)</f>
        <v>543</v>
      </c>
      <c r="W109" t="s">
        <v>629</v>
      </c>
      <c r="X109" t="s">
        <v>1063</v>
      </c>
      <c r="Y109"/>
      <c r="Z109">
        <v>20785396</v>
      </c>
      <c r="AA109" t="s">
        <v>1115</v>
      </c>
      <c r="AB109" s="1" t="str" cm="1">
        <f t="array" ref="AB109" xml:space="preserve"> _xlfn.LET(_xlpm.pc, UPPER(TRIM(M109)), LEFT(_xlpm.pc, MIN(FIND({0,1,2,3,4,5,6,7,8,9}, _xlpm.pc&amp;"0123456789"))-1))</f>
        <v>TW</v>
      </c>
      <c r="AC109" s="1" t="str">
        <f t="shared" si="2"/>
        <v>AXA</v>
      </c>
      <c r="AD109" s="1" t="str">
        <f>VLOOKUP(AB109, postcode_table!A:B, 2, FALSE)</f>
        <v>Twickenham</v>
      </c>
      <c r="AE109" s="1" t="str">
        <f>IFERROR(_xlfn.XLOOKUP(AC109, price_lookup_table!$C:$C, price_lookup_table!$B:$B), "")</f>
        <v>Self Pay</v>
      </c>
    </row>
    <row r="110" spans="1:31" ht="16.5" x14ac:dyDescent="0.25">
      <c r="A110" t="s">
        <v>650</v>
      </c>
      <c r="B110" s="36">
        <v>45700</v>
      </c>
      <c r="C110" s="36">
        <v>45691</v>
      </c>
      <c r="D110" t="s">
        <v>28</v>
      </c>
      <c r="E110" t="s">
        <v>29</v>
      </c>
      <c r="F110" t="s">
        <v>834</v>
      </c>
      <c r="G110" t="s">
        <v>1712</v>
      </c>
      <c r="H110" t="s">
        <v>1713</v>
      </c>
      <c r="I110" t="s">
        <v>1714</v>
      </c>
      <c r="J110"/>
      <c r="K110"/>
      <c r="L110"/>
      <c r="M110" t="s">
        <v>844</v>
      </c>
      <c r="N110" t="s">
        <v>1197</v>
      </c>
      <c r="O110" t="s">
        <v>388</v>
      </c>
      <c r="P110" s="36">
        <v>36831</v>
      </c>
      <c r="Q110" s="45">
        <f t="shared" si="3"/>
        <v>24</v>
      </c>
      <c r="R110" t="s">
        <v>1038</v>
      </c>
      <c r="S110">
        <v>447932042695</v>
      </c>
      <c r="T110" t="s">
        <v>35</v>
      </c>
      <c r="U110"/>
      <c r="V110" s="39" cm="1">
        <f t="array" ref="V110">IFERROR(
    _xlfn.XLOOKUP(1,
        (tblPrices[Prefix]=$AC110)*(tblPrices[Product Code]=$T110),
        tblPrices[Price]
    ),
    0
)
+
IF(ISNUMBER(SEARCH("Mammogram",$U110)),
    IFERROR(_xlfn.XLOOKUP(1,(tblPrices[Prefix]=$AC110)*(tblPrices[Product Code]="Mammogram"),tblPrices[Price]),0),
    0
)
+
IF(ISNUMBER(SEARCH("PSA",$U110)),
    IFERROR(_xlfn.XLOOKUP(1,(tblPrices[Prefix]=$AC110)*(tblPrices[Product Code]="PSA"),tblPrices[Price]),0),
    0
)</f>
        <v>543</v>
      </c>
      <c r="W110" t="s">
        <v>629</v>
      </c>
      <c r="X110" t="s">
        <v>1063</v>
      </c>
      <c r="Y110"/>
      <c r="Z110">
        <v>22041766</v>
      </c>
      <c r="AA110" t="s">
        <v>1116</v>
      </c>
      <c r="AB110" s="1" t="str" cm="1">
        <f t="array" ref="AB110" xml:space="preserve"> _xlfn.LET(_xlpm.pc, UPPER(TRIM(M110)), LEFT(_xlpm.pc, MIN(FIND({0,1,2,3,4,5,6,7,8,9}, _xlpm.pc&amp;"0123456789"))-1))</f>
        <v>W</v>
      </c>
      <c r="AC110" s="1" t="str">
        <f t="shared" si="2"/>
        <v>AXA</v>
      </c>
      <c r="AD110" s="1" t="str">
        <f>VLOOKUP(AB110, postcode_table!A:B, 2, FALSE)</f>
        <v>West London</v>
      </c>
      <c r="AE110" s="1" t="str">
        <f>IFERROR(_xlfn.XLOOKUP(AC110, price_lookup_table!$C:$C, price_lookup_table!$B:$B), "")</f>
        <v>Self Pay</v>
      </c>
    </row>
    <row r="111" spans="1:31" ht="16.5" x14ac:dyDescent="0.25">
      <c r="A111" t="s">
        <v>46</v>
      </c>
      <c r="B111" s="36">
        <v>45700</v>
      </c>
      <c r="C111" s="36">
        <v>45666</v>
      </c>
      <c r="D111" t="s">
        <v>28</v>
      </c>
      <c r="E111" t="s">
        <v>29</v>
      </c>
      <c r="F111" t="s">
        <v>1715</v>
      </c>
      <c r="G111" t="s">
        <v>1716</v>
      </c>
      <c r="H111" t="s">
        <v>1717</v>
      </c>
      <c r="I111" t="s">
        <v>1590</v>
      </c>
      <c r="J111"/>
      <c r="K111"/>
      <c r="L111"/>
      <c r="M111" t="s">
        <v>761</v>
      </c>
      <c r="N111" t="s">
        <v>1196</v>
      </c>
      <c r="O111" t="s">
        <v>388</v>
      </c>
      <c r="P111" s="36">
        <v>18309</v>
      </c>
      <c r="Q111" s="45">
        <f t="shared" si="3"/>
        <v>74</v>
      </c>
      <c r="R111" t="s">
        <v>949</v>
      </c>
      <c r="S111" t="s">
        <v>950</v>
      </c>
      <c r="T111" t="s">
        <v>35</v>
      </c>
      <c r="U111"/>
      <c r="V111" s="39" cm="1">
        <f t="array" ref="V111">IFERROR(
    _xlfn.XLOOKUP(1,
        (tblPrices[Prefix]=$AC111)*(tblPrices[Product Code]=$T111),
        tblPrices[Price]
    ),
    0
)
+
IF(ISNUMBER(SEARCH("Mammogram",$U111)),
    IFERROR(_xlfn.XLOOKUP(1,(tblPrices[Prefix]=$AC111)*(tblPrices[Product Code]="Mammogram"),tblPrices[Price]),0),
    0
)
+
IF(ISNUMBER(SEARCH("PSA",$U111)),
    IFERROR(_xlfn.XLOOKUP(1,(tblPrices[Prefix]=$AC111)*(tblPrices[Product Code]="PSA"),tblPrices[Price]),0),
    0
)</f>
        <v>724.5</v>
      </c>
      <c r="W111" t="s">
        <v>629</v>
      </c>
      <c r="X111" t="s">
        <v>1052</v>
      </c>
      <c r="Y111"/>
      <c r="Z111">
        <v>15070406</v>
      </c>
      <c r="AA111" t="s">
        <v>1083</v>
      </c>
      <c r="AB111" s="1" t="str" cm="1">
        <f t="array" ref="AB111" xml:space="preserve"> _xlfn.LET(_xlpm.pc, UPPER(TRIM(M111)), LEFT(_xlpm.pc, MIN(FIND({0,1,2,3,4,5,6,7,8,9}, _xlpm.pc&amp;"0123456789"))-1))</f>
        <v>MK</v>
      </c>
      <c r="AC111" s="1" t="str">
        <f t="shared" si="2"/>
        <v>M01</v>
      </c>
      <c r="AD111" s="1" t="str">
        <f>VLOOKUP(AB111, postcode_table!A:B, 2, FALSE)</f>
        <v>Milton Keynes</v>
      </c>
      <c r="AE111" s="1" t="str">
        <f>IFERROR(_xlfn.XLOOKUP(AC111, price_lookup_table!$C:$C, price_lookup_table!$B:$B), "")</f>
        <v>Self Pay</v>
      </c>
    </row>
    <row r="112" spans="1:31" ht="16.5" x14ac:dyDescent="0.25">
      <c r="A112" t="s">
        <v>46</v>
      </c>
      <c r="B112" s="36">
        <v>45700</v>
      </c>
      <c r="C112" s="36">
        <v>45666</v>
      </c>
      <c r="D112" t="s">
        <v>28</v>
      </c>
      <c r="E112" t="s">
        <v>29</v>
      </c>
      <c r="F112" t="s">
        <v>1718</v>
      </c>
      <c r="G112" t="s">
        <v>1719</v>
      </c>
      <c r="H112" t="s">
        <v>1720</v>
      </c>
      <c r="I112" t="s">
        <v>1721</v>
      </c>
      <c r="J112"/>
      <c r="K112"/>
      <c r="L112"/>
      <c r="M112" t="s">
        <v>761</v>
      </c>
      <c r="N112" t="s">
        <v>1195</v>
      </c>
      <c r="O112" t="s">
        <v>387</v>
      </c>
      <c r="P112" s="36">
        <v>28462</v>
      </c>
      <c r="Q112" s="45">
        <f t="shared" si="3"/>
        <v>47</v>
      </c>
      <c r="R112" t="s">
        <v>951</v>
      </c>
      <c r="S112">
        <v>447717057057</v>
      </c>
      <c r="T112" t="s">
        <v>35</v>
      </c>
      <c r="U112"/>
      <c r="V112" s="39" cm="1">
        <f t="array" ref="V112">IFERROR(
    _xlfn.XLOOKUP(1,
        (tblPrices[Prefix]=$AC112)*(tblPrices[Product Code]=$T112),
        tblPrices[Price]
    ),
    0
)
+
IF(ISNUMBER(SEARCH("Mammogram",$U112)),
    IFERROR(_xlfn.XLOOKUP(1,(tblPrices[Prefix]=$AC112)*(tblPrices[Product Code]="Mammogram"),tblPrices[Price]),0),
    0
)
+
IF(ISNUMBER(SEARCH("PSA",$U112)),
    IFERROR(_xlfn.XLOOKUP(1,(tblPrices[Prefix]=$AC112)*(tblPrices[Product Code]="PSA"),tblPrices[Price]),0),
    0
)</f>
        <v>724.5</v>
      </c>
      <c r="W112" t="s">
        <v>629</v>
      </c>
      <c r="X112" t="s">
        <v>637</v>
      </c>
      <c r="Y112"/>
      <c r="Z112">
        <v>21052273</v>
      </c>
      <c r="AA112" t="s">
        <v>1083</v>
      </c>
      <c r="AB112" s="1" t="str" cm="1">
        <f t="array" ref="AB112" xml:space="preserve"> _xlfn.LET(_xlpm.pc, UPPER(TRIM(M112)), LEFT(_xlpm.pc, MIN(FIND({0,1,2,3,4,5,6,7,8,9}, _xlpm.pc&amp;"0123456789"))-1))</f>
        <v>MK</v>
      </c>
      <c r="AC112" s="1" t="str">
        <f t="shared" si="2"/>
        <v>M01</v>
      </c>
      <c r="AD112" s="1" t="str">
        <f>VLOOKUP(AB112, postcode_table!A:B, 2, FALSE)</f>
        <v>Milton Keynes</v>
      </c>
      <c r="AE112" s="1" t="str">
        <f>IFERROR(_xlfn.XLOOKUP(AC112, price_lookup_table!$C:$C, price_lookup_table!$B:$B), "")</f>
        <v>Self Pay</v>
      </c>
    </row>
    <row r="113" spans="1:31" ht="16.5" x14ac:dyDescent="0.25">
      <c r="A113" t="s">
        <v>46</v>
      </c>
      <c r="B113" s="36">
        <v>45701</v>
      </c>
      <c r="C113" s="36">
        <v>45667</v>
      </c>
      <c r="D113" t="s">
        <v>28</v>
      </c>
      <c r="E113" t="s">
        <v>29</v>
      </c>
      <c r="F113" t="s">
        <v>1722</v>
      </c>
      <c r="G113" t="s">
        <v>1723</v>
      </c>
      <c r="H113" t="s">
        <v>1724</v>
      </c>
      <c r="I113" t="s">
        <v>1725</v>
      </c>
      <c r="J113"/>
      <c r="K113"/>
      <c r="L113"/>
      <c r="M113" t="s">
        <v>734</v>
      </c>
      <c r="N113" t="s">
        <v>1194</v>
      </c>
      <c r="O113" t="s">
        <v>388</v>
      </c>
      <c r="P113" s="36">
        <v>33943</v>
      </c>
      <c r="Q113" s="45">
        <f t="shared" si="3"/>
        <v>32</v>
      </c>
      <c r="R113" t="s">
        <v>921</v>
      </c>
      <c r="S113">
        <v>447706030776</v>
      </c>
      <c r="T113" t="s">
        <v>35</v>
      </c>
      <c r="U113"/>
      <c r="V113" s="39" cm="1">
        <f t="array" ref="V113">IFERROR(
    _xlfn.XLOOKUP(1,
        (tblPrices[Prefix]=$AC113)*(tblPrices[Product Code]=$T113),
        tblPrices[Price]
    ),
    0
)
+
IF(ISNUMBER(SEARCH("Mammogram",$U113)),
    IFERROR(_xlfn.XLOOKUP(1,(tblPrices[Prefix]=$AC113)*(tblPrices[Product Code]="Mammogram"),tblPrices[Price]),0),
    0
)
+
IF(ISNUMBER(SEARCH("PSA",$U113)),
    IFERROR(_xlfn.XLOOKUP(1,(tblPrices[Prefix]=$AC113)*(tblPrices[Product Code]="PSA"),tblPrices[Price]),0),
    0
)</f>
        <v>543</v>
      </c>
      <c r="W113" t="s">
        <v>629</v>
      </c>
      <c r="X113" t="s">
        <v>642</v>
      </c>
      <c r="Y113"/>
      <c r="Z113">
        <v>22012541</v>
      </c>
      <c r="AA113" t="s">
        <v>1082</v>
      </c>
      <c r="AB113" s="1" t="str" cm="1">
        <f t="array" ref="AB113" xml:space="preserve"> _xlfn.LET(_xlpm.pc, UPPER(TRIM(M113)), LEFT(_xlpm.pc, MIN(FIND({0,1,2,3,4,5,6,7,8,9}, _xlpm.pc&amp;"0123456789"))-1))</f>
        <v>HP</v>
      </c>
      <c r="AC113" s="1" t="str">
        <f t="shared" si="2"/>
        <v>AXA</v>
      </c>
      <c r="AD113" s="1" t="str">
        <f>VLOOKUP(AB113, postcode_table!A:B, 2, FALSE)</f>
        <v>Hemel Hempstead</v>
      </c>
      <c r="AE113" s="1" t="str">
        <f>IFERROR(_xlfn.XLOOKUP(AC113, price_lookup_table!$C:$C, price_lookup_table!$B:$B), "")</f>
        <v>Self Pay</v>
      </c>
    </row>
    <row r="114" spans="1:31" ht="16.5" x14ac:dyDescent="0.25">
      <c r="A114" t="s">
        <v>389</v>
      </c>
      <c r="B114" s="36">
        <v>45701</v>
      </c>
      <c r="C114" s="36">
        <v>45688</v>
      </c>
      <c r="D114" t="s">
        <v>28</v>
      </c>
      <c r="E114" t="s">
        <v>29</v>
      </c>
      <c r="F114" t="s">
        <v>1726</v>
      </c>
      <c r="G114" t="s">
        <v>1727</v>
      </c>
      <c r="H114" t="s">
        <v>1728</v>
      </c>
      <c r="I114" t="s">
        <v>1729</v>
      </c>
      <c r="J114"/>
      <c r="K114"/>
      <c r="L114"/>
      <c r="M114" t="s">
        <v>764</v>
      </c>
      <c r="N114" t="s">
        <v>1193</v>
      </c>
      <c r="O114" t="s">
        <v>387</v>
      </c>
      <c r="P114" s="36">
        <v>19894</v>
      </c>
      <c r="Q114" s="45">
        <f t="shared" si="3"/>
        <v>70</v>
      </c>
      <c r="R114" t="s">
        <v>953</v>
      </c>
      <c r="S114">
        <v>447470020459</v>
      </c>
      <c r="T114" t="s">
        <v>35</v>
      </c>
      <c r="U114"/>
      <c r="V114" s="39" cm="1">
        <f t="array" ref="V114">IFERROR(
    _xlfn.XLOOKUP(1,
        (tblPrices[Prefix]=$AC114)*(tblPrices[Product Code]=$T114),
        tblPrices[Price]
    ),
    0
)
+
IF(ISNUMBER(SEARCH("Mammogram",$U114)),
    IFERROR(_xlfn.XLOOKUP(1,(tblPrices[Prefix]=$AC114)*(tblPrices[Product Code]="Mammogram"),tblPrices[Price]),0),
    0
)
+
IF(ISNUMBER(SEARCH("PSA",$U114)),
    IFERROR(_xlfn.XLOOKUP(1,(tblPrices[Prefix]=$AC114)*(tblPrices[Product Code]="PSA"),tblPrices[Price]),0),
    0
)</f>
        <v>543</v>
      </c>
      <c r="W114" t="s">
        <v>629</v>
      </c>
      <c r="X114" t="s">
        <v>1061</v>
      </c>
      <c r="Y114"/>
      <c r="Z114">
        <v>21999101</v>
      </c>
      <c r="AA114" t="s">
        <v>1082</v>
      </c>
      <c r="AB114" s="1" t="str" cm="1">
        <f t="array" ref="AB114" xml:space="preserve"> _xlfn.LET(_xlpm.pc, UPPER(TRIM(M114)), LEFT(_xlpm.pc, MIN(FIND({0,1,2,3,4,5,6,7,8,9}, _xlpm.pc&amp;"0123456789"))-1))</f>
        <v>MK</v>
      </c>
      <c r="AC114" s="1" t="str">
        <f t="shared" si="2"/>
        <v>AXA</v>
      </c>
      <c r="AD114" s="1" t="str">
        <f>VLOOKUP(AB114, postcode_table!A:B, 2, FALSE)</f>
        <v>Milton Keynes</v>
      </c>
      <c r="AE114" s="1" t="str">
        <f>IFERROR(_xlfn.XLOOKUP(AC114, price_lookup_table!$C:$C, price_lookup_table!$B:$B), "")</f>
        <v>Self Pay</v>
      </c>
    </row>
    <row r="115" spans="1:31" ht="16.5" x14ac:dyDescent="0.25">
      <c r="A115" t="s">
        <v>389</v>
      </c>
      <c r="B115" s="36">
        <v>45701</v>
      </c>
      <c r="C115" s="36">
        <v>45680</v>
      </c>
      <c r="D115" t="s">
        <v>28</v>
      </c>
      <c r="E115" t="s">
        <v>29</v>
      </c>
      <c r="F115" t="s">
        <v>770</v>
      </c>
      <c r="G115" t="s">
        <v>1730</v>
      </c>
      <c r="H115" t="s">
        <v>1731</v>
      </c>
      <c r="I115" t="s">
        <v>1732</v>
      </c>
      <c r="J115"/>
      <c r="K115"/>
      <c r="L115"/>
      <c r="M115" t="s">
        <v>766</v>
      </c>
      <c r="N115" t="s">
        <v>1192</v>
      </c>
      <c r="O115" t="s">
        <v>388</v>
      </c>
      <c r="P115" s="36">
        <v>30912</v>
      </c>
      <c r="Q115" s="45">
        <f t="shared" si="3"/>
        <v>40</v>
      </c>
      <c r="R115" t="s">
        <v>957</v>
      </c>
      <c r="S115">
        <v>447973861680</v>
      </c>
      <c r="T115" t="s">
        <v>35</v>
      </c>
      <c r="U115"/>
      <c r="V115" s="39" cm="1">
        <f t="array" ref="V115">IFERROR(
    _xlfn.XLOOKUP(1,
        (tblPrices[Prefix]=$AC115)*(tblPrices[Product Code]=$T115),
        tblPrices[Price]
    ),
    0
)
+
IF(ISNUMBER(SEARCH("Mammogram",$U115)),
    IFERROR(_xlfn.XLOOKUP(1,(tblPrices[Prefix]=$AC115)*(tblPrices[Product Code]="Mammogram"),tblPrices[Price]),0),
    0
)
+
IF(ISNUMBER(SEARCH("PSA",$U115)),
    IFERROR(_xlfn.XLOOKUP(1,(tblPrices[Prefix]=$AC115)*(tblPrices[Product Code]="PSA"),tblPrices[Price]),0),
    0
)</f>
        <v>543</v>
      </c>
      <c r="W115" t="s">
        <v>629</v>
      </c>
      <c r="X115" t="s">
        <v>1070</v>
      </c>
      <c r="Y115"/>
      <c r="Z115">
        <v>19811525</v>
      </c>
      <c r="AA115" t="s">
        <v>1082</v>
      </c>
      <c r="AB115" s="1" t="str" cm="1">
        <f t="array" ref="AB115" xml:space="preserve"> _xlfn.LET(_xlpm.pc, UPPER(TRIM(M115)), LEFT(_xlpm.pc, MIN(FIND({0,1,2,3,4,5,6,7,8,9}, _xlpm.pc&amp;"0123456789"))-1))</f>
        <v>MK</v>
      </c>
      <c r="AC115" s="1" t="str">
        <f t="shared" si="2"/>
        <v>AXA</v>
      </c>
      <c r="AD115" s="1" t="str">
        <f>VLOOKUP(AB115, postcode_table!A:B, 2, FALSE)</f>
        <v>Milton Keynes</v>
      </c>
      <c r="AE115" s="1" t="str">
        <f>IFERROR(_xlfn.XLOOKUP(AC115, price_lookup_table!$C:$C, price_lookup_table!$B:$B), "")</f>
        <v>Self Pay</v>
      </c>
    </row>
    <row r="116" spans="1:31" ht="16.5" x14ac:dyDescent="0.25">
      <c r="A116" t="s">
        <v>46</v>
      </c>
      <c r="B116" s="36">
        <v>45701</v>
      </c>
      <c r="C116" s="36">
        <v>45671</v>
      </c>
      <c r="D116" t="s">
        <v>28</v>
      </c>
      <c r="E116" t="s">
        <v>29</v>
      </c>
      <c r="F116" t="s">
        <v>1733</v>
      </c>
      <c r="G116" t="s">
        <v>1734</v>
      </c>
      <c r="H116" t="s">
        <v>1735</v>
      </c>
      <c r="I116" t="s">
        <v>1736</v>
      </c>
      <c r="J116"/>
      <c r="K116"/>
      <c r="L116"/>
      <c r="M116" t="s">
        <v>783</v>
      </c>
      <c r="N116" t="s">
        <v>1191</v>
      </c>
      <c r="O116" t="s">
        <v>388</v>
      </c>
      <c r="P116" s="36">
        <v>15127</v>
      </c>
      <c r="Q116" s="45">
        <f t="shared" si="3"/>
        <v>83</v>
      </c>
      <c r="R116" t="s">
        <v>974</v>
      </c>
      <c r="S116">
        <v>447828628898</v>
      </c>
      <c r="T116" t="s">
        <v>35</v>
      </c>
      <c r="U116"/>
      <c r="V116" s="39" cm="1">
        <f t="array" ref="V116">IFERROR(
    _xlfn.XLOOKUP(1,
        (tblPrices[Prefix]=$AC116)*(tblPrices[Product Code]=$T116),
        tblPrices[Price]
    ),
    0
)
+
IF(ISNUMBER(SEARCH("Mammogram",$U116)),
    IFERROR(_xlfn.XLOOKUP(1,(tblPrices[Prefix]=$AC116)*(tblPrices[Product Code]="Mammogram"),tblPrices[Price]),0),
    0
)
+
IF(ISNUMBER(SEARCH("PSA",$U116)),
    IFERROR(_xlfn.XLOOKUP(1,(tblPrices[Prefix]=$AC116)*(tblPrices[Product Code]="PSA"),tblPrices[Price]),0),
    0
)</f>
        <v>543</v>
      </c>
      <c r="W116" t="s">
        <v>629</v>
      </c>
      <c r="X116" t="s">
        <v>1070</v>
      </c>
      <c r="Y116"/>
      <c r="Z116">
        <v>22016239</v>
      </c>
      <c r="AA116" t="s">
        <v>1087</v>
      </c>
      <c r="AB116" s="1" t="str" cm="1">
        <f t="array" ref="AB116" xml:space="preserve"> _xlfn.LET(_xlpm.pc, UPPER(TRIM(M116)), LEFT(_xlpm.pc, MIN(FIND({0,1,2,3,4,5,6,7,8,9}, _xlpm.pc&amp;"0123456789"))-1))</f>
        <v>OX</v>
      </c>
      <c r="AC116" s="1" t="str">
        <f t="shared" si="2"/>
        <v>AXA</v>
      </c>
      <c r="AD116" s="1" t="str">
        <f>VLOOKUP(AB116, postcode_table!A:B, 2, FALSE)</f>
        <v>Oxford</v>
      </c>
      <c r="AE116" s="1" t="str">
        <f>IFERROR(_xlfn.XLOOKUP(AC116, price_lookup_table!$C:$C, price_lookup_table!$B:$B), "")</f>
        <v>Self Pay</v>
      </c>
    </row>
    <row r="117" spans="1:31" ht="16.5" x14ac:dyDescent="0.25">
      <c r="A117" t="s">
        <v>653</v>
      </c>
      <c r="B117" s="36">
        <v>45701</v>
      </c>
      <c r="C117" s="36">
        <v>45672</v>
      </c>
      <c r="D117" t="s">
        <v>28</v>
      </c>
      <c r="E117" t="s">
        <v>29</v>
      </c>
      <c r="F117" t="s">
        <v>1737</v>
      </c>
      <c r="G117" t="s">
        <v>1738</v>
      </c>
      <c r="H117" t="s">
        <v>1739</v>
      </c>
      <c r="I117" t="s">
        <v>1371</v>
      </c>
      <c r="J117"/>
      <c r="K117"/>
      <c r="L117"/>
      <c r="M117" t="s">
        <v>822</v>
      </c>
      <c r="N117" t="s">
        <v>1190</v>
      </c>
      <c r="O117" t="s">
        <v>387</v>
      </c>
      <c r="P117" s="36">
        <v>35982</v>
      </c>
      <c r="Q117" s="45">
        <f t="shared" si="3"/>
        <v>26</v>
      </c>
      <c r="R117" t="s">
        <v>1015</v>
      </c>
      <c r="S117">
        <v>447929010710</v>
      </c>
      <c r="T117" t="s">
        <v>197</v>
      </c>
      <c r="U117"/>
      <c r="V117" s="39" cm="1">
        <f t="array" ref="V117">IFERROR(
    _xlfn.XLOOKUP(1,
        (tblPrices[Prefix]=$AC117)*(tblPrices[Product Code]=$T117),
        tblPrices[Price]
    ),
    0
)
+
IF(ISNUMBER(SEARCH("Mammogram",$U117)),
    IFERROR(_xlfn.XLOOKUP(1,(tblPrices[Prefix]=$AC117)*(tblPrices[Product Code]="Mammogram"),tblPrices[Price]),0),
    0
)
+
IF(ISNUMBER(SEARCH("PSA",$U117)),
    IFERROR(_xlfn.XLOOKUP(1,(tblPrices[Prefix]=$AC117)*(tblPrices[Product Code]="PSA"),tblPrices[Price]),0),
    0
)</f>
        <v>246</v>
      </c>
      <c r="W117" t="s">
        <v>629</v>
      </c>
      <c r="X117" t="s">
        <v>1048</v>
      </c>
      <c r="Y117"/>
      <c r="Z117">
        <v>14821108</v>
      </c>
      <c r="AA117" t="s">
        <v>1081</v>
      </c>
      <c r="AB117" s="1" t="str" cm="1">
        <f t="array" ref="AB117" xml:space="preserve"> _xlfn.LET(_xlpm.pc, UPPER(TRIM(M117)), LEFT(_xlpm.pc, MIN(FIND({0,1,2,3,4,5,6,7,8,9}, _xlpm.pc&amp;"0123456789"))-1))</f>
        <v>SN</v>
      </c>
      <c r="AC117" s="1" t="str">
        <f t="shared" si="2"/>
        <v>M01</v>
      </c>
      <c r="AD117" s="1" t="str">
        <f>VLOOKUP(AB117, postcode_table!A:B, 2, FALSE)</f>
        <v>Swindon</v>
      </c>
      <c r="AE117" s="1" t="str">
        <f>IFERROR(_xlfn.XLOOKUP(AC117, price_lookup_table!$C:$C, price_lookup_table!$B:$B), "")</f>
        <v>Self Pay</v>
      </c>
    </row>
    <row r="118" spans="1:31" ht="16.5" x14ac:dyDescent="0.25">
      <c r="A118" t="s">
        <v>653</v>
      </c>
      <c r="B118" s="36">
        <v>45701</v>
      </c>
      <c r="C118" s="36">
        <v>45686</v>
      </c>
      <c r="D118" t="s">
        <v>28</v>
      </c>
      <c r="E118" t="s">
        <v>29</v>
      </c>
      <c r="F118" t="s">
        <v>1740</v>
      </c>
      <c r="G118" t="s">
        <v>1741</v>
      </c>
      <c r="H118" t="s">
        <v>1742</v>
      </c>
      <c r="I118" t="s">
        <v>1544</v>
      </c>
      <c r="J118"/>
      <c r="K118"/>
      <c r="L118"/>
      <c r="M118" t="s">
        <v>823</v>
      </c>
      <c r="N118" t="s">
        <v>1189</v>
      </c>
      <c r="O118" t="s">
        <v>387</v>
      </c>
      <c r="P118" s="36">
        <v>16711</v>
      </c>
      <c r="Q118" s="45">
        <f t="shared" si="3"/>
        <v>79</v>
      </c>
      <c r="R118" t="s">
        <v>1016</v>
      </c>
      <c r="S118">
        <v>447944110734</v>
      </c>
      <c r="T118" t="s">
        <v>35</v>
      </c>
      <c r="U118"/>
      <c r="V118" s="39" cm="1">
        <f t="array" ref="V118">IFERROR(
    _xlfn.XLOOKUP(1,
        (tblPrices[Prefix]=$AC118)*(tblPrices[Product Code]=$T118),
        tblPrices[Price]
    ),
    0
)
+
IF(ISNUMBER(SEARCH("Mammogram",$U118)),
    IFERROR(_xlfn.XLOOKUP(1,(tblPrices[Prefix]=$AC118)*(tblPrices[Product Code]="Mammogram"),tblPrices[Price]),0),
    0
)
+
IF(ISNUMBER(SEARCH("PSA",$U118)),
    IFERROR(_xlfn.XLOOKUP(1,(tblPrices[Prefix]=$AC118)*(tblPrices[Product Code]="PSA"),tblPrices[Price]),0),
    0
)</f>
        <v>724.5</v>
      </c>
      <c r="W118" t="s">
        <v>629</v>
      </c>
      <c r="X118" t="s">
        <v>636</v>
      </c>
      <c r="Y118"/>
      <c r="Z118">
        <v>22035891</v>
      </c>
      <c r="AA118" t="s">
        <v>1081</v>
      </c>
      <c r="AB118" s="1" t="str" cm="1">
        <f t="array" ref="AB118" xml:space="preserve"> _xlfn.LET(_xlpm.pc, UPPER(TRIM(M118)), LEFT(_xlpm.pc, MIN(FIND({0,1,2,3,4,5,6,7,8,9}, _xlpm.pc&amp;"0123456789"))-1))</f>
        <v>SN</v>
      </c>
      <c r="AC118" s="1" t="str">
        <f t="shared" si="2"/>
        <v>M01</v>
      </c>
      <c r="AD118" s="1" t="str">
        <f>VLOOKUP(AB118, postcode_table!A:B, 2, FALSE)</f>
        <v>Swindon</v>
      </c>
      <c r="AE118" s="1" t="str">
        <f>IFERROR(_xlfn.XLOOKUP(AC118, price_lookup_table!$C:$C, price_lookup_table!$B:$B), "")</f>
        <v>Self Pay</v>
      </c>
    </row>
    <row r="119" spans="1:31" ht="16.5" x14ac:dyDescent="0.25">
      <c r="A119" t="s">
        <v>655</v>
      </c>
      <c r="B119" s="36">
        <v>45701</v>
      </c>
      <c r="C119" s="36">
        <v>45677</v>
      </c>
      <c r="D119" t="s">
        <v>28</v>
      </c>
      <c r="E119" t="s">
        <v>29</v>
      </c>
      <c r="F119" t="s">
        <v>1743</v>
      </c>
      <c r="G119" t="s">
        <v>1744</v>
      </c>
      <c r="H119" t="s">
        <v>1745</v>
      </c>
      <c r="I119" t="s">
        <v>1746</v>
      </c>
      <c r="J119"/>
      <c r="K119"/>
      <c r="L119"/>
      <c r="M119" t="s">
        <v>825</v>
      </c>
      <c r="N119" t="s">
        <v>1188</v>
      </c>
      <c r="O119" t="s">
        <v>387</v>
      </c>
      <c r="P119" s="36">
        <v>22950</v>
      </c>
      <c r="Q119" s="45">
        <f t="shared" si="3"/>
        <v>62</v>
      </c>
      <c r="R119" t="s">
        <v>1018</v>
      </c>
      <c r="S119" t="s">
        <v>1019</v>
      </c>
      <c r="T119" t="s">
        <v>35</v>
      </c>
      <c r="U119"/>
      <c r="V119" s="39" cm="1">
        <f t="array" ref="V119">IFERROR(
    _xlfn.XLOOKUP(1,
        (tblPrices[Prefix]=$AC119)*(tblPrices[Product Code]=$T119),
        tblPrices[Price]
    ),
    0
)
+
IF(ISNUMBER(SEARCH("Mammogram",$U119)),
    IFERROR(_xlfn.XLOOKUP(1,(tblPrices[Prefix]=$AC119)*(tblPrices[Product Code]="Mammogram"),tblPrices[Price]),0),
    0
)
+
IF(ISNUMBER(SEARCH("PSA",$U119)),
    IFERROR(_xlfn.XLOOKUP(1,(tblPrices[Prefix]=$AC119)*(tblPrices[Product Code]="PSA"),tblPrices[Price]),0),
    0
)</f>
        <v>724.5</v>
      </c>
      <c r="W119" t="s">
        <v>629</v>
      </c>
      <c r="X119" t="s">
        <v>636</v>
      </c>
      <c r="Y119"/>
      <c r="Z119">
        <v>20543096</v>
      </c>
      <c r="AA119" t="s">
        <v>1083</v>
      </c>
      <c r="AB119" s="1" t="str" cm="1">
        <f t="array" ref="AB119" xml:space="preserve"> _xlfn.LET(_xlpm.pc, UPPER(TRIM(M119)), LEFT(_xlpm.pc, MIN(FIND({0,1,2,3,4,5,6,7,8,9}, _xlpm.pc&amp;"0123456789"))-1))</f>
        <v>SO</v>
      </c>
      <c r="AC119" s="1" t="str">
        <f t="shared" si="2"/>
        <v>M01</v>
      </c>
      <c r="AD119" s="1" t="str">
        <f>VLOOKUP(AB119, postcode_table!A:B, 2, FALSE)</f>
        <v>Southampton</v>
      </c>
      <c r="AE119" s="1" t="str">
        <f>IFERROR(_xlfn.XLOOKUP(AC119, price_lookup_table!$C:$C, price_lookup_table!$B:$B), "")</f>
        <v>Self Pay</v>
      </c>
    </row>
    <row r="120" spans="1:31" ht="16.5" x14ac:dyDescent="0.25">
      <c r="A120" t="s">
        <v>46</v>
      </c>
      <c r="B120" s="36">
        <v>45701</v>
      </c>
      <c r="C120" s="36">
        <v>45671</v>
      </c>
      <c r="D120" t="s">
        <v>28</v>
      </c>
      <c r="E120" t="s">
        <v>29</v>
      </c>
      <c r="F120" t="s">
        <v>681</v>
      </c>
      <c r="G120" t="s">
        <v>1747</v>
      </c>
      <c r="H120" t="s">
        <v>1748</v>
      </c>
      <c r="I120" t="s">
        <v>1749</v>
      </c>
      <c r="J120"/>
      <c r="K120"/>
      <c r="L120"/>
      <c r="M120" t="s">
        <v>737</v>
      </c>
      <c r="N120" t="s">
        <v>1187</v>
      </c>
      <c r="O120" t="s">
        <v>388</v>
      </c>
      <c r="P120" s="36">
        <v>29618</v>
      </c>
      <c r="Q120" s="45">
        <f t="shared" si="3"/>
        <v>44</v>
      </c>
      <c r="R120" t="s">
        <v>924</v>
      </c>
      <c r="S120">
        <v>447899774111</v>
      </c>
      <c r="T120" t="s">
        <v>35</v>
      </c>
      <c r="U120"/>
      <c r="V120" s="39" cm="1">
        <f t="array" ref="V120">IFERROR(
    _xlfn.XLOOKUP(1,
        (tblPrices[Prefix]=$AC120)*(tblPrices[Product Code]=$T120),
        tblPrices[Price]
    ),
    0
)
+
IF(ISNUMBER(SEARCH("Mammogram",$U120)),
    IFERROR(_xlfn.XLOOKUP(1,(tblPrices[Prefix]=$AC120)*(tblPrices[Product Code]="Mammogram"),tblPrices[Price]),0),
    0
)
+
IF(ISNUMBER(SEARCH("PSA",$U120)),
    IFERROR(_xlfn.XLOOKUP(1,(tblPrices[Prefix]=$AC120)*(tblPrices[Product Code]="PSA"),tblPrices[Price]),0),
    0
)</f>
        <v>0</v>
      </c>
      <c r="W120" t="s">
        <v>629</v>
      </c>
      <c r="X120" t="s">
        <v>642</v>
      </c>
      <c r="Y120"/>
      <c r="Z120">
        <v>21152479</v>
      </c>
      <c r="AA120" t="s">
        <v>1091</v>
      </c>
      <c r="AB120" s="1" t="str" cm="1">
        <f t="array" ref="AB120" xml:space="preserve"> _xlfn.LET(_xlpm.pc, UPPER(TRIM(M120)), LEFT(_xlpm.pc, MIN(FIND({0,1,2,3,4,5,6,7,8,9}, _xlpm.pc&amp;"0123456789"))-1))</f>
        <v>HP</v>
      </c>
      <c r="AC120" s="1" t="str">
        <f t="shared" si="2"/>
        <v>T57</v>
      </c>
      <c r="AD120" s="1" t="str">
        <f>VLOOKUP(AB120, postcode_table!A:B, 2, FALSE)</f>
        <v>Hemel Hempstead</v>
      </c>
      <c r="AE120" s="1" t="str">
        <f>IFERROR(_xlfn.XLOOKUP(AC120, price_lookup_table!$C:$C, price_lookup_table!$B:$B), "")</f>
        <v/>
      </c>
    </row>
    <row r="121" spans="1:31" ht="16.5" x14ac:dyDescent="0.25">
      <c r="A121" t="s">
        <v>657</v>
      </c>
      <c r="B121" s="36">
        <v>45702</v>
      </c>
      <c r="C121" s="36">
        <v>45697</v>
      </c>
      <c r="D121" t="s">
        <v>28</v>
      </c>
      <c r="E121" t="s">
        <v>29</v>
      </c>
      <c r="F121" t="s">
        <v>1750</v>
      </c>
      <c r="G121" t="s">
        <v>1751</v>
      </c>
      <c r="H121" t="s">
        <v>1752</v>
      </c>
      <c r="I121" t="s">
        <v>1753</v>
      </c>
      <c r="J121"/>
      <c r="K121"/>
      <c r="L121"/>
      <c r="M121" t="s">
        <v>776</v>
      </c>
      <c r="N121" t="s">
        <v>1186</v>
      </c>
      <c r="O121" t="s">
        <v>387</v>
      </c>
      <c r="P121" s="36">
        <v>36430</v>
      </c>
      <c r="Q121" s="45">
        <f t="shared" si="3"/>
        <v>25</v>
      </c>
      <c r="R121" t="s">
        <v>966</v>
      </c>
      <c r="S121">
        <v>447976201825</v>
      </c>
      <c r="T121" t="s">
        <v>35</v>
      </c>
      <c r="U121"/>
      <c r="V121" s="39" cm="1">
        <f t="array" ref="V121">IFERROR(
    _xlfn.XLOOKUP(1,
        (tblPrices[Prefix]=$AC121)*(tblPrices[Product Code]=$T121),
        tblPrices[Price]
    ),
    0
)
+
IF(ISNUMBER(SEARCH("Mammogram",$U121)),
    IFERROR(_xlfn.XLOOKUP(1,(tblPrices[Prefix]=$AC121)*(tblPrices[Product Code]="Mammogram"),tblPrices[Price]),0),
    0
)
+
IF(ISNUMBER(SEARCH("PSA",$U121)),
    IFERROR(_xlfn.XLOOKUP(1,(tblPrices[Prefix]=$AC121)*(tblPrices[Product Code]="PSA"),tblPrices[Price]),0),
    0
)</f>
        <v>543</v>
      </c>
      <c r="W121" t="s">
        <v>629</v>
      </c>
      <c r="X121" t="s">
        <v>639</v>
      </c>
      <c r="Y121"/>
      <c r="Z121">
        <v>14377612</v>
      </c>
      <c r="AA121" t="s">
        <v>1100</v>
      </c>
      <c r="AB121" s="1" t="str" cm="1">
        <f t="array" ref="AB121" xml:space="preserve"> _xlfn.LET(_xlpm.pc, UPPER(TRIM(M121)), LEFT(_xlpm.pc, MIN(FIND({0,1,2,3,4,5,6,7,8,9}, _xlpm.pc&amp;"0123456789"))-1))</f>
        <v>NG</v>
      </c>
      <c r="AC121" s="1" t="str">
        <f t="shared" si="2"/>
        <v>AXA</v>
      </c>
      <c r="AD121" s="1" t="str">
        <f>VLOOKUP(AB121, postcode_table!A:B, 2, FALSE)</f>
        <v>Nottingham</v>
      </c>
      <c r="AE121" s="1" t="str">
        <f>IFERROR(_xlfn.XLOOKUP(AC121, price_lookup_table!$C:$C, price_lookup_table!$B:$B), "")</f>
        <v>Self Pay</v>
      </c>
    </row>
    <row r="122" spans="1:31" ht="16.5" x14ac:dyDescent="0.25">
      <c r="A122" t="s">
        <v>650</v>
      </c>
      <c r="B122" s="36">
        <v>45702</v>
      </c>
      <c r="C122" s="36">
        <v>45684</v>
      </c>
      <c r="D122" t="s">
        <v>28</v>
      </c>
      <c r="E122" t="s">
        <v>29</v>
      </c>
      <c r="F122" t="s">
        <v>1754</v>
      </c>
      <c r="G122" t="s">
        <v>1755</v>
      </c>
      <c r="H122" t="s">
        <v>1756</v>
      </c>
      <c r="I122" t="s">
        <v>1757</v>
      </c>
      <c r="J122"/>
      <c r="K122"/>
      <c r="L122"/>
      <c r="M122" t="s">
        <v>843</v>
      </c>
      <c r="N122" t="s">
        <v>1185</v>
      </c>
      <c r="O122" t="s">
        <v>388</v>
      </c>
      <c r="P122" s="36">
        <v>15977</v>
      </c>
      <c r="Q122" s="45">
        <f t="shared" si="3"/>
        <v>81</v>
      </c>
      <c r="R122" t="s">
        <v>1036</v>
      </c>
      <c r="S122" t="s">
        <v>1037</v>
      </c>
      <c r="T122" t="s">
        <v>35</v>
      </c>
      <c r="U122"/>
      <c r="V122" s="39" cm="1">
        <f t="array" ref="V122">IFERROR(
    _xlfn.XLOOKUP(1,
        (tblPrices[Prefix]=$AC122)*(tblPrices[Product Code]=$T122),
        tblPrices[Price]
    ),
    0
)
+
IF(ISNUMBER(SEARCH("Mammogram",$U122)),
    IFERROR(_xlfn.XLOOKUP(1,(tblPrices[Prefix]=$AC122)*(tblPrices[Product Code]="Mammogram"),tblPrices[Price]),0),
    0
)
+
IF(ISNUMBER(SEARCH("PSA",$U122)),
    IFERROR(_xlfn.XLOOKUP(1,(tblPrices[Prefix]=$AC122)*(tblPrices[Product Code]="PSA"),tblPrices[Price]),0),
    0
)</f>
        <v>724.5</v>
      </c>
      <c r="W122" t="s">
        <v>629</v>
      </c>
      <c r="X122" t="s">
        <v>639</v>
      </c>
      <c r="Y122"/>
      <c r="Z122">
        <v>11182188</v>
      </c>
      <c r="AA122" t="s">
        <v>1083</v>
      </c>
      <c r="AB122" s="1" t="str" cm="1">
        <f t="array" ref="AB122" xml:space="preserve"> _xlfn.LET(_xlpm.pc, UPPER(TRIM(M122)), LEFT(_xlpm.pc, MIN(FIND({0,1,2,3,4,5,6,7,8,9}, _xlpm.pc&amp;"0123456789"))-1))</f>
        <v>W</v>
      </c>
      <c r="AC122" s="1" t="str">
        <f t="shared" si="2"/>
        <v>M01</v>
      </c>
      <c r="AD122" s="1" t="str">
        <f>VLOOKUP(AB122, postcode_table!A:B, 2, FALSE)</f>
        <v>West London</v>
      </c>
      <c r="AE122" s="1" t="str">
        <f>IFERROR(_xlfn.XLOOKUP(AC122, price_lookup_table!$C:$C, price_lookup_table!$B:$B), "")</f>
        <v>Self Pay</v>
      </c>
    </row>
    <row r="123" spans="1:31" ht="16.5" x14ac:dyDescent="0.25">
      <c r="A123" t="s">
        <v>42</v>
      </c>
      <c r="B123" s="36">
        <v>45705</v>
      </c>
      <c r="C123" s="36">
        <v>45671</v>
      </c>
      <c r="D123" t="s">
        <v>28</v>
      </c>
      <c r="E123" t="s">
        <v>29</v>
      </c>
      <c r="F123" t="s">
        <v>1758</v>
      </c>
      <c r="G123" t="s">
        <v>1759</v>
      </c>
      <c r="H123" t="s">
        <v>1760</v>
      </c>
      <c r="I123" t="s">
        <v>1761</v>
      </c>
      <c r="J123"/>
      <c r="K123"/>
      <c r="L123"/>
      <c r="M123" t="s">
        <v>656</v>
      </c>
      <c r="N123" t="s">
        <v>1184</v>
      </c>
      <c r="O123" t="s">
        <v>388</v>
      </c>
      <c r="P123" s="36">
        <v>22808</v>
      </c>
      <c r="Q123" s="45">
        <f t="shared" si="3"/>
        <v>62</v>
      </c>
      <c r="R123" t="s">
        <v>854</v>
      </c>
      <c r="S123" t="s">
        <v>855</v>
      </c>
      <c r="T123" t="s">
        <v>35</v>
      </c>
      <c r="U123"/>
      <c r="V123" s="39" cm="1">
        <f t="array" ref="V123">IFERROR(
    _xlfn.XLOOKUP(1,
        (tblPrices[Prefix]=$AC123)*(tblPrices[Product Code]=$T123),
        tblPrices[Price]
    ),
    0
)
+
IF(ISNUMBER(SEARCH("Mammogram",$U123)),
    IFERROR(_xlfn.XLOOKUP(1,(tblPrices[Prefix]=$AC123)*(tblPrices[Product Code]="Mammogram"),tblPrices[Price]),0),
    0
)
+
IF(ISNUMBER(SEARCH("PSA",$U123)),
    IFERROR(_xlfn.XLOOKUP(1,(tblPrices[Prefix]=$AC123)*(tblPrices[Product Code]="PSA"),tblPrices[Price]),0),
    0
)</f>
        <v>543</v>
      </c>
      <c r="W123" t="s">
        <v>629</v>
      </c>
      <c r="X123" t="s">
        <v>641</v>
      </c>
      <c r="Y123"/>
      <c r="Z123">
        <v>20209083</v>
      </c>
      <c r="AA123" t="s">
        <v>1082</v>
      </c>
      <c r="AB123" s="1" t="str" cm="1">
        <f t="array" ref="AB123" xml:space="preserve"> _xlfn.LET(_xlpm.pc, UPPER(TRIM(M123)), LEFT(_xlpm.pc, MIN(FIND({0,1,2,3,4,5,6,7,8,9}, _xlpm.pc&amp;"0123456789"))-1))</f>
        <v>CT</v>
      </c>
      <c r="AC123" s="1" t="str">
        <f t="shared" si="2"/>
        <v>AXA</v>
      </c>
      <c r="AD123" s="1" t="str">
        <f>VLOOKUP(AB123, postcode_table!A:B, 2, FALSE)</f>
        <v>Canterbury</v>
      </c>
      <c r="AE123" s="1" t="str">
        <f>IFERROR(_xlfn.XLOOKUP(AC123, price_lookup_table!$C:$C, price_lookup_table!$B:$B), "")</f>
        <v>Self Pay</v>
      </c>
    </row>
    <row r="124" spans="1:31" ht="16.5" x14ac:dyDescent="0.25">
      <c r="A124" t="s">
        <v>389</v>
      </c>
      <c r="B124" s="36">
        <v>45705</v>
      </c>
      <c r="C124" s="36">
        <v>45688</v>
      </c>
      <c r="D124" t="s">
        <v>28</v>
      </c>
      <c r="E124" t="s">
        <v>29</v>
      </c>
      <c r="F124" t="s">
        <v>1762</v>
      </c>
      <c r="G124" t="s">
        <v>1763</v>
      </c>
      <c r="H124" t="s">
        <v>1764</v>
      </c>
      <c r="I124" t="s">
        <v>1765</v>
      </c>
      <c r="J124"/>
      <c r="K124"/>
      <c r="L124"/>
      <c r="M124" t="s">
        <v>764</v>
      </c>
      <c r="N124" t="s">
        <v>1183</v>
      </c>
      <c r="O124" t="s">
        <v>388</v>
      </c>
      <c r="P124" s="36">
        <v>19000</v>
      </c>
      <c r="Q124" s="45">
        <f t="shared" si="3"/>
        <v>73</v>
      </c>
      <c r="R124" t="s">
        <v>954</v>
      </c>
      <c r="S124">
        <v>447971666498</v>
      </c>
      <c r="T124" t="s">
        <v>35</v>
      </c>
      <c r="U124"/>
      <c r="V124" s="39" cm="1">
        <f t="array" ref="V124">IFERROR(
    _xlfn.XLOOKUP(1,
        (tblPrices[Prefix]=$AC124)*(tblPrices[Product Code]=$T124),
        tblPrices[Price]
    ),
    0
)
+
IF(ISNUMBER(SEARCH("Mammogram",$U124)),
    IFERROR(_xlfn.XLOOKUP(1,(tblPrices[Prefix]=$AC124)*(tblPrices[Product Code]="Mammogram"),tblPrices[Price]),0),
    0
)
+
IF(ISNUMBER(SEARCH("PSA",$U124)),
    IFERROR(_xlfn.XLOOKUP(1,(tblPrices[Prefix]=$AC124)*(tblPrices[Product Code]="PSA"),tblPrices[Price]),0),
    0
)</f>
        <v>543</v>
      </c>
      <c r="W124" t="s">
        <v>629</v>
      </c>
      <c r="X124" t="s">
        <v>1061</v>
      </c>
      <c r="Y124"/>
      <c r="Z124">
        <v>21999142</v>
      </c>
      <c r="AA124" t="s">
        <v>1082</v>
      </c>
      <c r="AB124" s="1" t="str" cm="1">
        <f t="array" ref="AB124" xml:space="preserve"> _xlfn.LET(_xlpm.pc, UPPER(TRIM(M124)), LEFT(_xlpm.pc, MIN(FIND({0,1,2,3,4,5,6,7,8,9}, _xlpm.pc&amp;"0123456789"))-1))</f>
        <v>MK</v>
      </c>
      <c r="AC124" s="1" t="str">
        <f t="shared" si="2"/>
        <v>AXA</v>
      </c>
      <c r="AD124" s="1" t="str">
        <f>VLOOKUP(AB124, postcode_table!A:B, 2, FALSE)</f>
        <v>Milton Keynes</v>
      </c>
      <c r="AE124" s="1" t="str">
        <f>IFERROR(_xlfn.XLOOKUP(AC124, price_lookup_table!$C:$C, price_lookup_table!$B:$B), "")</f>
        <v>Self Pay</v>
      </c>
    </row>
    <row r="125" spans="1:31" ht="16.5" x14ac:dyDescent="0.25">
      <c r="A125" t="s">
        <v>42</v>
      </c>
      <c r="B125" s="36">
        <v>45705</v>
      </c>
      <c r="C125" s="36">
        <v>45678</v>
      </c>
      <c r="D125" t="s">
        <v>28</v>
      </c>
      <c r="E125" t="s">
        <v>29</v>
      </c>
      <c r="F125" t="s">
        <v>1766</v>
      </c>
      <c r="G125" t="s">
        <v>1767</v>
      </c>
      <c r="H125" t="s">
        <v>1768</v>
      </c>
      <c r="I125" t="s">
        <v>1769</v>
      </c>
      <c r="J125"/>
      <c r="K125"/>
      <c r="L125"/>
      <c r="M125" t="s">
        <v>775</v>
      </c>
      <c r="N125" t="s">
        <v>1182</v>
      </c>
      <c r="O125" t="s">
        <v>388</v>
      </c>
      <c r="P125" s="36">
        <v>21205</v>
      </c>
      <c r="Q125" s="45">
        <f t="shared" si="3"/>
        <v>67</v>
      </c>
      <c r="R125" t="s">
        <v>965</v>
      </c>
      <c r="S125">
        <v>447508199353</v>
      </c>
      <c r="T125" t="s">
        <v>35</v>
      </c>
      <c r="U125"/>
      <c r="V125" s="39" cm="1">
        <f t="array" ref="V125">IFERROR(
    _xlfn.XLOOKUP(1,
        (tblPrices[Prefix]=$AC125)*(tblPrices[Product Code]=$T125),
        tblPrices[Price]
    ),
    0
)
+
IF(ISNUMBER(SEARCH("Mammogram",$U125)),
    IFERROR(_xlfn.XLOOKUP(1,(tblPrices[Prefix]=$AC125)*(tblPrices[Product Code]="Mammogram"),tblPrices[Price]),0),
    0
)
+
IF(ISNUMBER(SEARCH("PSA",$U125)),
    IFERROR(_xlfn.XLOOKUP(1,(tblPrices[Prefix]=$AC125)*(tblPrices[Product Code]="PSA"),tblPrices[Price]),0),
    0
)</f>
        <v>543</v>
      </c>
      <c r="W125" t="s">
        <v>629</v>
      </c>
      <c r="X125" t="s">
        <v>1048</v>
      </c>
      <c r="Y125"/>
      <c r="Z125">
        <v>22025160</v>
      </c>
      <c r="AA125" t="s">
        <v>1082</v>
      </c>
      <c r="AB125" s="1" t="str" cm="1">
        <f t="array" ref="AB125" xml:space="preserve"> _xlfn.LET(_xlpm.pc, UPPER(TRIM(M125)), LEFT(_xlpm.pc, MIN(FIND({0,1,2,3,4,5,6,7,8,9}, _xlpm.pc&amp;"0123456789"))-1))</f>
        <v>N</v>
      </c>
      <c r="AC125" s="1" t="str">
        <f t="shared" si="2"/>
        <v>AXA</v>
      </c>
      <c r="AD125" s="1" t="str">
        <f>VLOOKUP(AB125, postcode_table!A:B, 2, FALSE)</f>
        <v>North London</v>
      </c>
      <c r="AE125" s="1" t="str">
        <f>IFERROR(_xlfn.XLOOKUP(AC125, price_lookup_table!$C:$C, price_lookup_table!$B:$B), "")</f>
        <v>Self Pay</v>
      </c>
    </row>
    <row r="126" spans="1:31" ht="16.5" x14ac:dyDescent="0.25">
      <c r="A126" t="s">
        <v>649</v>
      </c>
      <c r="B126" s="36">
        <v>45705</v>
      </c>
      <c r="C126" s="36">
        <v>45686</v>
      </c>
      <c r="D126" t="s">
        <v>28</v>
      </c>
      <c r="E126" t="s">
        <v>29</v>
      </c>
      <c r="F126" t="s">
        <v>757</v>
      </c>
      <c r="G126" t="s">
        <v>1770</v>
      </c>
      <c r="H126" t="s">
        <v>1771</v>
      </c>
      <c r="I126" t="s">
        <v>1665</v>
      </c>
      <c r="J126"/>
      <c r="K126"/>
      <c r="L126"/>
      <c r="M126" t="s">
        <v>806</v>
      </c>
      <c r="N126" t="s">
        <v>1181</v>
      </c>
      <c r="O126" t="s">
        <v>387</v>
      </c>
      <c r="P126" s="36">
        <v>18838</v>
      </c>
      <c r="Q126" s="45">
        <f t="shared" si="3"/>
        <v>73</v>
      </c>
      <c r="R126" t="s">
        <v>999</v>
      </c>
      <c r="S126">
        <v>447460379771</v>
      </c>
      <c r="T126" t="s">
        <v>174</v>
      </c>
      <c r="U126"/>
      <c r="V126" s="39" cm="1">
        <f t="array" ref="V126">IFERROR(
    _xlfn.XLOOKUP(1,
        (tblPrices[Prefix]=$AC126)*(tblPrices[Product Code]=$T126),
        tblPrices[Price]
    ),
    0
)
+
IF(ISNUMBER(SEARCH("Mammogram",$U126)),
    IFERROR(_xlfn.XLOOKUP(1,(tblPrices[Prefix]=$AC126)*(tblPrices[Product Code]="Mammogram"),tblPrices[Price]),0),
    0
)
+
IF(ISNUMBER(SEARCH("PSA",$U126)),
    IFERROR(_xlfn.XLOOKUP(1,(tblPrices[Prefix]=$AC126)*(tblPrices[Product Code]="PSA"),tblPrices[Price]),0),
    0
)</f>
        <v>357</v>
      </c>
      <c r="W126" t="s">
        <v>629</v>
      </c>
      <c r="X126" t="s">
        <v>1048</v>
      </c>
      <c r="Y126"/>
      <c r="Z126">
        <v>22036092</v>
      </c>
      <c r="AA126" t="s">
        <v>1108</v>
      </c>
      <c r="AB126" s="1" t="str" cm="1">
        <f t="array" ref="AB126" xml:space="preserve"> _xlfn.LET(_xlpm.pc, UPPER(TRIM(M126)), LEFT(_xlpm.pc, MIN(FIND({0,1,2,3,4,5,6,7,8,9}, _xlpm.pc&amp;"0123456789"))-1))</f>
        <v>SE</v>
      </c>
      <c r="AC126" s="1" t="str">
        <f t="shared" si="2"/>
        <v>AXA</v>
      </c>
      <c r="AD126" s="1" t="str">
        <f>VLOOKUP(AB126, postcode_table!A:B, 2, FALSE)</f>
        <v>South East London</v>
      </c>
      <c r="AE126" s="1" t="str">
        <f>IFERROR(_xlfn.XLOOKUP(AC126, price_lookup_table!$C:$C, price_lookup_table!$B:$B), "")</f>
        <v>Self Pay</v>
      </c>
    </row>
    <row r="127" spans="1:31" ht="16.5" x14ac:dyDescent="0.25">
      <c r="A127" t="s">
        <v>649</v>
      </c>
      <c r="B127" s="36">
        <v>45705</v>
      </c>
      <c r="C127" s="36">
        <v>45700</v>
      </c>
      <c r="D127" t="s">
        <v>28</v>
      </c>
      <c r="E127" t="s">
        <v>29</v>
      </c>
      <c r="F127" t="s">
        <v>1772</v>
      </c>
      <c r="G127" t="s">
        <v>1773</v>
      </c>
      <c r="H127" t="s">
        <v>1774</v>
      </c>
      <c r="I127" t="s">
        <v>1775</v>
      </c>
      <c r="J127"/>
      <c r="K127"/>
      <c r="L127"/>
      <c r="M127" t="s">
        <v>807</v>
      </c>
      <c r="N127" t="s">
        <v>1180</v>
      </c>
      <c r="O127" t="s">
        <v>387</v>
      </c>
      <c r="P127" s="36">
        <v>34833</v>
      </c>
      <c r="Q127" s="45">
        <f t="shared" si="3"/>
        <v>29</v>
      </c>
      <c r="R127" s="44" t="s">
        <v>1000</v>
      </c>
      <c r="S127">
        <v>447889297152</v>
      </c>
      <c r="T127" t="s">
        <v>197</v>
      </c>
      <c r="U127"/>
      <c r="V127" s="39" cm="1">
        <f t="array" ref="V127">IFERROR(
    _xlfn.XLOOKUP(1,
        (tblPrices[Prefix]=$AC127)*(tblPrices[Product Code]=$T127),
        tblPrices[Price]
    ),
    0
)
+
IF(ISNUMBER(SEARCH("Mammogram",$U127)),
    IFERROR(_xlfn.XLOOKUP(1,(tblPrices[Prefix]=$AC127)*(tblPrices[Product Code]="Mammogram"),tblPrices[Price]),0),
    0
)
+
IF(ISNUMBER(SEARCH("PSA",$U127)),
    IFERROR(_xlfn.XLOOKUP(1,(tblPrices[Prefix]=$AC127)*(tblPrices[Product Code]="PSA"),tblPrices[Price]),0),
    0
)</f>
        <v>185</v>
      </c>
      <c r="W127" t="s">
        <v>629</v>
      </c>
      <c r="X127" t="s">
        <v>1048</v>
      </c>
      <c r="Y127"/>
      <c r="Z127">
        <v>22052808</v>
      </c>
      <c r="AA127" t="s">
        <v>1109</v>
      </c>
      <c r="AB127" s="1" t="str" cm="1">
        <f t="array" ref="AB127" xml:space="preserve"> _xlfn.LET(_xlpm.pc, UPPER(TRIM(M127)), LEFT(_xlpm.pc, MIN(FIND({0,1,2,3,4,5,6,7,8,9}, _xlpm.pc&amp;"0123456789"))-1))</f>
        <v>SE</v>
      </c>
      <c r="AC127" s="1" t="str">
        <f t="shared" si="2"/>
        <v>AXA</v>
      </c>
      <c r="AD127" s="1" t="str">
        <f>VLOOKUP(AB127, postcode_table!A:B, 2, FALSE)</f>
        <v>South East London</v>
      </c>
      <c r="AE127" s="1" t="str">
        <f>IFERROR(_xlfn.XLOOKUP(AC127, price_lookup_table!$C:$C, price_lookup_table!$B:$B), "")</f>
        <v>Self Pay</v>
      </c>
    </row>
    <row r="128" spans="1:31" ht="16.5" x14ac:dyDescent="0.25">
      <c r="A128" t="s">
        <v>649</v>
      </c>
      <c r="B128" s="36">
        <v>45705</v>
      </c>
      <c r="C128" s="36">
        <v>45673</v>
      </c>
      <c r="D128" t="s">
        <v>28</v>
      </c>
      <c r="E128" t="s">
        <v>29</v>
      </c>
      <c r="F128" t="s">
        <v>1776</v>
      </c>
      <c r="G128" t="s">
        <v>1777</v>
      </c>
      <c r="H128" t="s">
        <v>1778</v>
      </c>
      <c r="I128" t="s">
        <v>1779</v>
      </c>
      <c r="J128"/>
      <c r="K128"/>
      <c r="L128"/>
      <c r="M128" t="s">
        <v>700</v>
      </c>
      <c r="N128" t="s">
        <v>1179</v>
      </c>
      <c r="O128" t="s">
        <v>387</v>
      </c>
      <c r="P128" s="36">
        <v>16851</v>
      </c>
      <c r="Q128" s="45">
        <f t="shared" si="3"/>
        <v>78</v>
      </c>
      <c r="R128" t="s">
        <v>889</v>
      </c>
      <c r="S128" t="s">
        <v>890</v>
      </c>
      <c r="T128" t="s">
        <v>35</v>
      </c>
      <c r="U128"/>
      <c r="V128" s="39" cm="1">
        <f t="array" ref="V128">IFERROR(
    _xlfn.XLOOKUP(1,
        (tblPrices[Prefix]=$AC128)*(tblPrices[Product Code]=$T128),
        tblPrices[Price]
    ),
    0
)
+
IF(ISNUMBER(SEARCH("Mammogram",$U128)),
    IFERROR(_xlfn.XLOOKUP(1,(tblPrices[Prefix]=$AC128)*(tblPrices[Product Code]="Mammogram"),tblPrices[Price]),0),
    0
)
+
IF(ISNUMBER(SEARCH("PSA",$U128)),
    IFERROR(_xlfn.XLOOKUP(1,(tblPrices[Prefix]=$AC128)*(tblPrices[Product Code]="PSA"),tblPrices[Price]),0),
    0
)</f>
        <v>724.5</v>
      </c>
      <c r="W128" t="s">
        <v>629</v>
      </c>
      <c r="X128" t="s">
        <v>1048</v>
      </c>
      <c r="Y128"/>
      <c r="Z128">
        <v>13292324</v>
      </c>
      <c r="AA128" t="s">
        <v>1081</v>
      </c>
      <c r="AB128" s="1" t="str" cm="1">
        <f t="array" ref="AB128" xml:space="preserve"> _xlfn.LET(_xlpm.pc, UPPER(TRIM(M128)), LEFT(_xlpm.pc, MIN(FIND({0,1,2,3,4,5,6,7,8,9}, _xlpm.pc&amp;"0123456789"))-1))</f>
        <v>BR</v>
      </c>
      <c r="AC128" s="1" t="str">
        <f t="shared" si="2"/>
        <v>M01</v>
      </c>
      <c r="AD128" s="1" t="str">
        <f>VLOOKUP(AB128, postcode_table!A:B, 2, FALSE)</f>
        <v>Bromley</v>
      </c>
      <c r="AE128" s="1" t="str">
        <f>IFERROR(_xlfn.XLOOKUP(AC128, price_lookup_table!$C:$C, price_lookup_table!$B:$B), "")</f>
        <v>Self Pay</v>
      </c>
    </row>
    <row r="129" spans="1:31" ht="16.5" x14ac:dyDescent="0.25">
      <c r="A129" t="s">
        <v>649</v>
      </c>
      <c r="B129" s="36">
        <v>45705</v>
      </c>
      <c r="C129" s="36">
        <v>45671</v>
      </c>
      <c r="D129" t="s">
        <v>28</v>
      </c>
      <c r="E129" t="s">
        <v>29</v>
      </c>
      <c r="F129" t="s">
        <v>625</v>
      </c>
      <c r="G129" t="s">
        <v>1780</v>
      </c>
      <c r="H129" t="s">
        <v>1781</v>
      </c>
      <c r="I129" t="s">
        <v>1782</v>
      </c>
      <c r="J129"/>
      <c r="K129"/>
      <c r="L129"/>
      <c r="M129" t="s">
        <v>702</v>
      </c>
      <c r="N129" t="s">
        <v>1178</v>
      </c>
      <c r="O129" t="s">
        <v>388</v>
      </c>
      <c r="P129" s="36">
        <v>24701</v>
      </c>
      <c r="Q129" s="45">
        <f t="shared" si="3"/>
        <v>57</v>
      </c>
      <c r="R129" t="s">
        <v>892</v>
      </c>
      <c r="S129">
        <v>447961810776</v>
      </c>
      <c r="T129" t="s">
        <v>35</v>
      </c>
      <c r="U129"/>
      <c r="V129" s="39" cm="1">
        <f t="array" ref="V129">IFERROR(
    _xlfn.XLOOKUP(1,
        (tblPrices[Prefix]=$AC129)*(tblPrices[Product Code]=$T129),
        tblPrices[Price]
    ),
    0
)
+
IF(ISNUMBER(SEARCH("Mammogram",$U129)),
    IFERROR(_xlfn.XLOOKUP(1,(tblPrices[Prefix]=$AC129)*(tblPrices[Product Code]="Mammogram"),tblPrices[Price]),0),
    0
)
+
IF(ISNUMBER(SEARCH("PSA",$U129)),
    IFERROR(_xlfn.XLOOKUP(1,(tblPrices[Prefix]=$AC129)*(tblPrices[Product Code]="PSA"),tblPrices[Price]),0),
    0
)</f>
        <v>724.5</v>
      </c>
      <c r="W129" t="s">
        <v>629</v>
      </c>
      <c r="X129" t="s">
        <v>1048</v>
      </c>
      <c r="Y129"/>
      <c r="Z129">
        <v>13188854</v>
      </c>
      <c r="AA129" t="s">
        <v>1083</v>
      </c>
      <c r="AB129" s="1" t="str" cm="1">
        <f t="array" ref="AB129" xml:space="preserve"> _xlfn.LET(_xlpm.pc, UPPER(TRIM(M129)), LEFT(_xlpm.pc, MIN(FIND({0,1,2,3,4,5,6,7,8,9}, _xlpm.pc&amp;"0123456789"))-1))</f>
        <v>BR</v>
      </c>
      <c r="AC129" s="1" t="str">
        <f t="shared" si="2"/>
        <v>M01</v>
      </c>
      <c r="AD129" s="1" t="str">
        <f>VLOOKUP(AB129, postcode_table!A:B, 2, FALSE)</f>
        <v>Bromley</v>
      </c>
      <c r="AE129" s="1" t="str">
        <f>IFERROR(_xlfn.XLOOKUP(AC129, price_lookup_table!$C:$C, price_lookup_table!$B:$B), "")</f>
        <v>Self Pay</v>
      </c>
    </row>
    <row r="130" spans="1:31" ht="16.5" x14ac:dyDescent="0.25">
      <c r="A130" t="s">
        <v>389</v>
      </c>
      <c r="B130" s="36">
        <v>45705</v>
      </c>
      <c r="C130" s="36">
        <v>45673</v>
      </c>
      <c r="D130" t="s">
        <v>28</v>
      </c>
      <c r="E130" t="s">
        <v>29</v>
      </c>
      <c r="F130" t="s">
        <v>1783</v>
      </c>
      <c r="G130" t="s">
        <v>1784</v>
      </c>
      <c r="H130" t="s">
        <v>1785</v>
      </c>
      <c r="I130" t="s">
        <v>1786</v>
      </c>
      <c r="J130"/>
      <c r="K130"/>
      <c r="L130"/>
      <c r="M130" t="s">
        <v>762</v>
      </c>
      <c r="N130" t="s">
        <v>1177</v>
      </c>
      <c r="O130" t="s">
        <v>387</v>
      </c>
      <c r="P130" s="36">
        <v>22500</v>
      </c>
      <c r="Q130" s="45">
        <f t="shared" si="3"/>
        <v>63</v>
      </c>
      <c r="R130" t="s">
        <v>952</v>
      </c>
      <c r="S130">
        <v>447713063788</v>
      </c>
      <c r="T130" t="s">
        <v>35</v>
      </c>
      <c r="U130"/>
      <c r="V130" s="39" cm="1">
        <f t="array" ref="V130">IFERROR(
    _xlfn.XLOOKUP(1,
        (tblPrices[Prefix]=$AC130)*(tblPrices[Product Code]=$T130),
        tblPrices[Price]
    ),
    0
)
+
IF(ISNUMBER(SEARCH("Mammogram",$U130)),
    IFERROR(_xlfn.XLOOKUP(1,(tblPrices[Prefix]=$AC130)*(tblPrices[Product Code]="Mammogram"),tblPrices[Price]),0),
    0
)
+
IF(ISNUMBER(SEARCH("PSA",$U130)),
    IFERROR(_xlfn.XLOOKUP(1,(tblPrices[Prefix]=$AC130)*(tblPrices[Product Code]="PSA"),tblPrices[Price]),0),
    0
)</f>
        <v>724.5</v>
      </c>
      <c r="W130" t="s">
        <v>629</v>
      </c>
      <c r="X130" t="s">
        <v>1051</v>
      </c>
      <c r="Y130"/>
      <c r="Z130">
        <v>10829471</v>
      </c>
      <c r="AA130" t="s">
        <v>1083</v>
      </c>
      <c r="AB130" s="1" t="str" cm="1">
        <f t="array" ref="AB130" xml:space="preserve"> _xlfn.LET(_xlpm.pc, UPPER(TRIM(M130)), LEFT(_xlpm.pc, MIN(FIND({0,1,2,3,4,5,6,7,8,9}, _xlpm.pc&amp;"0123456789"))-1))</f>
        <v>MK</v>
      </c>
      <c r="AC130" s="1" t="str">
        <f t="shared" ref="AC130:AC186" si="4">LEFT(AA130, 3)</f>
        <v>M01</v>
      </c>
      <c r="AD130" s="1" t="str">
        <f>VLOOKUP(AB130, postcode_table!A:B, 2, FALSE)</f>
        <v>Milton Keynes</v>
      </c>
      <c r="AE130" s="1" t="str">
        <f>IFERROR(_xlfn.XLOOKUP(AC130, price_lookup_table!$C:$C, price_lookup_table!$B:$B), "")</f>
        <v>Self Pay</v>
      </c>
    </row>
    <row r="131" spans="1:31" ht="16.5" x14ac:dyDescent="0.25">
      <c r="A131" t="s">
        <v>645</v>
      </c>
      <c r="B131" s="36">
        <v>45706</v>
      </c>
      <c r="C131" s="36">
        <v>45692</v>
      </c>
      <c r="D131" t="s">
        <v>28</v>
      </c>
      <c r="E131" t="s">
        <v>29</v>
      </c>
      <c r="F131" t="s">
        <v>1787</v>
      </c>
      <c r="G131" t="s">
        <v>1788</v>
      </c>
      <c r="H131" t="s">
        <v>1789</v>
      </c>
      <c r="I131" t="s">
        <v>1749</v>
      </c>
      <c r="J131"/>
      <c r="K131"/>
      <c r="L131"/>
      <c r="M131" t="s">
        <v>672</v>
      </c>
      <c r="N131" t="s">
        <v>1176</v>
      </c>
      <c r="O131" t="s">
        <v>387</v>
      </c>
      <c r="P131" s="36">
        <v>25801</v>
      </c>
      <c r="Q131" s="45">
        <f t="shared" si="3"/>
        <v>54</v>
      </c>
      <c r="R131" t="s">
        <v>866</v>
      </c>
      <c r="S131">
        <v>447540725471</v>
      </c>
      <c r="T131" t="s">
        <v>35</v>
      </c>
      <c r="U131"/>
      <c r="V131" s="39" cm="1">
        <f t="array" ref="V131">IFERROR(
    _xlfn.XLOOKUP(1,
        (tblPrices[Prefix]=$AC131)*(tblPrices[Product Code]=$T131),
        tblPrices[Price]
    ),
    0
)
+
IF(ISNUMBER(SEARCH("Mammogram",$U131)),
    IFERROR(_xlfn.XLOOKUP(1,(tblPrices[Prefix]=$AC131)*(tblPrices[Product Code]="Mammogram"),tblPrices[Price]),0),
    0
)
+
IF(ISNUMBER(SEARCH("PSA",$U131)),
    IFERROR(_xlfn.XLOOKUP(1,(tblPrices[Prefix]=$AC131)*(tblPrices[Product Code]="PSA"),tblPrices[Price]),0),
    0
)</f>
        <v>543</v>
      </c>
      <c r="W131" t="s">
        <v>629</v>
      </c>
      <c r="X131" t="s">
        <v>1048</v>
      </c>
      <c r="Y131"/>
      <c r="Z131">
        <v>22043226</v>
      </c>
      <c r="AA131" t="s">
        <v>1088</v>
      </c>
      <c r="AB131" s="1" t="str" cm="1">
        <f t="array" ref="AB131" xml:space="preserve"> _xlfn.LET(_xlpm.pc, UPPER(TRIM(M131)), LEFT(_xlpm.pc, MIN(FIND({0,1,2,3,4,5,6,7,8,9}, _xlpm.pc&amp;"0123456789"))-1))</f>
        <v>AB</v>
      </c>
      <c r="AC131" s="1" t="str">
        <f t="shared" si="4"/>
        <v>AXA</v>
      </c>
      <c r="AD131" s="1" t="str">
        <f>VLOOKUP(AB131, postcode_table!A:B, 2, FALSE)</f>
        <v>Aberdeen</v>
      </c>
      <c r="AE131" s="1" t="str">
        <f>IFERROR(_xlfn.XLOOKUP(AC131, price_lookup_table!$C:$C, price_lookup_table!$B:$B), "")</f>
        <v>Self Pay</v>
      </c>
    </row>
    <row r="132" spans="1:31" ht="16.5" x14ac:dyDescent="0.25">
      <c r="A132" t="s">
        <v>72</v>
      </c>
      <c r="B132" s="36">
        <v>45706</v>
      </c>
      <c r="C132" s="36">
        <v>45672</v>
      </c>
      <c r="D132" t="s">
        <v>28</v>
      </c>
      <c r="E132" t="s">
        <v>29</v>
      </c>
      <c r="F132" t="s">
        <v>1790</v>
      </c>
      <c r="G132" t="s">
        <v>1791</v>
      </c>
      <c r="H132" t="s">
        <v>1792</v>
      </c>
      <c r="I132" t="s">
        <v>1383</v>
      </c>
      <c r="J132"/>
      <c r="K132"/>
      <c r="L132"/>
      <c r="M132" t="s">
        <v>680</v>
      </c>
      <c r="N132" t="s">
        <v>1175</v>
      </c>
      <c r="O132" t="s">
        <v>387</v>
      </c>
      <c r="P132" s="36">
        <v>33925</v>
      </c>
      <c r="Q132" s="45">
        <f t="shared" ref="Q132:Q186" si="5">DATEDIF(P132,B132,"Y")</f>
        <v>32</v>
      </c>
      <c r="R132" t="s">
        <v>872</v>
      </c>
      <c r="S132">
        <v>447879820316</v>
      </c>
      <c r="T132" t="s">
        <v>35</v>
      </c>
      <c r="U132"/>
      <c r="V132" s="39" cm="1">
        <f t="array" ref="V132">IFERROR(
    _xlfn.XLOOKUP(1,
        (tblPrices[Prefix]=$AC132)*(tblPrices[Product Code]=$T132),
        tblPrices[Price]
    ),
    0
)
+
IF(ISNUMBER(SEARCH("Mammogram",$U132)),
    IFERROR(_xlfn.XLOOKUP(1,(tblPrices[Prefix]=$AC132)*(tblPrices[Product Code]="Mammogram"),tblPrices[Price]),0),
    0
)
+
IF(ISNUMBER(SEARCH("PSA",$U132)),
    IFERROR(_xlfn.XLOOKUP(1,(tblPrices[Prefix]=$AC132)*(tblPrices[Product Code]="PSA"),tblPrices[Price]),0),
    0
)</f>
        <v>543</v>
      </c>
      <c r="W132" t="s">
        <v>629</v>
      </c>
      <c r="X132" t="s">
        <v>1063</v>
      </c>
      <c r="Y132"/>
      <c r="Z132">
        <v>22017399</v>
      </c>
      <c r="AA132" t="s">
        <v>1082</v>
      </c>
      <c r="AB132" s="1" t="str" cm="1">
        <f t="array" ref="AB132" xml:space="preserve"> _xlfn.LET(_xlpm.pc, UPPER(TRIM(M132)), LEFT(_xlpm.pc, MIN(FIND({0,1,2,3,4,5,6,7,8,9}, _xlpm.pc&amp;"0123456789"))-1))</f>
        <v>AL</v>
      </c>
      <c r="AC132" s="1" t="str">
        <f t="shared" si="4"/>
        <v>AXA</v>
      </c>
      <c r="AD132" s="1" t="str">
        <f>VLOOKUP(AB132, postcode_table!A:B, 2, FALSE)</f>
        <v>St Albans</v>
      </c>
      <c r="AE132" s="1" t="str">
        <f>IFERROR(_xlfn.XLOOKUP(AC132, price_lookup_table!$C:$C, price_lookup_table!$B:$B), "")</f>
        <v>Self Pay</v>
      </c>
    </row>
    <row r="133" spans="1:31" ht="16.5" x14ac:dyDescent="0.25">
      <c r="A133" t="s">
        <v>42</v>
      </c>
      <c r="B133" s="36">
        <v>45706</v>
      </c>
      <c r="C133" s="36">
        <v>45696</v>
      </c>
      <c r="D133" t="s">
        <v>28</v>
      </c>
      <c r="E133" t="s">
        <v>29</v>
      </c>
      <c r="F133" t="s">
        <v>1793</v>
      </c>
      <c r="G133" t="s">
        <v>1794</v>
      </c>
      <c r="H133" t="s">
        <v>1795</v>
      </c>
      <c r="I133" t="s">
        <v>1796</v>
      </c>
      <c r="J133"/>
      <c r="K133"/>
      <c r="L133"/>
      <c r="M133" t="s">
        <v>701</v>
      </c>
      <c r="N133" t="s">
        <v>1174</v>
      </c>
      <c r="O133" t="s">
        <v>387</v>
      </c>
      <c r="P133" s="36">
        <v>29717</v>
      </c>
      <c r="Q133" s="45">
        <f t="shared" si="5"/>
        <v>43</v>
      </c>
      <c r="R133" t="s">
        <v>891</v>
      </c>
      <c r="S133">
        <v>447867607227</v>
      </c>
      <c r="T133" t="s">
        <v>30</v>
      </c>
      <c r="U133"/>
      <c r="V133" s="39" cm="1">
        <f t="array" ref="V133">IFERROR(
    _xlfn.XLOOKUP(1,
        (tblPrices[Prefix]=$AC133)*(tblPrices[Product Code]=$T133),
        tblPrices[Price]
    ),
    0
)
+
IF(ISNUMBER(SEARCH("Mammogram",$U133)),
    IFERROR(_xlfn.XLOOKUP(1,(tblPrices[Prefix]=$AC133)*(tblPrices[Product Code]="Mammogram"),tblPrices[Price]),0),
    0
)
+
IF(ISNUMBER(SEARCH("PSA",$U133)),
    IFERROR(_xlfn.XLOOKUP(1,(tblPrices[Prefix]=$AC133)*(tblPrices[Product Code]="PSA"),tblPrices[Price]),0),
    0
)</f>
        <v>728</v>
      </c>
      <c r="W133" t="s">
        <v>629</v>
      </c>
      <c r="X133" t="s">
        <v>1056</v>
      </c>
      <c r="Y133"/>
      <c r="Z133">
        <v>22048931</v>
      </c>
      <c r="AA133" t="s">
        <v>1093</v>
      </c>
      <c r="AB133" s="1" t="str" cm="1">
        <f t="array" ref="AB133" xml:space="preserve"> _xlfn.LET(_xlpm.pc, UPPER(TRIM(M133)), LEFT(_xlpm.pc, MIN(FIND({0,1,2,3,4,5,6,7,8,9}, _xlpm.pc&amp;"0123456789"))-1))</f>
        <v>BR</v>
      </c>
      <c r="AC133" s="1" t="str">
        <f t="shared" si="4"/>
        <v>AXA</v>
      </c>
      <c r="AD133" s="1" t="str">
        <f>VLOOKUP(AB133, postcode_table!A:B, 2, FALSE)</f>
        <v>Bromley</v>
      </c>
      <c r="AE133" s="1" t="str">
        <f>IFERROR(_xlfn.XLOOKUP(AC133, price_lookup_table!$C:$C, price_lookup_table!$B:$B), "")</f>
        <v>Self Pay</v>
      </c>
    </row>
    <row r="134" spans="1:31" ht="16.5" x14ac:dyDescent="0.25">
      <c r="A134" t="s">
        <v>659</v>
      </c>
      <c r="B134" s="36">
        <v>45706</v>
      </c>
      <c r="C134" s="36">
        <v>45672</v>
      </c>
      <c r="D134" t="s">
        <v>28</v>
      </c>
      <c r="E134" t="s">
        <v>29</v>
      </c>
      <c r="F134" t="s">
        <v>1797</v>
      </c>
      <c r="G134" t="s">
        <v>1798</v>
      </c>
      <c r="H134" t="s">
        <v>1799</v>
      </c>
      <c r="I134" t="s">
        <v>1800</v>
      </c>
      <c r="J134"/>
      <c r="K134"/>
      <c r="L134"/>
      <c r="M134" t="s">
        <v>706</v>
      </c>
      <c r="N134" t="s">
        <v>1173</v>
      </c>
      <c r="O134" t="s">
        <v>388</v>
      </c>
      <c r="P134" s="36">
        <v>35434</v>
      </c>
      <c r="Q134" s="45">
        <f t="shared" si="5"/>
        <v>28</v>
      </c>
      <c r="R134" t="s">
        <v>896</v>
      </c>
      <c r="S134">
        <v>447414529052</v>
      </c>
      <c r="T134" t="s">
        <v>35</v>
      </c>
      <c r="U134"/>
      <c r="V134" s="39" cm="1">
        <f t="array" ref="V134">IFERROR(
    _xlfn.XLOOKUP(1,
        (tblPrices[Prefix]=$AC134)*(tblPrices[Product Code]=$T134),
        tblPrices[Price]
    ),
    0
)
+
IF(ISNUMBER(SEARCH("Mammogram",$U134)),
    IFERROR(_xlfn.XLOOKUP(1,(tblPrices[Prefix]=$AC134)*(tblPrices[Product Code]="Mammogram"),tblPrices[Price]),0),
    0
)
+
IF(ISNUMBER(SEARCH("PSA",$U134)),
    IFERROR(_xlfn.XLOOKUP(1,(tblPrices[Prefix]=$AC134)*(tblPrices[Product Code]="PSA"),tblPrices[Price]),0),
    0
)</f>
        <v>543</v>
      </c>
      <c r="W134" t="s">
        <v>629</v>
      </c>
      <c r="X134" t="s">
        <v>1049</v>
      </c>
      <c r="Y134"/>
      <c r="Z134">
        <v>22017157</v>
      </c>
      <c r="AA134" t="s">
        <v>1082</v>
      </c>
      <c r="AB134" s="1" t="str" cm="1">
        <f t="array" ref="AB134" xml:space="preserve"> _xlfn.LET(_xlpm.pc, UPPER(TRIM(M134)), LEFT(_xlpm.pc, MIN(FIND({0,1,2,3,4,5,6,7,8,9}, _xlpm.pc&amp;"0123456789"))-1))</f>
        <v>CM</v>
      </c>
      <c r="AC134" s="1" t="str">
        <f t="shared" si="4"/>
        <v>AXA</v>
      </c>
      <c r="AD134" s="1" t="str">
        <f>VLOOKUP(AB134, postcode_table!A:B, 2, FALSE)</f>
        <v>Chelmsford</v>
      </c>
      <c r="AE134" s="1" t="str">
        <f>IFERROR(_xlfn.XLOOKUP(AC134, price_lookup_table!$C:$C, price_lookup_table!$B:$B), "")</f>
        <v>Self Pay</v>
      </c>
    </row>
    <row r="135" spans="1:31" ht="16.5" x14ac:dyDescent="0.25">
      <c r="A135" t="s">
        <v>659</v>
      </c>
      <c r="B135" s="36">
        <v>45706</v>
      </c>
      <c r="C135" s="36">
        <v>45672</v>
      </c>
      <c r="D135" t="s">
        <v>28</v>
      </c>
      <c r="E135" t="s">
        <v>29</v>
      </c>
      <c r="F135" t="s">
        <v>1801</v>
      </c>
      <c r="G135" t="s">
        <v>1802</v>
      </c>
      <c r="H135" t="s">
        <v>1803</v>
      </c>
      <c r="I135" t="s">
        <v>1804</v>
      </c>
      <c r="J135"/>
      <c r="K135"/>
      <c r="L135"/>
      <c r="M135" t="s">
        <v>706</v>
      </c>
      <c r="N135" t="s">
        <v>1172</v>
      </c>
      <c r="O135" t="s">
        <v>387</v>
      </c>
      <c r="P135" s="36">
        <v>30508</v>
      </c>
      <c r="Q135" s="45">
        <f t="shared" si="5"/>
        <v>41</v>
      </c>
      <c r="R135" t="s">
        <v>897</v>
      </c>
      <c r="S135">
        <v>447919911565</v>
      </c>
      <c r="T135" t="s">
        <v>35</v>
      </c>
      <c r="U135"/>
      <c r="V135" s="39" cm="1">
        <f t="array" ref="V135">IFERROR(
    _xlfn.XLOOKUP(1,
        (tblPrices[Prefix]=$AC135)*(tblPrices[Product Code]=$T135),
        tblPrices[Price]
    ),
    0
)
+
IF(ISNUMBER(SEARCH("Mammogram",$U135)),
    IFERROR(_xlfn.XLOOKUP(1,(tblPrices[Prefix]=$AC135)*(tblPrices[Product Code]="Mammogram"),tblPrices[Price]),0),
    0
)
+
IF(ISNUMBER(SEARCH("PSA",$U135)),
    IFERROR(_xlfn.XLOOKUP(1,(tblPrices[Prefix]=$AC135)*(tblPrices[Product Code]="PSA"),tblPrices[Price]),0),
    0
)</f>
        <v>543</v>
      </c>
      <c r="W135" t="s">
        <v>629</v>
      </c>
      <c r="X135" t="s">
        <v>1071</v>
      </c>
      <c r="Y135"/>
      <c r="Z135">
        <v>17649328</v>
      </c>
      <c r="AA135" t="s">
        <v>1082</v>
      </c>
      <c r="AB135" s="1" t="str" cm="1">
        <f t="array" ref="AB135" xml:space="preserve"> _xlfn.LET(_xlpm.pc, UPPER(TRIM(M135)), LEFT(_xlpm.pc, MIN(FIND({0,1,2,3,4,5,6,7,8,9}, _xlpm.pc&amp;"0123456789"))-1))</f>
        <v>CM</v>
      </c>
      <c r="AC135" s="1" t="str">
        <f t="shared" si="4"/>
        <v>AXA</v>
      </c>
      <c r="AD135" s="1" t="str">
        <f>VLOOKUP(AB135, postcode_table!A:B, 2, FALSE)</f>
        <v>Chelmsford</v>
      </c>
      <c r="AE135" s="1" t="str">
        <f>IFERROR(_xlfn.XLOOKUP(AC135, price_lookup_table!$C:$C, price_lookup_table!$B:$B), "")</f>
        <v>Self Pay</v>
      </c>
    </row>
    <row r="136" spans="1:31" ht="16.5" x14ac:dyDescent="0.25">
      <c r="A136" t="s">
        <v>72</v>
      </c>
      <c r="B136" s="36">
        <v>45706</v>
      </c>
      <c r="C136" s="36">
        <v>45691</v>
      </c>
      <c r="D136" t="s">
        <v>28</v>
      </c>
      <c r="E136" t="s">
        <v>29</v>
      </c>
      <c r="F136" t="s">
        <v>1805</v>
      </c>
      <c r="G136" t="s">
        <v>1806</v>
      </c>
      <c r="H136" t="s">
        <v>1807</v>
      </c>
      <c r="I136" t="s">
        <v>1808</v>
      </c>
      <c r="J136"/>
      <c r="K136"/>
      <c r="L136"/>
      <c r="M136" t="s">
        <v>850</v>
      </c>
      <c r="N136" t="s">
        <v>1171</v>
      </c>
      <c r="O136" t="s">
        <v>388</v>
      </c>
      <c r="P136" s="36">
        <v>34766</v>
      </c>
      <c r="Q136" s="45">
        <f t="shared" si="5"/>
        <v>29</v>
      </c>
      <c r="R136" t="s">
        <v>1044</v>
      </c>
      <c r="S136">
        <v>447545241381</v>
      </c>
      <c r="T136" t="s">
        <v>35</v>
      </c>
      <c r="U136"/>
      <c r="V136" s="39" cm="1">
        <f t="array" ref="V136">IFERROR(
    _xlfn.XLOOKUP(1,
        (tblPrices[Prefix]=$AC136)*(tblPrices[Product Code]=$T136),
        tblPrices[Price]
    ),
    0
)
+
IF(ISNUMBER(SEARCH("Mammogram",$U136)),
    IFERROR(_xlfn.XLOOKUP(1,(tblPrices[Prefix]=$AC136)*(tblPrices[Product Code]="Mammogram"),tblPrices[Price]),0),
    0
)
+
IF(ISNUMBER(SEARCH("PSA",$U136)),
    IFERROR(_xlfn.XLOOKUP(1,(tblPrices[Prefix]=$AC136)*(tblPrices[Product Code]="PSA"),tblPrices[Price]),0),
    0
)</f>
        <v>543</v>
      </c>
      <c r="W136" t="s">
        <v>629</v>
      </c>
      <c r="X136" t="s">
        <v>1065</v>
      </c>
      <c r="Y136"/>
      <c r="Z136">
        <v>20067777</v>
      </c>
      <c r="AA136" t="s">
        <v>1087</v>
      </c>
      <c r="AB136" s="1" t="str" cm="1">
        <f t="array" ref="AB136" xml:space="preserve"> _xlfn.LET(_xlpm.pc, UPPER(TRIM(M136)), LEFT(_xlpm.pc, MIN(FIND({0,1,2,3,4,5,6,7,8,9}, _xlpm.pc&amp;"0123456789"))-1))</f>
        <v>WD</v>
      </c>
      <c r="AC136" s="1" t="str">
        <f t="shared" si="4"/>
        <v>AXA</v>
      </c>
      <c r="AD136" s="1" t="str">
        <f>VLOOKUP(AB136, postcode_table!A:B, 2, FALSE)</f>
        <v>Watford</v>
      </c>
      <c r="AE136" s="1" t="str">
        <f>IFERROR(_xlfn.XLOOKUP(AC136, price_lookup_table!$C:$C, price_lookup_table!$B:$B), "")</f>
        <v>Self Pay</v>
      </c>
    </row>
    <row r="137" spans="1:31" ht="16.5" x14ac:dyDescent="0.25">
      <c r="A137" t="s">
        <v>647</v>
      </c>
      <c r="B137" s="36">
        <v>45706</v>
      </c>
      <c r="C137" s="36">
        <v>45699</v>
      </c>
      <c r="D137" t="s">
        <v>28</v>
      </c>
      <c r="E137" t="s">
        <v>29</v>
      </c>
      <c r="F137" t="s">
        <v>1809</v>
      </c>
      <c r="G137" t="s">
        <v>1810</v>
      </c>
      <c r="H137" t="s">
        <v>1811</v>
      </c>
      <c r="I137" t="s">
        <v>1451</v>
      </c>
      <c r="J137"/>
      <c r="K137"/>
      <c r="L137"/>
      <c r="M137" t="s">
        <v>693</v>
      </c>
      <c r="N137" t="s">
        <v>1170</v>
      </c>
      <c r="O137" t="s">
        <v>387</v>
      </c>
      <c r="P137" s="36">
        <v>25136</v>
      </c>
      <c r="Q137" s="45">
        <f t="shared" si="5"/>
        <v>56</v>
      </c>
      <c r="R137" t="s">
        <v>882</v>
      </c>
      <c r="S137">
        <v>447901885349</v>
      </c>
      <c r="T137" t="s">
        <v>197</v>
      </c>
      <c r="U137"/>
      <c r="V137" s="39" cm="1">
        <f t="array" ref="V137">IFERROR(
    _xlfn.XLOOKUP(1,
        (tblPrices[Prefix]=$AC137)*(tblPrices[Product Code]=$T137),
        tblPrices[Price]
    ),
    0
)
+
IF(ISNUMBER(SEARCH("Mammogram",$U137)),
    IFERROR(_xlfn.XLOOKUP(1,(tblPrices[Prefix]=$AC137)*(tblPrices[Product Code]="Mammogram"),tblPrices[Price]),0),
    0
)
+
IF(ISNUMBER(SEARCH("PSA",$U137)),
    IFERROR(_xlfn.XLOOKUP(1,(tblPrices[Prefix]=$AC137)*(tblPrices[Product Code]="PSA"),tblPrices[Price]),0),
    0
)</f>
        <v>246</v>
      </c>
      <c r="W137" t="s">
        <v>629</v>
      </c>
      <c r="X137" t="s">
        <v>1059</v>
      </c>
      <c r="Y137"/>
      <c r="Z137">
        <v>22051473</v>
      </c>
      <c r="AA137" t="s">
        <v>1081</v>
      </c>
      <c r="AB137" s="1" t="str" cm="1">
        <f t="array" ref="AB137" xml:space="preserve"> _xlfn.LET(_xlpm.pc, UPPER(TRIM(M137)), LEFT(_xlpm.pc, MIN(FIND({0,1,2,3,4,5,6,7,8,9}, _xlpm.pc&amp;"0123456789"))-1))</f>
        <v>BA</v>
      </c>
      <c r="AC137" s="1" t="str">
        <f t="shared" si="4"/>
        <v>M01</v>
      </c>
      <c r="AD137" s="1" t="str">
        <f>VLOOKUP(AB137, postcode_table!A:B, 2, FALSE)</f>
        <v>Bath</v>
      </c>
      <c r="AE137" s="1" t="str">
        <f>IFERROR(_xlfn.XLOOKUP(AC137, price_lookup_table!$C:$C, price_lookup_table!$B:$B), "")</f>
        <v>Self Pay</v>
      </c>
    </row>
    <row r="138" spans="1:31" ht="16.5" x14ac:dyDescent="0.25">
      <c r="A138" t="s">
        <v>659</v>
      </c>
      <c r="B138" s="36">
        <v>45706</v>
      </c>
      <c r="C138" s="36">
        <v>45670</v>
      </c>
      <c r="D138" t="s">
        <v>28</v>
      </c>
      <c r="E138" t="s">
        <v>29</v>
      </c>
      <c r="F138" t="s">
        <v>1812</v>
      </c>
      <c r="G138" t="s">
        <v>1813</v>
      </c>
      <c r="H138" t="s">
        <v>1814</v>
      </c>
      <c r="I138" t="s">
        <v>1815</v>
      </c>
      <c r="J138"/>
      <c r="K138"/>
      <c r="L138"/>
      <c r="M138" t="s">
        <v>705</v>
      </c>
      <c r="N138" t="s">
        <v>1169</v>
      </c>
      <c r="O138" t="s">
        <v>387</v>
      </c>
      <c r="P138" s="36">
        <v>17864</v>
      </c>
      <c r="Q138" s="45">
        <f t="shared" si="5"/>
        <v>76</v>
      </c>
      <c r="R138" t="s">
        <v>895</v>
      </c>
      <c r="S138">
        <v>447771834238</v>
      </c>
      <c r="T138" t="s">
        <v>35</v>
      </c>
      <c r="U138"/>
      <c r="V138" s="39" cm="1">
        <f t="array" ref="V138">IFERROR(
    _xlfn.XLOOKUP(1,
        (tblPrices[Prefix]=$AC138)*(tblPrices[Product Code]=$T138),
        tblPrices[Price]
    ),
    0
)
+
IF(ISNUMBER(SEARCH("Mammogram",$U138)),
    IFERROR(_xlfn.XLOOKUP(1,(tblPrices[Prefix]=$AC138)*(tblPrices[Product Code]="Mammogram"),tblPrices[Price]),0),
    0
)
+
IF(ISNUMBER(SEARCH("PSA",$U138)),
    IFERROR(_xlfn.XLOOKUP(1,(tblPrices[Prefix]=$AC138)*(tblPrices[Product Code]="PSA"),tblPrices[Price]),0),
    0
)</f>
        <v>724.5</v>
      </c>
      <c r="W138" t="s">
        <v>629</v>
      </c>
      <c r="X138" t="s">
        <v>1048</v>
      </c>
      <c r="Y138"/>
      <c r="Z138">
        <v>11361455</v>
      </c>
      <c r="AA138" t="s">
        <v>1081</v>
      </c>
      <c r="AB138" s="1" t="str" cm="1">
        <f t="array" ref="AB138" xml:space="preserve"> _xlfn.LET(_xlpm.pc, UPPER(TRIM(M138)), LEFT(_xlpm.pc, MIN(FIND({0,1,2,3,4,5,6,7,8,9}, _xlpm.pc&amp;"0123456789"))-1))</f>
        <v>CB</v>
      </c>
      <c r="AC138" s="1" t="str">
        <f t="shared" si="4"/>
        <v>M01</v>
      </c>
      <c r="AD138" s="1" t="str">
        <f>VLOOKUP(AB138, postcode_table!A:B, 2, FALSE)</f>
        <v>Cambridge</v>
      </c>
      <c r="AE138" s="1" t="str">
        <f>IFERROR(_xlfn.XLOOKUP(AC138, price_lookup_table!$C:$C, price_lookup_table!$B:$B), "")</f>
        <v>Self Pay</v>
      </c>
    </row>
    <row r="139" spans="1:31" ht="16.5" x14ac:dyDescent="0.25">
      <c r="A139" t="s">
        <v>72</v>
      </c>
      <c r="B139" s="36">
        <v>45706</v>
      </c>
      <c r="C139" s="36">
        <v>45687</v>
      </c>
      <c r="D139" t="s">
        <v>28</v>
      </c>
      <c r="E139" t="s">
        <v>29</v>
      </c>
      <c r="F139" t="s">
        <v>1816</v>
      </c>
      <c r="G139" t="s">
        <v>1817</v>
      </c>
      <c r="H139" t="s">
        <v>1818</v>
      </c>
      <c r="I139" t="s">
        <v>1819</v>
      </c>
      <c r="J139"/>
      <c r="K139"/>
      <c r="L139"/>
      <c r="M139" t="s">
        <v>782</v>
      </c>
      <c r="N139" t="s">
        <v>1168</v>
      </c>
      <c r="O139" t="s">
        <v>387</v>
      </c>
      <c r="P139" s="36">
        <v>23319</v>
      </c>
      <c r="Q139" s="45">
        <f t="shared" si="5"/>
        <v>61</v>
      </c>
      <c r="R139" t="s">
        <v>972</v>
      </c>
      <c r="S139">
        <v>447835799066</v>
      </c>
      <c r="T139" t="s">
        <v>197</v>
      </c>
      <c r="U139"/>
      <c r="V139" s="39" cm="1">
        <f t="array" ref="V139">IFERROR(
    _xlfn.XLOOKUP(1,
        (tblPrices[Prefix]=$AC139)*(tblPrices[Product Code]=$T139),
        tblPrices[Price]
    ),
    0
)
+
IF(ISNUMBER(SEARCH("Mammogram",$U139)),
    IFERROR(_xlfn.XLOOKUP(1,(tblPrices[Prefix]=$AC139)*(tblPrices[Product Code]="Mammogram"),tblPrices[Price]),0),
    0
)
+
IF(ISNUMBER(SEARCH("PSA",$U139)),
    IFERROR(_xlfn.XLOOKUP(1,(tblPrices[Prefix]=$AC139)*(tblPrices[Product Code]="PSA"),tblPrices[Price]),0),
    0
)</f>
        <v>246</v>
      </c>
      <c r="W139" t="s">
        <v>629</v>
      </c>
      <c r="X139" t="s">
        <v>1063</v>
      </c>
      <c r="Y139"/>
      <c r="Z139">
        <v>22037333</v>
      </c>
      <c r="AA139" t="s">
        <v>1081</v>
      </c>
      <c r="AB139" s="1" t="str" cm="1">
        <f t="array" ref="AB139" xml:space="preserve"> _xlfn.LET(_xlpm.pc, UPPER(TRIM(M139)), LEFT(_xlpm.pc, MIN(FIND({0,1,2,3,4,5,6,7,8,9}, _xlpm.pc&amp;"0123456789"))-1))</f>
        <v>NW</v>
      </c>
      <c r="AC139" s="1" t="str">
        <f t="shared" si="4"/>
        <v>M01</v>
      </c>
      <c r="AD139" s="1" t="str">
        <f>VLOOKUP(AB139, postcode_table!A:B, 2, FALSE)</f>
        <v>North West London</v>
      </c>
      <c r="AE139" s="1" t="str">
        <f>IFERROR(_xlfn.XLOOKUP(AC139, price_lookup_table!$C:$C, price_lookup_table!$B:$B), "")</f>
        <v>Self Pay</v>
      </c>
    </row>
    <row r="140" spans="1:31" ht="16.5" x14ac:dyDescent="0.25">
      <c r="A140" t="s">
        <v>42</v>
      </c>
      <c r="B140" s="36">
        <v>45707</v>
      </c>
      <c r="C140" s="36">
        <v>45663</v>
      </c>
      <c r="D140" t="s">
        <v>28</v>
      </c>
      <c r="E140" t="s">
        <v>29</v>
      </c>
      <c r="F140" t="s">
        <v>1820</v>
      </c>
      <c r="G140" t="s">
        <v>1481</v>
      </c>
      <c r="H140" t="s">
        <v>1821</v>
      </c>
      <c r="I140" t="s">
        <v>1822</v>
      </c>
      <c r="J140"/>
      <c r="K140"/>
      <c r="L140"/>
      <c r="M140" t="s">
        <v>828</v>
      </c>
      <c r="N140" t="s">
        <v>1167</v>
      </c>
      <c r="O140" t="s">
        <v>387</v>
      </c>
      <c r="P140" s="36">
        <v>17646</v>
      </c>
      <c r="Q140" s="45">
        <f t="shared" si="5"/>
        <v>76</v>
      </c>
      <c r="R140" t="s">
        <v>1022</v>
      </c>
      <c r="S140">
        <v>447751235077</v>
      </c>
      <c r="T140" t="s">
        <v>30</v>
      </c>
      <c r="U140"/>
      <c r="V140" s="39" cm="1">
        <f t="array" ref="V140">IFERROR(
    _xlfn.XLOOKUP(1,
        (tblPrices[Prefix]=$AC140)*(tblPrices[Product Code]=$T140),
        tblPrices[Price]
    ),
    0
)
+
IF(ISNUMBER(SEARCH("Mammogram",$U140)),
    IFERROR(_xlfn.XLOOKUP(1,(tblPrices[Prefix]=$AC140)*(tblPrices[Product Code]="Mammogram"),tblPrices[Price]),0),
    0
)
+
IF(ISNUMBER(SEARCH("PSA",$U140)),
    IFERROR(_xlfn.XLOOKUP(1,(tblPrices[Prefix]=$AC140)*(tblPrices[Product Code]="PSA"),tblPrices[Price]),0),
    0
)</f>
        <v>728</v>
      </c>
      <c r="W140" t="s">
        <v>629</v>
      </c>
      <c r="X140" t="s">
        <v>1054</v>
      </c>
      <c r="Y140"/>
      <c r="Z140">
        <v>22005566</v>
      </c>
      <c r="AA140" t="s">
        <v>1082</v>
      </c>
      <c r="AB140" s="1" t="str" cm="1">
        <f t="array" ref="AB140" xml:space="preserve"> _xlfn.LET(_xlpm.pc, UPPER(TRIM(M140)), LEFT(_xlpm.pc, MIN(FIND({0,1,2,3,4,5,6,7,8,9}, _xlpm.pc&amp;"0123456789"))-1))</f>
        <v>SW</v>
      </c>
      <c r="AC140" s="1" t="str">
        <f t="shared" si="4"/>
        <v>AXA</v>
      </c>
      <c r="AD140" s="1" t="str">
        <f>VLOOKUP(AB140, postcode_table!A:B, 2, FALSE)</f>
        <v>South West London</v>
      </c>
      <c r="AE140" s="1" t="str">
        <f>IFERROR(_xlfn.XLOOKUP(AC140, price_lookup_table!$C:$C, price_lookup_table!$B:$B), "")</f>
        <v>Self Pay</v>
      </c>
    </row>
    <row r="141" spans="1:31" ht="16.5" x14ac:dyDescent="0.25">
      <c r="A141" t="s">
        <v>651</v>
      </c>
      <c r="B141" s="36">
        <v>45708</v>
      </c>
      <c r="C141" s="36">
        <v>45680</v>
      </c>
      <c r="D141" t="s">
        <v>28</v>
      </c>
      <c r="E141" t="s">
        <v>29</v>
      </c>
      <c r="F141" t="s">
        <v>1823</v>
      </c>
      <c r="G141" t="s">
        <v>1824</v>
      </c>
      <c r="H141" t="s">
        <v>1825</v>
      </c>
      <c r="I141" t="s">
        <v>1826</v>
      </c>
      <c r="J141"/>
      <c r="K141"/>
      <c r="L141"/>
      <c r="M141" t="s">
        <v>682</v>
      </c>
      <c r="N141" t="s">
        <v>1166</v>
      </c>
      <c r="O141" t="s">
        <v>388</v>
      </c>
      <c r="P141" s="36">
        <v>36591</v>
      </c>
      <c r="Q141" s="45">
        <f t="shared" si="5"/>
        <v>24</v>
      </c>
      <c r="R141" t="s">
        <v>873</v>
      </c>
      <c r="S141">
        <v>447710231314</v>
      </c>
      <c r="T141" t="s">
        <v>35</v>
      </c>
      <c r="U141"/>
      <c r="V141" s="39" cm="1">
        <f t="array" ref="V141">IFERROR(
    _xlfn.XLOOKUP(1,
        (tblPrices[Prefix]=$AC141)*(tblPrices[Product Code]=$T141),
        tblPrices[Price]
    ),
    0
)
+
IF(ISNUMBER(SEARCH("Mammogram",$U141)),
    IFERROR(_xlfn.XLOOKUP(1,(tblPrices[Prefix]=$AC141)*(tblPrices[Product Code]="Mammogram"),tblPrices[Price]),0),
    0
)
+
IF(ISNUMBER(SEARCH("PSA",$U141)),
    IFERROR(_xlfn.XLOOKUP(1,(tblPrices[Prefix]=$AC141)*(tblPrices[Product Code]="PSA"),tblPrices[Price]),0),
    0
)</f>
        <v>543</v>
      </c>
      <c r="W141" t="s">
        <v>629</v>
      </c>
      <c r="X141" t="s">
        <v>1058</v>
      </c>
      <c r="Y141"/>
      <c r="Z141">
        <v>10216900</v>
      </c>
      <c r="AA141" t="s">
        <v>1089</v>
      </c>
      <c r="AB141" s="1" t="str" cm="1">
        <f t="array" ref="AB141" xml:space="preserve"> _xlfn.LET(_xlpm.pc, UPPER(TRIM(M141)), LEFT(_xlpm.pc, MIN(FIND({0,1,2,3,4,5,6,7,8,9}, _xlpm.pc&amp;"0123456789"))-1))</f>
        <v>B</v>
      </c>
      <c r="AC141" s="1" t="str">
        <f t="shared" si="4"/>
        <v>AXA</v>
      </c>
      <c r="AD141" s="1" t="str">
        <f>VLOOKUP(AB141, postcode_table!A:B, 2, FALSE)</f>
        <v>Birmingham</v>
      </c>
      <c r="AE141" s="1" t="str">
        <f>IFERROR(_xlfn.XLOOKUP(AC141, price_lookup_table!$C:$C, price_lookup_table!$B:$B), "")</f>
        <v>Self Pay</v>
      </c>
    </row>
    <row r="142" spans="1:31" ht="16.5" x14ac:dyDescent="0.25">
      <c r="A142" t="s">
        <v>389</v>
      </c>
      <c r="B142" s="36">
        <v>45708</v>
      </c>
      <c r="C142" s="36">
        <v>45673</v>
      </c>
      <c r="D142" t="s">
        <v>28</v>
      </c>
      <c r="E142" t="s">
        <v>29</v>
      </c>
      <c r="F142" t="s">
        <v>1827</v>
      </c>
      <c r="G142" t="s">
        <v>1828</v>
      </c>
      <c r="H142" t="s">
        <v>1829</v>
      </c>
      <c r="I142" t="s">
        <v>1830</v>
      </c>
      <c r="J142"/>
      <c r="K142"/>
      <c r="L142"/>
      <c r="M142" t="s">
        <v>765</v>
      </c>
      <c r="N142" t="s">
        <v>1165</v>
      </c>
      <c r="O142" t="s">
        <v>387</v>
      </c>
      <c r="P142" s="36">
        <v>27709</v>
      </c>
      <c r="Q142" s="45">
        <f t="shared" si="5"/>
        <v>49</v>
      </c>
      <c r="R142" t="s">
        <v>955</v>
      </c>
      <c r="S142" t="s">
        <v>956</v>
      </c>
      <c r="T142" t="s">
        <v>35</v>
      </c>
      <c r="U142"/>
      <c r="V142" s="39" cm="1">
        <f t="array" ref="V142">IFERROR(
    _xlfn.XLOOKUP(1,
        (tblPrices[Prefix]=$AC142)*(tblPrices[Product Code]=$T142),
        tblPrices[Price]
    ),
    0
)
+
IF(ISNUMBER(SEARCH("Mammogram",$U142)),
    IFERROR(_xlfn.XLOOKUP(1,(tblPrices[Prefix]=$AC142)*(tblPrices[Product Code]="Mammogram"),tblPrices[Price]),0),
    0
)
+
IF(ISNUMBER(SEARCH("PSA",$U142)),
    IFERROR(_xlfn.XLOOKUP(1,(tblPrices[Prefix]=$AC142)*(tblPrices[Product Code]="PSA"),tblPrices[Price]),0),
    0
)</f>
        <v>543</v>
      </c>
      <c r="W142" t="s">
        <v>629</v>
      </c>
      <c r="X142" t="s">
        <v>640</v>
      </c>
      <c r="Y142"/>
      <c r="Z142">
        <v>13063952</v>
      </c>
      <c r="AA142" t="s">
        <v>1082</v>
      </c>
      <c r="AB142" s="1" t="str" cm="1">
        <f t="array" ref="AB142" xml:space="preserve"> _xlfn.LET(_xlpm.pc, UPPER(TRIM(M142)), LEFT(_xlpm.pc, MIN(FIND({0,1,2,3,4,5,6,7,8,9}, _xlpm.pc&amp;"0123456789"))-1))</f>
        <v>MK</v>
      </c>
      <c r="AC142" s="1" t="str">
        <f t="shared" si="4"/>
        <v>AXA</v>
      </c>
      <c r="AD142" s="1" t="str">
        <f>VLOOKUP(AB142, postcode_table!A:B, 2, FALSE)</f>
        <v>Milton Keynes</v>
      </c>
      <c r="AE142" s="1" t="str">
        <f>IFERROR(_xlfn.XLOOKUP(AC142, price_lookup_table!$C:$C, price_lookup_table!$B:$B), "")</f>
        <v>Self Pay</v>
      </c>
    </row>
    <row r="143" spans="1:31" ht="16.5" x14ac:dyDescent="0.25">
      <c r="A143" t="s">
        <v>72</v>
      </c>
      <c r="B143" s="36">
        <v>45708</v>
      </c>
      <c r="C143" s="36">
        <v>45702</v>
      </c>
      <c r="D143" t="s">
        <v>28</v>
      </c>
      <c r="E143" t="s">
        <v>29</v>
      </c>
      <c r="F143" t="s">
        <v>1831</v>
      </c>
      <c r="G143" t="s">
        <v>1832</v>
      </c>
      <c r="H143" t="s">
        <v>1833</v>
      </c>
      <c r="I143" t="s">
        <v>1834</v>
      </c>
      <c r="J143"/>
      <c r="K143"/>
      <c r="L143"/>
      <c r="M143" t="s">
        <v>774</v>
      </c>
      <c r="N143" t="s">
        <v>1164</v>
      </c>
      <c r="O143" t="s">
        <v>387</v>
      </c>
      <c r="P143" s="36">
        <v>21271</v>
      </c>
      <c r="Q143" s="45">
        <f t="shared" si="5"/>
        <v>66</v>
      </c>
      <c r="R143" t="s">
        <v>963</v>
      </c>
      <c r="S143">
        <v>447545375059</v>
      </c>
      <c r="T143" t="s">
        <v>35</v>
      </c>
      <c r="U143"/>
      <c r="V143" s="39" cm="1">
        <f t="array" ref="V143">IFERROR(
    _xlfn.XLOOKUP(1,
        (tblPrices[Prefix]=$AC143)*(tblPrices[Product Code]=$T143),
        tblPrices[Price]
    ),
    0
)
+
IF(ISNUMBER(SEARCH("Mammogram",$U143)),
    IFERROR(_xlfn.XLOOKUP(1,(tblPrices[Prefix]=$AC143)*(tblPrices[Product Code]="Mammogram"),tblPrices[Price]),0),
    0
)
+
IF(ISNUMBER(SEARCH("PSA",$U143)),
    IFERROR(_xlfn.XLOOKUP(1,(tblPrices[Prefix]=$AC143)*(tblPrices[Product Code]="PSA"),tblPrices[Price]),0),
    0
)</f>
        <v>543</v>
      </c>
      <c r="W143" t="s">
        <v>629</v>
      </c>
      <c r="X143" t="s">
        <v>1075</v>
      </c>
      <c r="Y143"/>
      <c r="Z143">
        <v>22057367</v>
      </c>
      <c r="AA143" t="s">
        <v>1099</v>
      </c>
      <c r="AB143" s="1" t="str" cm="1">
        <f t="array" ref="AB143" xml:space="preserve"> _xlfn.LET(_xlpm.pc, UPPER(TRIM(M143)), LEFT(_xlpm.pc, MIN(FIND({0,1,2,3,4,5,6,7,8,9}, _xlpm.pc&amp;"0123456789"))-1))</f>
        <v>N</v>
      </c>
      <c r="AC143" s="1" t="str">
        <f t="shared" si="4"/>
        <v>AXA</v>
      </c>
      <c r="AD143" s="1" t="str">
        <f>VLOOKUP(AB143, postcode_table!A:B, 2, FALSE)</f>
        <v>North London</v>
      </c>
      <c r="AE143" s="1" t="str">
        <f>IFERROR(_xlfn.XLOOKUP(AC143, price_lookup_table!$C:$C, price_lookup_table!$B:$B), "")</f>
        <v>Self Pay</v>
      </c>
    </row>
    <row r="144" spans="1:31" ht="16.5" x14ac:dyDescent="0.25">
      <c r="A144" t="s">
        <v>655</v>
      </c>
      <c r="B144" s="36">
        <v>45708</v>
      </c>
      <c r="C144" s="36">
        <v>45678</v>
      </c>
      <c r="D144" t="s">
        <v>28</v>
      </c>
      <c r="E144" t="s">
        <v>29</v>
      </c>
      <c r="F144" t="s">
        <v>1835</v>
      </c>
      <c r="G144" t="s">
        <v>1836</v>
      </c>
      <c r="H144" t="s">
        <v>1837</v>
      </c>
      <c r="I144" t="s">
        <v>1838</v>
      </c>
      <c r="J144"/>
      <c r="K144"/>
      <c r="L144"/>
      <c r="M144" t="s">
        <v>787</v>
      </c>
      <c r="N144" t="s">
        <v>1163</v>
      </c>
      <c r="O144" t="s">
        <v>387</v>
      </c>
      <c r="P144" s="36">
        <v>32877</v>
      </c>
      <c r="Q144" s="45">
        <f t="shared" si="5"/>
        <v>35</v>
      </c>
      <c r="R144" t="s">
        <v>979</v>
      </c>
      <c r="S144">
        <v>447748288448</v>
      </c>
      <c r="T144" t="s">
        <v>35</v>
      </c>
      <c r="U144"/>
      <c r="V144" s="39" cm="1">
        <f t="array" ref="V144">IFERROR(
    _xlfn.XLOOKUP(1,
        (tblPrices[Prefix]=$AC144)*(tblPrices[Product Code]=$T144),
        tblPrices[Price]
    ),
    0
)
+
IF(ISNUMBER(SEARCH("Mammogram",$U144)),
    IFERROR(_xlfn.XLOOKUP(1,(tblPrices[Prefix]=$AC144)*(tblPrices[Product Code]="Mammogram"),tblPrices[Price]),0),
    0
)
+
IF(ISNUMBER(SEARCH("PSA",$U144)),
    IFERROR(_xlfn.XLOOKUP(1,(tblPrices[Prefix]=$AC144)*(tblPrices[Product Code]="PSA"),tblPrices[Price]),0),
    0
)</f>
        <v>543</v>
      </c>
      <c r="W144" t="s">
        <v>629</v>
      </c>
      <c r="X144" t="s">
        <v>637</v>
      </c>
      <c r="Y144"/>
      <c r="Z144">
        <v>22025578</v>
      </c>
      <c r="AA144" t="s">
        <v>1082</v>
      </c>
      <c r="AB144" s="1" t="str" cm="1">
        <f t="array" ref="AB144" xml:space="preserve"> _xlfn.LET(_xlpm.pc, UPPER(TRIM(M144)), LEFT(_xlpm.pc, MIN(FIND({0,1,2,3,4,5,6,7,8,9}, _xlpm.pc&amp;"0123456789"))-1))</f>
        <v>PO</v>
      </c>
      <c r="AC144" s="1" t="str">
        <f t="shared" si="4"/>
        <v>AXA</v>
      </c>
      <c r="AD144" s="1" t="str">
        <f>VLOOKUP(AB144, postcode_table!A:B, 2, FALSE)</f>
        <v>Portsmouth</v>
      </c>
      <c r="AE144" s="1" t="str">
        <f>IFERROR(_xlfn.XLOOKUP(AC144, price_lookup_table!$C:$C, price_lookup_table!$B:$B), "")</f>
        <v>Self Pay</v>
      </c>
    </row>
    <row r="145" spans="1:31" ht="16.5" x14ac:dyDescent="0.25">
      <c r="A145" t="s">
        <v>653</v>
      </c>
      <c r="B145" s="36">
        <v>45708</v>
      </c>
      <c r="C145" s="36">
        <v>45700</v>
      </c>
      <c r="D145" t="s">
        <v>28</v>
      </c>
      <c r="E145" t="s">
        <v>29</v>
      </c>
      <c r="F145" t="s">
        <v>1839</v>
      </c>
      <c r="G145" t="s">
        <v>1840</v>
      </c>
      <c r="H145" t="s">
        <v>1841</v>
      </c>
      <c r="I145" t="s">
        <v>1433</v>
      </c>
      <c r="J145"/>
      <c r="K145"/>
      <c r="L145"/>
      <c r="M145" t="s">
        <v>664</v>
      </c>
      <c r="N145" t="s">
        <v>1162</v>
      </c>
      <c r="O145" t="s">
        <v>387</v>
      </c>
      <c r="P145" s="36">
        <v>21401</v>
      </c>
      <c r="Q145" s="45">
        <f t="shared" si="5"/>
        <v>66</v>
      </c>
      <c r="R145" t="s">
        <v>859</v>
      </c>
      <c r="S145">
        <v>447557475947</v>
      </c>
      <c r="T145" t="s">
        <v>35</v>
      </c>
      <c r="U145"/>
      <c r="V145" s="39" cm="1">
        <f t="array" ref="V145">IFERROR(
    _xlfn.XLOOKUP(1,
        (tblPrices[Prefix]=$AC145)*(tblPrices[Product Code]=$T145),
        tblPrices[Price]
    ),
    0
)
+
IF(ISNUMBER(SEARCH("Mammogram",$U145)),
    IFERROR(_xlfn.XLOOKUP(1,(tblPrices[Prefix]=$AC145)*(tblPrices[Product Code]="Mammogram"),tblPrices[Price]),0),
    0
)
+
IF(ISNUMBER(SEARCH("PSA",$U145)),
    IFERROR(_xlfn.XLOOKUP(1,(tblPrices[Prefix]=$AC145)*(tblPrices[Product Code]="PSA"),tblPrices[Price]),0),
    0
)</f>
        <v>543</v>
      </c>
      <c r="W145" t="s">
        <v>629</v>
      </c>
      <c r="X145" t="s">
        <v>1048</v>
      </c>
      <c r="Y145"/>
      <c r="Z145">
        <v>13945723</v>
      </c>
      <c r="AA145" t="s">
        <v>1084</v>
      </c>
      <c r="AB145" s="1" t="str" cm="1">
        <f t="array" ref="AB145" xml:space="preserve"> _xlfn.LET(_xlpm.pc, UPPER(TRIM(M145)), LEFT(_xlpm.pc, MIN(FIND({0,1,2,3,4,5,6,7,8,9}, _xlpm.pc&amp;"0123456789"))-1))</f>
        <v>SN</v>
      </c>
      <c r="AC145" s="1" t="str">
        <f t="shared" si="4"/>
        <v>AXA</v>
      </c>
      <c r="AD145" s="1" t="str">
        <f>VLOOKUP(AB145, postcode_table!A:B, 2, FALSE)</f>
        <v>Swindon</v>
      </c>
      <c r="AE145" s="1" t="str">
        <f>IFERROR(_xlfn.XLOOKUP(AC145, price_lookup_table!$C:$C, price_lookup_table!$B:$B), "")</f>
        <v>Self Pay</v>
      </c>
    </row>
    <row r="146" spans="1:31" ht="16.5" x14ac:dyDescent="0.25">
      <c r="A146" t="s">
        <v>650</v>
      </c>
      <c r="B146" s="36">
        <v>45709</v>
      </c>
      <c r="C146" s="36">
        <v>45688</v>
      </c>
      <c r="D146" t="s">
        <v>28</v>
      </c>
      <c r="E146" t="s">
        <v>29</v>
      </c>
      <c r="F146" t="s">
        <v>1842</v>
      </c>
      <c r="G146" t="s">
        <v>1843</v>
      </c>
      <c r="H146" t="s">
        <v>1844</v>
      </c>
      <c r="I146" t="s">
        <v>1845</v>
      </c>
      <c r="J146"/>
      <c r="K146"/>
      <c r="L146"/>
      <c r="M146" t="s">
        <v>833</v>
      </c>
      <c r="N146" t="s">
        <v>1161</v>
      </c>
      <c r="O146" t="s">
        <v>388</v>
      </c>
      <c r="P146" s="36">
        <v>22527</v>
      </c>
      <c r="Q146" s="45">
        <f t="shared" si="5"/>
        <v>63</v>
      </c>
      <c r="R146" t="s">
        <v>1027</v>
      </c>
      <c r="S146">
        <v>447951865986</v>
      </c>
      <c r="T146" t="s">
        <v>35</v>
      </c>
      <c r="U146"/>
      <c r="V146" s="39" cm="1">
        <f t="array" ref="V146">IFERROR(
    _xlfn.XLOOKUP(1,
        (tblPrices[Prefix]=$AC146)*(tblPrices[Product Code]=$T146),
        tblPrices[Price]
    ),
    0
)
+
IF(ISNUMBER(SEARCH("Mammogram",$U146)),
    IFERROR(_xlfn.XLOOKUP(1,(tblPrices[Prefix]=$AC146)*(tblPrices[Product Code]="Mammogram"),tblPrices[Price]),0),
    0
)
+
IF(ISNUMBER(SEARCH("PSA",$U146)),
    IFERROR(_xlfn.XLOOKUP(1,(tblPrices[Prefix]=$AC146)*(tblPrices[Product Code]="PSA"),tblPrices[Price]),0),
    0
)</f>
        <v>543</v>
      </c>
      <c r="W146" t="s">
        <v>629</v>
      </c>
      <c r="X146" t="s">
        <v>1063</v>
      </c>
      <c r="Y146"/>
      <c r="Z146">
        <v>22039243</v>
      </c>
      <c r="AA146" t="s">
        <v>1082</v>
      </c>
      <c r="AB146" s="1" t="str" cm="1">
        <f t="array" ref="AB146" xml:space="preserve"> _xlfn.LET(_xlpm.pc, UPPER(TRIM(M146)), LEFT(_xlpm.pc, MIN(FIND({0,1,2,3,4,5,6,7,8,9}, _xlpm.pc&amp;"0123456789"))-1))</f>
        <v>SW</v>
      </c>
      <c r="AC146" s="1" t="str">
        <f t="shared" si="4"/>
        <v>AXA</v>
      </c>
      <c r="AD146" s="1" t="str">
        <f>VLOOKUP(AB146, postcode_table!A:B, 2, FALSE)</f>
        <v>South West London</v>
      </c>
      <c r="AE146" s="1" t="str">
        <f>IFERROR(_xlfn.XLOOKUP(AC146, price_lookup_table!$C:$C, price_lookup_table!$B:$B), "")</f>
        <v>Self Pay</v>
      </c>
    </row>
    <row r="147" spans="1:31" ht="16.5" x14ac:dyDescent="0.25">
      <c r="A147" t="s">
        <v>72</v>
      </c>
      <c r="B147" s="36">
        <v>45709</v>
      </c>
      <c r="C147" s="36">
        <v>45691</v>
      </c>
      <c r="D147" t="s">
        <v>28</v>
      </c>
      <c r="E147" t="s">
        <v>29</v>
      </c>
      <c r="F147" t="s">
        <v>763</v>
      </c>
      <c r="G147" t="s">
        <v>1846</v>
      </c>
      <c r="H147" t="s">
        <v>1847</v>
      </c>
      <c r="I147" t="s">
        <v>1611</v>
      </c>
      <c r="J147"/>
      <c r="K147"/>
      <c r="L147"/>
      <c r="M147" t="s">
        <v>851</v>
      </c>
      <c r="N147" t="s">
        <v>1160</v>
      </c>
      <c r="O147" t="s">
        <v>387</v>
      </c>
      <c r="P147" s="36">
        <v>30073</v>
      </c>
      <c r="Q147" s="45">
        <f t="shared" si="5"/>
        <v>42</v>
      </c>
      <c r="R147" t="s">
        <v>1045</v>
      </c>
      <c r="S147">
        <v>447341838368</v>
      </c>
      <c r="T147" t="s">
        <v>35</v>
      </c>
      <c r="U147"/>
      <c r="V147" s="39" cm="1">
        <f t="array" ref="V147">IFERROR(
    _xlfn.XLOOKUP(1,
        (tblPrices[Prefix]=$AC147)*(tblPrices[Product Code]=$T147),
        tblPrices[Price]
    ),
    0
)
+
IF(ISNUMBER(SEARCH("Mammogram",$U147)),
    IFERROR(_xlfn.XLOOKUP(1,(tblPrices[Prefix]=$AC147)*(tblPrices[Product Code]="Mammogram"),tblPrices[Price]),0),
    0
)
+
IF(ISNUMBER(SEARCH("PSA",$U147)),
    IFERROR(_xlfn.XLOOKUP(1,(tblPrices[Prefix]=$AC147)*(tblPrices[Product Code]="PSA"),tblPrices[Price]),0),
    0
)</f>
        <v>543</v>
      </c>
      <c r="W147" t="s">
        <v>629</v>
      </c>
      <c r="X147" t="s">
        <v>1063</v>
      </c>
      <c r="Y147"/>
      <c r="Z147">
        <v>21026518</v>
      </c>
      <c r="AA147" t="s">
        <v>1120</v>
      </c>
      <c r="AB147" s="1" t="str" cm="1">
        <f t="array" ref="AB147" xml:space="preserve"> _xlfn.LET(_xlpm.pc, UPPER(TRIM(M147)), LEFT(_xlpm.pc, MIN(FIND({0,1,2,3,4,5,6,7,8,9}, _xlpm.pc&amp;"0123456789"))-1))</f>
        <v>WD</v>
      </c>
      <c r="AC147" s="1" t="str">
        <f t="shared" si="4"/>
        <v>AXA</v>
      </c>
      <c r="AD147" s="1" t="str">
        <f>VLOOKUP(AB147, postcode_table!A:B, 2, FALSE)</f>
        <v>Watford</v>
      </c>
      <c r="AE147" s="1" t="str">
        <f>IFERROR(_xlfn.XLOOKUP(AC147, price_lookup_table!$C:$C, price_lookup_table!$B:$B), "")</f>
        <v>Self Pay</v>
      </c>
    </row>
    <row r="148" spans="1:31" ht="16.5" x14ac:dyDescent="0.25">
      <c r="A148" t="s">
        <v>657</v>
      </c>
      <c r="B148" s="36">
        <v>45709</v>
      </c>
      <c r="C148" s="36">
        <v>45663</v>
      </c>
      <c r="D148" t="s">
        <v>28</v>
      </c>
      <c r="E148" t="s">
        <v>29</v>
      </c>
      <c r="F148" t="s">
        <v>1848</v>
      </c>
      <c r="G148" t="s">
        <v>1849</v>
      </c>
      <c r="H148" t="s">
        <v>1850</v>
      </c>
      <c r="I148" t="s">
        <v>1851</v>
      </c>
      <c r="J148"/>
      <c r="K148"/>
      <c r="L148"/>
      <c r="M148" t="s">
        <v>658</v>
      </c>
      <c r="N148" t="s">
        <v>1159</v>
      </c>
      <c r="O148" t="s">
        <v>387</v>
      </c>
      <c r="P148" s="36">
        <v>16789</v>
      </c>
      <c r="Q148" s="45">
        <f t="shared" si="5"/>
        <v>79</v>
      </c>
      <c r="R148" t="s">
        <v>946</v>
      </c>
      <c r="S148">
        <v>447984442602</v>
      </c>
      <c r="T148" t="s">
        <v>35</v>
      </c>
      <c r="U148"/>
      <c r="V148" s="39" cm="1">
        <f t="array" ref="V148">IFERROR(
    _xlfn.XLOOKUP(1,
        (tblPrices[Prefix]=$AC148)*(tblPrices[Product Code]=$T148),
        tblPrices[Price]
    ),
    0
)
+
IF(ISNUMBER(SEARCH("Mammogram",$U148)),
    IFERROR(_xlfn.XLOOKUP(1,(tblPrices[Prefix]=$AC148)*(tblPrices[Product Code]="Mammogram"),tblPrices[Price]),0),
    0
)
+
IF(ISNUMBER(SEARCH("PSA",$U148)),
    IFERROR(_xlfn.XLOOKUP(1,(tblPrices[Prefix]=$AC148)*(tblPrices[Product Code]="PSA"),tblPrices[Price]),0),
    0
)</f>
        <v>724.5</v>
      </c>
      <c r="W148" t="s">
        <v>629</v>
      </c>
      <c r="X148" t="s">
        <v>1063</v>
      </c>
      <c r="Y148"/>
      <c r="Z148">
        <v>16501602</v>
      </c>
      <c r="AA148" t="s">
        <v>1081</v>
      </c>
      <c r="AB148" s="1" t="str" cm="1">
        <f t="array" ref="AB148" xml:space="preserve"> _xlfn.LET(_xlpm.pc, UPPER(TRIM(M148)), LEFT(_xlpm.pc, MIN(FIND({0,1,2,3,4,5,6,7,8,9}, _xlpm.pc&amp;"0123456789"))-1))</f>
        <v>LN</v>
      </c>
      <c r="AC148" s="1" t="str">
        <f t="shared" si="4"/>
        <v>M01</v>
      </c>
      <c r="AD148" s="1" t="str">
        <f>VLOOKUP(AB148, postcode_table!A:B, 2, FALSE)</f>
        <v>Lincoln</v>
      </c>
      <c r="AE148" s="1" t="str">
        <f>IFERROR(_xlfn.XLOOKUP(AC148, price_lookup_table!$C:$C, price_lookup_table!$B:$B), "")</f>
        <v>Self Pay</v>
      </c>
    </row>
    <row r="149" spans="1:31" ht="16.5" x14ac:dyDescent="0.25">
      <c r="A149" t="s">
        <v>42</v>
      </c>
      <c r="B149" s="36">
        <v>45712</v>
      </c>
      <c r="C149" s="36">
        <v>45680</v>
      </c>
      <c r="D149" t="s">
        <v>28</v>
      </c>
      <c r="E149" t="s">
        <v>29</v>
      </c>
      <c r="F149" t="s">
        <v>1852</v>
      </c>
      <c r="G149" t="s">
        <v>1853</v>
      </c>
      <c r="H149" t="s">
        <v>1854</v>
      </c>
      <c r="I149" t="s">
        <v>1855</v>
      </c>
      <c r="J149"/>
      <c r="K149"/>
      <c r="L149"/>
      <c r="M149" t="s">
        <v>719</v>
      </c>
      <c r="N149" t="s">
        <v>1158</v>
      </c>
      <c r="O149" t="s">
        <v>387</v>
      </c>
      <c r="P149" s="36">
        <v>24126</v>
      </c>
      <c r="Q149" s="45">
        <f t="shared" si="5"/>
        <v>59</v>
      </c>
      <c r="R149" t="s">
        <v>907</v>
      </c>
      <c r="S149">
        <v>447810851191</v>
      </c>
      <c r="T149" t="s">
        <v>35</v>
      </c>
      <c r="U149"/>
      <c r="V149" s="39" cm="1">
        <f t="array" ref="V149">IFERROR(
    _xlfn.XLOOKUP(1,
        (tblPrices[Prefix]=$AC149)*(tblPrices[Product Code]=$T149),
        tblPrices[Price]
    ),
    0
)
+
IF(ISNUMBER(SEARCH("Mammogram",$U149)),
    IFERROR(_xlfn.XLOOKUP(1,(tblPrices[Prefix]=$AC149)*(tblPrices[Product Code]="Mammogram"),tblPrices[Price]),0),
    0
)
+
IF(ISNUMBER(SEARCH("PSA",$U149)),
    IFERROR(_xlfn.XLOOKUP(1,(tblPrices[Prefix]=$AC149)*(tblPrices[Product Code]="PSA"),tblPrices[Price]),0),
    0
)</f>
        <v>543</v>
      </c>
      <c r="W149" t="s">
        <v>629</v>
      </c>
      <c r="X149" t="s">
        <v>1049</v>
      </c>
      <c r="Y149"/>
      <c r="Z149">
        <v>22028770</v>
      </c>
      <c r="AA149" t="s">
        <v>1096</v>
      </c>
      <c r="AB149" s="1" t="str" cm="1">
        <f t="array" ref="AB149" xml:space="preserve"> _xlfn.LET(_xlpm.pc, UPPER(TRIM(M149)), LEFT(_xlpm.pc, MIN(FIND({0,1,2,3,4,5,6,7,8,9}, _xlpm.pc&amp;"0123456789"))-1))</f>
        <v>E</v>
      </c>
      <c r="AC149" s="1" t="str">
        <f t="shared" si="4"/>
        <v>AXA</v>
      </c>
      <c r="AD149" s="1" t="str">
        <f>VLOOKUP(AB149, postcode_table!A:B, 2, FALSE)</f>
        <v>East London</v>
      </c>
      <c r="AE149" s="1" t="str">
        <f>IFERROR(_xlfn.XLOOKUP(AC149, price_lookup_table!$C:$C, price_lookup_table!$B:$B), "")</f>
        <v>Self Pay</v>
      </c>
    </row>
    <row r="150" spans="1:31" ht="16.5" x14ac:dyDescent="0.25">
      <c r="A150" t="s">
        <v>695</v>
      </c>
      <c r="B150" s="36">
        <v>45712</v>
      </c>
      <c r="C150" s="36">
        <v>45708</v>
      </c>
      <c r="D150" t="s">
        <v>28</v>
      </c>
      <c r="E150" t="s">
        <v>29</v>
      </c>
      <c r="F150" t="s">
        <v>1856</v>
      </c>
      <c r="G150" t="s">
        <v>1857</v>
      </c>
      <c r="H150" t="s">
        <v>1858</v>
      </c>
      <c r="I150" t="s">
        <v>1859</v>
      </c>
      <c r="J150"/>
      <c r="K150"/>
      <c r="L150"/>
      <c r="M150" t="s">
        <v>788</v>
      </c>
      <c r="N150" t="s">
        <v>1157</v>
      </c>
      <c r="O150" t="s">
        <v>387</v>
      </c>
      <c r="P150" s="36">
        <v>30652</v>
      </c>
      <c r="Q150" s="45">
        <f t="shared" si="5"/>
        <v>41</v>
      </c>
      <c r="R150" t="s">
        <v>980</v>
      </c>
      <c r="S150">
        <v>447727914214</v>
      </c>
      <c r="T150" t="s">
        <v>174</v>
      </c>
      <c r="U150"/>
      <c r="V150" s="39" cm="1">
        <f t="array" ref="V150">IFERROR(
    _xlfn.XLOOKUP(1,
        (tblPrices[Prefix]=$AC150)*(tblPrices[Product Code]=$T150),
        tblPrices[Price]
    ),
    0
)
+
IF(ISNUMBER(SEARCH("Mammogram",$U150)),
    IFERROR(_xlfn.XLOOKUP(1,(tblPrices[Prefix]=$AC150)*(tblPrices[Product Code]="Mammogram"),tblPrices[Price]),0),
    0
)
+
IF(ISNUMBER(SEARCH("PSA",$U150)),
    IFERROR(_xlfn.XLOOKUP(1,(tblPrices[Prefix]=$AC150)*(tblPrices[Product Code]="PSA"),tblPrices[Price]),0),
    0
)</f>
        <v>357</v>
      </c>
      <c r="W150" t="s">
        <v>629</v>
      </c>
      <c r="X150" t="s">
        <v>642</v>
      </c>
      <c r="Y150"/>
      <c r="Z150">
        <v>22063813</v>
      </c>
      <c r="AA150" t="s">
        <v>1104</v>
      </c>
      <c r="AB150" s="1" t="str" cm="1">
        <f t="array" ref="AB150" xml:space="preserve"> _xlfn.LET(_xlpm.pc, UPPER(TRIM(M150)), LEFT(_xlpm.pc, MIN(FIND({0,1,2,3,4,5,6,7,8,9}, _xlpm.pc&amp;"0123456789"))-1))</f>
        <v>RG</v>
      </c>
      <c r="AC150" s="1" t="str">
        <f t="shared" si="4"/>
        <v>AXA</v>
      </c>
      <c r="AD150" s="1" t="str">
        <f>VLOOKUP(AB150, postcode_table!A:B, 2, FALSE)</f>
        <v>Reading</v>
      </c>
      <c r="AE150" s="1" t="str">
        <f>IFERROR(_xlfn.XLOOKUP(AC150, price_lookup_table!$C:$C, price_lookup_table!$B:$B), "")</f>
        <v>Self Pay</v>
      </c>
    </row>
    <row r="151" spans="1:31" ht="16.5" x14ac:dyDescent="0.25">
      <c r="A151" t="s">
        <v>42</v>
      </c>
      <c r="B151" s="36">
        <v>45712</v>
      </c>
      <c r="C151" s="36">
        <v>45681</v>
      </c>
      <c r="D151" t="s">
        <v>28</v>
      </c>
      <c r="E151" t="s">
        <v>29</v>
      </c>
      <c r="F151" t="s">
        <v>683</v>
      </c>
      <c r="G151" t="s">
        <v>1860</v>
      </c>
      <c r="H151" t="s">
        <v>1861</v>
      </c>
      <c r="I151" t="s">
        <v>1862</v>
      </c>
      <c r="J151"/>
      <c r="K151"/>
      <c r="L151"/>
      <c r="M151" t="s">
        <v>798</v>
      </c>
      <c r="N151" t="s">
        <v>1156</v>
      </c>
      <c r="O151" t="s">
        <v>387</v>
      </c>
      <c r="P151" s="36">
        <v>14797</v>
      </c>
      <c r="Q151" s="45">
        <f t="shared" si="5"/>
        <v>84</v>
      </c>
      <c r="R151" t="s">
        <v>990</v>
      </c>
      <c r="S151">
        <v>447562465708</v>
      </c>
      <c r="T151" t="s">
        <v>35</v>
      </c>
      <c r="U151"/>
      <c r="V151" s="39" cm="1">
        <f t="array" ref="V151">IFERROR(
    _xlfn.XLOOKUP(1,
        (tblPrices[Prefix]=$AC151)*(tblPrices[Product Code]=$T151),
        tblPrices[Price]
    ),
    0
)
+
IF(ISNUMBER(SEARCH("Mammogram",$U151)),
    IFERROR(_xlfn.XLOOKUP(1,(tblPrices[Prefix]=$AC151)*(tblPrices[Product Code]="Mammogram"),tblPrices[Price]),0),
    0
)
+
IF(ISNUMBER(SEARCH("PSA",$U151)),
    IFERROR(_xlfn.XLOOKUP(1,(tblPrices[Prefix]=$AC151)*(tblPrices[Product Code]="PSA"),tblPrices[Price]),0),
    0
)</f>
        <v>543</v>
      </c>
      <c r="W151" t="s">
        <v>629</v>
      </c>
      <c r="X151" t="s">
        <v>1049</v>
      </c>
      <c r="Y151"/>
      <c r="Z151">
        <v>20116924</v>
      </c>
      <c r="AA151" t="s">
        <v>1082</v>
      </c>
      <c r="AB151" s="1" t="str" cm="1">
        <f t="array" ref="AB151" xml:space="preserve"> _xlfn.LET(_xlpm.pc, UPPER(TRIM(M151)), LEFT(_xlpm.pc, MIN(FIND({0,1,2,3,4,5,6,7,8,9}, _xlpm.pc&amp;"0123456789"))-1))</f>
        <v>RM</v>
      </c>
      <c r="AC151" s="1" t="str">
        <f t="shared" si="4"/>
        <v>AXA</v>
      </c>
      <c r="AD151" s="1" t="str">
        <f>VLOOKUP(AB151, postcode_table!A:B, 2, FALSE)</f>
        <v>Romford</v>
      </c>
      <c r="AE151" s="1" t="str">
        <f>IFERROR(_xlfn.XLOOKUP(AC151, price_lookup_table!$C:$C, price_lookup_table!$B:$B), "")</f>
        <v>Self Pay</v>
      </c>
    </row>
    <row r="152" spans="1:31" ht="16.5" x14ac:dyDescent="0.25">
      <c r="A152" t="s">
        <v>649</v>
      </c>
      <c r="B152" s="36">
        <v>45712</v>
      </c>
      <c r="C152" s="36">
        <v>45692</v>
      </c>
      <c r="D152" t="s">
        <v>28</v>
      </c>
      <c r="E152" t="s">
        <v>29</v>
      </c>
      <c r="F152" t="s">
        <v>1863</v>
      </c>
      <c r="G152" t="s">
        <v>1864</v>
      </c>
      <c r="H152" t="s">
        <v>1865</v>
      </c>
      <c r="I152" t="s">
        <v>1838</v>
      </c>
      <c r="J152"/>
      <c r="K152"/>
      <c r="L152"/>
      <c r="M152" t="s">
        <v>805</v>
      </c>
      <c r="N152" t="s">
        <v>1155</v>
      </c>
      <c r="O152" t="s">
        <v>387</v>
      </c>
      <c r="P152" s="36">
        <v>26241</v>
      </c>
      <c r="Q152" s="45">
        <f t="shared" si="5"/>
        <v>53</v>
      </c>
      <c r="R152" t="s">
        <v>998</v>
      </c>
      <c r="S152">
        <v>447384817941</v>
      </c>
      <c r="T152" t="s">
        <v>35</v>
      </c>
      <c r="U152"/>
      <c r="V152" s="39" cm="1">
        <f t="array" ref="V152">IFERROR(
    _xlfn.XLOOKUP(1,
        (tblPrices[Prefix]=$AC152)*(tblPrices[Product Code]=$T152),
        tblPrices[Price]
    ),
    0
)
+
IF(ISNUMBER(SEARCH("Mammogram",$U152)),
    IFERROR(_xlfn.XLOOKUP(1,(tblPrices[Prefix]=$AC152)*(tblPrices[Product Code]="Mammogram"),tblPrices[Price]),0),
    0
)
+
IF(ISNUMBER(SEARCH("PSA",$U152)),
    IFERROR(_xlfn.XLOOKUP(1,(tblPrices[Prefix]=$AC152)*(tblPrices[Product Code]="PSA"),tblPrices[Price]),0),
    0
)</f>
        <v>543</v>
      </c>
      <c r="W152" t="s">
        <v>629</v>
      </c>
      <c r="X152" t="s">
        <v>1048</v>
      </c>
      <c r="Y152"/>
      <c r="Z152">
        <v>22042678</v>
      </c>
      <c r="AA152" t="s">
        <v>1082</v>
      </c>
      <c r="AB152" s="1" t="str" cm="1">
        <f t="array" ref="AB152" xml:space="preserve"> _xlfn.LET(_xlpm.pc, UPPER(TRIM(M152)), LEFT(_xlpm.pc, MIN(FIND({0,1,2,3,4,5,6,7,8,9}, _xlpm.pc&amp;"0123456789"))-1))</f>
        <v>SE</v>
      </c>
      <c r="AC152" s="1" t="str">
        <f t="shared" si="4"/>
        <v>AXA</v>
      </c>
      <c r="AD152" s="1" t="str">
        <f>VLOOKUP(AB152, postcode_table!A:B, 2, FALSE)</f>
        <v>South East London</v>
      </c>
      <c r="AE152" s="1" t="str">
        <f>IFERROR(_xlfn.XLOOKUP(AC152, price_lookup_table!$C:$C, price_lookup_table!$B:$B), "")</f>
        <v>Self Pay</v>
      </c>
    </row>
    <row r="153" spans="1:31" ht="16.5" x14ac:dyDescent="0.25">
      <c r="A153" t="s">
        <v>647</v>
      </c>
      <c r="B153" s="36">
        <v>45712</v>
      </c>
      <c r="C153" s="36">
        <v>45684</v>
      </c>
      <c r="D153" t="s">
        <v>28</v>
      </c>
      <c r="E153" t="s">
        <v>29</v>
      </c>
      <c r="F153" t="s">
        <v>1866</v>
      </c>
      <c r="G153" t="s">
        <v>1867</v>
      </c>
      <c r="H153" t="s">
        <v>1868</v>
      </c>
      <c r="I153" t="s">
        <v>1869</v>
      </c>
      <c r="J153"/>
      <c r="K153"/>
      <c r="L153"/>
      <c r="M153" t="s">
        <v>689</v>
      </c>
      <c r="N153" t="s">
        <v>1154</v>
      </c>
      <c r="O153" t="s">
        <v>387</v>
      </c>
      <c r="P153" s="36">
        <v>31397</v>
      </c>
      <c r="Q153" s="45">
        <f t="shared" si="5"/>
        <v>39</v>
      </c>
      <c r="R153" t="s">
        <v>878</v>
      </c>
      <c r="S153">
        <v>447836241670</v>
      </c>
      <c r="T153" t="s">
        <v>35</v>
      </c>
      <c r="U153"/>
      <c r="V153" s="39" cm="1">
        <f t="array" ref="V153">IFERROR(
    _xlfn.XLOOKUP(1,
        (tblPrices[Prefix]=$AC153)*(tblPrices[Product Code]=$T153),
        tblPrices[Price]
    ),
    0
)
+
IF(ISNUMBER(SEARCH("Mammogram",$U153)),
    IFERROR(_xlfn.XLOOKUP(1,(tblPrices[Prefix]=$AC153)*(tblPrices[Product Code]="Mammogram"),tblPrices[Price]),0),
    0
)
+
IF(ISNUMBER(SEARCH("PSA",$U153)),
    IFERROR(_xlfn.XLOOKUP(1,(tblPrices[Prefix]=$AC153)*(tblPrices[Product Code]="PSA"),tblPrices[Price]),0),
    0
)</f>
        <v>724.5</v>
      </c>
      <c r="W153" t="s">
        <v>629</v>
      </c>
      <c r="X153" t="s">
        <v>643</v>
      </c>
      <c r="Y153"/>
      <c r="Z153">
        <v>12912318</v>
      </c>
      <c r="AA153" t="s">
        <v>1083</v>
      </c>
      <c r="AB153" s="1" t="str" cm="1">
        <f t="array" ref="AB153" xml:space="preserve"> _xlfn.LET(_xlpm.pc, UPPER(TRIM(M153)), LEFT(_xlpm.pc, MIN(FIND({0,1,2,3,4,5,6,7,8,9}, _xlpm.pc&amp;"0123456789"))-1))</f>
        <v>BA</v>
      </c>
      <c r="AC153" s="1" t="str">
        <f t="shared" si="4"/>
        <v>M01</v>
      </c>
      <c r="AD153" s="1" t="str">
        <f>VLOOKUP(AB153, postcode_table!A:B, 2, FALSE)</f>
        <v>Bath</v>
      </c>
      <c r="AE153" s="1" t="str">
        <f>IFERROR(_xlfn.XLOOKUP(AC153, price_lookup_table!$C:$C, price_lookup_table!$B:$B), "")</f>
        <v>Self Pay</v>
      </c>
    </row>
    <row r="154" spans="1:31" ht="16.5" x14ac:dyDescent="0.25">
      <c r="A154" t="s">
        <v>34</v>
      </c>
      <c r="B154" s="36">
        <v>45712</v>
      </c>
      <c r="C154" s="36">
        <v>45691</v>
      </c>
      <c r="D154" t="s">
        <v>28</v>
      </c>
      <c r="E154" t="s">
        <v>29</v>
      </c>
      <c r="F154" t="s">
        <v>1870</v>
      </c>
      <c r="G154" t="s">
        <v>1871</v>
      </c>
      <c r="H154" t="s">
        <v>1872</v>
      </c>
      <c r="I154" t="s">
        <v>1873</v>
      </c>
      <c r="J154"/>
      <c r="K154"/>
      <c r="L154"/>
      <c r="M154" t="s">
        <v>724</v>
      </c>
      <c r="N154" t="s">
        <v>1153</v>
      </c>
      <c r="O154" t="s">
        <v>387</v>
      </c>
      <c r="P154" s="36">
        <v>29737</v>
      </c>
      <c r="Q154" s="45">
        <f t="shared" si="5"/>
        <v>43</v>
      </c>
      <c r="R154" t="s">
        <v>912</v>
      </c>
      <c r="S154" t="s">
        <v>913</v>
      </c>
      <c r="T154" t="s">
        <v>30</v>
      </c>
      <c r="U154"/>
      <c r="V154" s="39" cm="1">
        <f t="array" ref="V154">IFERROR(
    _xlfn.XLOOKUP(1,
        (tblPrices[Prefix]=$AC154)*(tblPrices[Product Code]=$T154),
        tblPrices[Price]
    ),
    0
)
+
IF(ISNUMBER(SEARCH("Mammogram",$U154)),
    IFERROR(_xlfn.XLOOKUP(1,(tblPrices[Prefix]=$AC154)*(tblPrices[Product Code]="Mammogram"),tblPrices[Price]),0),
    0
)
+
IF(ISNUMBER(SEARCH("PSA",$U154)),
    IFERROR(_xlfn.XLOOKUP(1,(tblPrices[Prefix]=$AC154)*(tblPrices[Product Code]="PSA"),tblPrices[Price]),0),
    0
)</f>
        <v>970.5</v>
      </c>
      <c r="W154" t="s">
        <v>629</v>
      </c>
      <c r="X154" t="s">
        <v>636</v>
      </c>
      <c r="Y154"/>
      <c r="Z154" t="s">
        <v>1097</v>
      </c>
      <c r="AA154" t="s">
        <v>1081</v>
      </c>
      <c r="AB154" s="1" t="str" cm="1">
        <f t="array" ref="AB154" xml:space="preserve"> _xlfn.LET(_xlpm.pc, UPPER(TRIM(M154)), LEFT(_xlpm.pc, MIN(FIND({0,1,2,3,4,5,6,7,8,9}, _xlpm.pc&amp;"0123456789"))-1))</f>
        <v>GU</v>
      </c>
      <c r="AC154" s="1" t="str">
        <f t="shared" si="4"/>
        <v>M01</v>
      </c>
      <c r="AD154" s="1" t="str">
        <f>VLOOKUP(AB154, postcode_table!A:B, 2, FALSE)</f>
        <v>Guildford</v>
      </c>
      <c r="AE154" s="1" t="str">
        <f>IFERROR(_xlfn.XLOOKUP(AC154, price_lookup_table!$C:$C, price_lookup_table!$B:$B), "")</f>
        <v>Self Pay</v>
      </c>
    </row>
    <row r="155" spans="1:31" ht="16.5" x14ac:dyDescent="0.25">
      <c r="A155" t="s">
        <v>46</v>
      </c>
      <c r="B155" s="36">
        <v>45712</v>
      </c>
      <c r="C155" s="36">
        <v>45672</v>
      </c>
      <c r="D155" t="s">
        <v>28</v>
      </c>
      <c r="E155" t="s">
        <v>29</v>
      </c>
      <c r="F155" t="s">
        <v>1874</v>
      </c>
      <c r="G155" t="s">
        <v>1875</v>
      </c>
      <c r="H155" t="s">
        <v>1876</v>
      </c>
      <c r="I155" t="s">
        <v>1877</v>
      </c>
      <c r="J155"/>
      <c r="K155"/>
      <c r="L155"/>
      <c r="M155" t="s">
        <v>732</v>
      </c>
      <c r="N155" t="s">
        <v>1152</v>
      </c>
      <c r="O155" t="s">
        <v>388</v>
      </c>
      <c r="P155" s="36">
        <v>15143</v>
      </c>
      <c r="Q155" s="45">
        <f t="shared" si="5"/>
        <v>83</v>
      </c>
      <c r="R155" t="s">
        <v>919</v>
      </c>
      <c r="S155">
        <v>447789981320</v>
      </c>
      <c r="T155" t="s">
        <v>35</v>
      </c>
      <c r="U155"/>
      <c r="V155" s="39" cm="1">
        <f t="array" ref="V155">IFERROR(
    _xlfn.XLOOKUP(1,
        (tblPrices[Prefix]=$AC155)*(tblPrices[Product Code]=$T155),
        tblPrices[Price]
    ),
    0
)
+
IF(ISNUMBER(SEARCH("Mammogram",$U155)),
    IFERROR(_xlfn.XLOOKUP(1,(tblPrices[Prefix]=$AC155)*(tblPrices[Product Code]="Mammogram"),tblPrices[Price]),0),
    0
)
+
IF(ISNUMBER(SEARCH("PSA",$U155)),
    IFERROR(_xlfn.XLOOKUP(1,(tblPrices[Prefix]=$AC155)*(tblPrices[Product Code]="PSA"),tblPrices[Price]),0),
    0
)</f>
        <v>724.5</v>
      </c>
      <c r="W155" t="s">
        <v>629</v>
      </c>
      <c r="X155" t="s">
        <v>637</v>
      </c>
      <c r="Y155"/>
      <c r="Z155">
        <v>22017384</v>
      </c>
      <c r="AA155" t="s">
        <v>1081</v>
      </c>
      <c r="AB155" s="1" t="str" cm="1">
        <f t="array" ref="AB155" xml:space="preserve"> _xlfn.LET(_xlpm.pc, UPPER(TRIM(M155)), LEFT(_xlpm.pc, MIN(FIND({0,1,2,3,4,5,6,7,8,9}, _xlpm.pc&amp;"0123456789"))-1))</f>
        <v>HP</v>
      </c>
      <c r="AC155" s="1" t="str">
        <f t="shared" si="4"/>
        <v>M01</v>
      </c>
      <c r="AD155" s="1" t="str">
        <f>VLOOKUP(AB155, postcode_table!A:B, 2, FALSE)</f>
        <v>Hemel Hempstead</v>
      </c>
      <c r="AE155" s="1" t="str">
        <f>IFERROR(_xlfn.XLOOKUP(AC155, price_lookup_table!$C:$C, price_lookup_table!$B:$B), "")</f>
        <v>Self Pay</v>
      </c>
    </row>
    <row r="156" spans="1:31" ht="16.5" x14ac:dyDescent="0.25">
      <c r="A156" t="s">
        <v>37</v>
      </c>
      <c r="B156" s="36">
        <v>45712</v>
      </c>
      <c r="C156" s="36">
        <v>45674</v>
      </c>
      <c r="D156" t="s">
        <v>28</v>
      </c>
      <c r="E156" t="s">
        <v>29</v>
      </c>
      <c r="F156" t="s">
        <v>1878</v>
      </c>
      <c r="G156" t="s">
        <v>1879</v>
      </c>
      <c r="H156" t="s">
        <v>1880</v>
      </c>
      <c r="I156" t="s">
        <v>1881</v>
      </c>
      <c r="J156"/>
      <c r="K156"/>
      <c r="L156"/>
      <c r="M156" t="s">
        <v>799</v>
      </c>
      <c r="N156" t="s">
        <v>1151</v>
      </c>
      <c r="O156" t="s">
        <v>387</v>
      </c>
      <c r="P156" s="36">
        <v>18344</v>
      </c>
      <c r="Q156" s="45">
        <f t="shared" si="5"/>
        <v>74</v>
      </c>
      <c r="R156" t="s">
        <v>991</v>
      </c>
      <c r="S156" t="s">
        <v>992</v>
      </c>
      <c r="T156" t="s">
        <v>30</v>
      </c>
      <c r="U156"/>
      <c r="V156" s="39" cm="1">
        <f t="array" ref="V156">IFERROR(
    _xlfn.XLOOKUP(1,
        (tblPrices[Prefix]=$AC156)*(tblPrices[Product Code]=$T156),
        tblPrices[Price]
    ),
    0
)
+
IF(ISNUMBER(SEARCH("Mammogram",$U156)),
    IFERROR(_xlfn.XLOOKUP(1,(tblPrices[Prefix]=$AC156)*(tblPrices[Product Code]="Mammogram"),tblPrices[Price]),0),
    0
)
+
IF(ISNUMBER(SEARCH("PSA",$U156)),
    IFERROR(_xlfn.XLOOKUP(1,(tblPrices[Prefix]=$AC156)*(tblPrices[Product Code]="PSA"),tblPrices[Price]),0),
    0
)</f>
        <v>970.5</v>
      </c>
      <c r="W156" t="s">
        <v>629</v>
      </c>
      <c r="X156" t="s">
        <v>1063</v>
      </c>
      <c r="Y156"/>
      <c r="Z156">
        <v>19289561</v>
      </c>
      <c r="AA156" t="s">
        <v>1081</v>
      </c>
      <c r="AB156" s="1" t="str" cm="1">
        <f t="array" ref="AB156" xml:space="preserve"> _xlfn.LET(_xlpm.pc, UPPER(TRIM(M156)), LEFT(_xlpm.pc, MIN(FIND({0,1,2,3,4,5,6,7,8,9}, _xlpm.pc&amp;"0123456789"))-1))</f>
        <v>S</v>
      </c>
      <c r="AC156" s="1" t="str">
        <f t="shared" si="4"/>
        <v>M01</v>
      </c>
      <c r="AD156" s="1" t="str">
        <f>VLOOKUP(AB156, postcode_table!A:B, 2, FALSE)</f>
        <v>Sheffield</v>
      </c>
      <c r="AE156" s="1" t="str">
        <f>IFERROR(_xlfn.XLOOKUP(AC156, price_lookup_table!$C:$C, price_lookup_table!$B:$B), "")</f>
        <v>Self Pay</v>
      </c>
    </row>
    <row r="157" spans="1:31" ht="16.5" x14ac:dyDescent="0.25">
      <c r="A157" t="s">
        <v>647</v>
      </c>
      <c r="B157" s="36">
        <v>45713</v>
      </c>
      <c r="C157" s="36">
        <v>45670</v>
      </c>
      <c r="D157" t="s">
        <v>28</v>
      </c>
      <c r="E157" t="s">
        <v>29</v>
      </c>
      <c r="F157" t="s">
        <v>1882</v>
      </c>
      <c r="G157" t="s">
        <v>1883</v>
      </c>
      <c r="H157" t="s">
        <v>1884</v>
      </c>
      <c r="I157" t="s">
        <v>1885</v>
      </c>
      <c r="J157"/>
      <c r="K157"/>
      <c r="L157"/>
      <c r="M157" t="s">
        <v>692</v>
      </c>
      <c r="N157" t="s">
        <v>1150</v>
      </c>
      <c r="O157" t="s">
        <v>388</v>
      </c>
      <c r="P157" s="36">
        <v>16689</v>
      </c>
      <c r="Q157" s="45">
        <f t="shared" si="5"/>
        <v>79</v>
      </c>
      <c r="R157">
        <v>57820696</v>
      </c>
      <c r="S157">
        <v>447712398806</v>
      </c>
      <c r="T157" t="s">
        <v>35</v>
      </c>
      <c r="U157" t="s">
        <v>628</v>
      </c>
      <c r="V157" s="39" cm="1">
        <f t="array" ref="V157">IFERROR(
    _xlfn.XLOOKUP(1,
        (tblPrices[Prefix]=$AC157)*(tblPrices[Product Code]=$T157),
        tblPrices[Price]
    ),
    0
)
+
IF(ISNUMBER(SEARCH("Mammogram",$U157)),
    IFERROR(_xlfn.XLOOKUP(1,(tblPrices[Prefix]=$AC157)*(tblPrices[Product Code]="Mammogram"),tblPrices[Price]),0),
    0
)
+
IF(ISNUMBER(SEARCH("PSA",$U157)),
    IFERROR(_xlfn.XLOOKUP(1,(tblPrices[Prefix]=$AC157)*(tblPrices[Product Code]="PSA"),tblPrices[Price]),0),
    0
)</f>
        <v>690</v>
      </c>
      <c r="W157" t="s">
        <v>629</v>
      </c>
      <c r="X157" t="s">
        <v>1053</v>
      </c>
      <c r="Y157"/>
      <c r="Z157">
        <v>12912908</v>
      </c>
      <c r="AA157" t="s">
        <v>1082</v>
      </c>
      <c r="AB157" s="1" t="str" cm="1">
        <f t="array" ref="AB157" xml:space="preserve"> _xlfn.LET(_xlpm.pc, UPPER(TRIM(M157)), LEFT(_xlpm.pc, MIN(FIND({0,1,2,3,4,5,6,7,8,9}, _xlpm.pc&amp;"0123456789"))-1))</f>
        <v>BA</v>
      </c>
      <c r="AC157" s="1" t="str">
        <f t="shared" si="4"/>
        <v>AXA</v>
      </c>
      <c r="AD157" s="1" t="str">
        <f>VLOOKUP(AB157, postcode_table!A:B, 2, FALSE)</f>
        <v>Bath</v>
      </c>
      <c r="AE157" s="1" t="str">
        <f>IFERROR(_xlfn.XLOOKUP(AC157, price_lookup_table!$C:$C, price_lookup_table!$B:$B), "")</f>
        <v>Self Pay</v>
      </c>
    </row>
    <row r="158" spans="1:31" ht="16.5" x14ac:dyDescent="0.25">
      <c r="A158" t="s">
        <v>645</v>
      </c>
      <c r="B158" s="36">
        <v>45713</v>
      </c>
      <c r="C158" s="36">
        <v>45695</v>
      </c>
      <c r="D158" t="s">
        <v>28</v>
      </c>
      <c r="E158" t="s">
        <v>29</v>
      </c>
      <c r="F158" t="s">
        <v>1886</v>
      </c>
      <c r="G158" t="s">
        <v>1887</v>
      </c>
      <c r="H158" t="s">
        <v>1888</v>
      </c>
      <c r="I158" t="s">
        <v>1889</v>
      </c>
      <c r="J158"/>
      <c r="K158"/>
      <c r="L158"/>
      <c r="M158" t="s">
        <v>786</v>
      </c>
      <c r="N158" t="s">
        <v>1149</v>
      </c>
      <c r="O158" t="s">
        <v>387</v>
      </c>
      <c r="P158" s="36">
        <v>21358</v>
      </c>
      <c r="Q158" s="45">
        <f t="shared" si="5"/>
        <v>66</v>
      </c>
      <c r="R158" t="s">
        <v>978</v>
      </c>
      <c r="S158">
        <v>447798813490</v>
      </c>
      <c r="T158" t="s">
        <v>35</v>
      </c>
      <c r="U158"/>
      <c r="V158" s="39" cm="1">
        <f t="array" ref="V158">IFERROR(
    _xlfn.XLOOKUP(1,
        (tblPrices[Prefix]=$AC158)*(tblPrices[Product Code]=$T158),
        tblPrices[Price]
    ),
    0
)
+
IF(ISNUMBER(SEARCH("Mammogram",$U158)),
    IFERROR(_xlfn.XLOOKUP(1,(tblPrices[Prefix]=$AC158)*(tblPrices[Product Code]="Mammogram"),tblPrices[Price]),0),
    0
)
+
IF(ISNUMBER(SEARCH("PSA",$U158)),
    IFERROR(_xlfn.XLOOKUP(1,(tblPrices[Prefix]=$AC158)*(tblPrices[Product Code]="PSA"),tblPrices[Price]),0),
    0
)</f>
        <v>543</v>
      </c>
      <c r="W158" t="s">
        <v>629</v>
      </c>
      <c r="X158" t="s">
        <v>1048</v>
      </c>
      <c r="Y158"/>
      <c r="Z158">
        <v>22048417</v>
      </c>
      <c r="AA158" t="s">
        <v>1103</v>
      </c>
      <c r="AB158" s="1" t="str" cm="1">
        <f t="array" ref="AB158" xml:space="preserve"> _xlfn.LET(_xlpm.pc, UPPER(TRIM(M158)), LEFT(_xlpm.pc, MIN(FIND({0,1,2,3,4,5,6,7,8,9}, _xlpm.pc&amp;"0123456789"))-1))</f>
        <v>PH</v>
      </c>
      <c r="AC158" s="1" t="str">
        <f t="shared" si="4"/>
        <v>AXA</v>
      </c>
      <c r="AD158" s="1" t="str">
        <f>VLOOKUP(AB158, postcode_table!A:B, 2, FALSE)</f>
        <v>Perth</v>
      </c>
      <c r="AE158" s="1" t="str">
        <f>IFERROR(_xlfn.XLOOKUP(AC158, price_lookup_table!$C:$C, price_lookup_table!$B:$B), "")</f>
        <v>Self Pay</v>
      </c>
    </row>
    <row r="159" spans="1:31" ht="16.5" x14ac:dyDescent="0.25">
      <c r="A159" t="s">
        <v>34</v>
      </c>
      <c r="B159" s="36">
        <v>45713</v>
      </c>
      <c r="C159" s="36">
        <v>45685</v>
      </c>
      <c r="D159" t="s">
        <v>28</v>
      </c>
      <c r="E159" t="s">
        <v>29</v>
      </c>
      <c r="F159" t="s">
        <v>1890</v>
      </c>
      <c r="G159" t="s">
        <v>1891</v>
      </c>
      <c r="H159" t="s">
        <v>1892</v>
      </c>
      <c r="I159" t="s">
        <v>1893</v>
      </c>
      <c r="J159"/>
      <c r="K159"/>
      <c r="L159"/>
      <c r="M159" t="s">
        <v>794</v>
      </c>
      <c r="N159" t="s">
        <v>1148</v>
      </c>
      <c r="O159" t="s">
        <v>387</v>
      </c>
      <c r="P159" s="36">
        <v>28975</v>
      </c>
      <c r="Q159" s="45">
        <f t="shared" si="5"/>
        <v>45</v>
      </c>
      <c r="R159" t="s">
        <v>986</v>
      </c>
      <c r="S159">
        <v>447554410009</v>
      </c>
      <c r="T159" t="s">
        <v>30</v>
      </c>
      <c r="U159"/>
      <c r="V159" s="39" cm="1">
        <f t="array" ref="V159">IFERROR(
    _xlfn.XLOOKUP(1,
        (tblPrices[Prefix]=$AC159)*(tblPrices[Product Code]=$T159),
        tblPrices[Price]
    ),
    0
)
+
IF(ISNUMBER(SEARCH("Mammogram",$U159)),
    IFERROR(_xlfn.XLOOKUP(1,(tblPrices[Prefix]=$AC159)*(tblPrices[Product Code]="Mammogram"),tblPrices[Price]),0),
    0
)
+
IF(ISNUMBER(SEARCH("PSA",$U159)),
    IFERROR(_xlfn.XLOOKUP(1,(tblPrices[Prefix]=$AC159)*(tblPrices[Product Code]="PSA"),tblPrices[Price]),0),
    0
)</f>
        <v>728</v>
      </c>
      <c r="W159" t="s">
        <v>629</v>
      </c>
      <c r="X159" t="s">
        <v>1080</v>
      </c>
      <c r="Y159"/>
      <c r="Z159">
        <v>18670860</v>
      </c>
      <c r="AA159" t="s">
        <v>1106</v>
      </c>
      <c r="AB159" s="1" t="str" cm="1">
        <f t="array" ref="AB159" xml:space="preserve"> _xlfn.LET(_xlpm.pc, UPPER(TRIM(M159)), LEFT(_xlpm.pc, MIN(FIND({0,1,2,3,4,5,6,7,8,9}, _xlpm.pc&amp;"0123456789"))-1))</f>
        <v>RG</v>
      </c>
      <c r="AC159" s="1" t="str">
        <f t="shared" si="4"/>
        <v>AXA</v>
      </c>
      <c r="AD159" s="1" t="str">
        <f>VLOOKUP(AB159, postcode_table!A:B, 2, FALSE)</f>
        <v>Reading</v>
      </c>
      <c r="AE159" s="1" t="str">
        <f>IFERROR(_xlfn.XLOOKUP(AC159, price_lookup_table!$C:$C, price_lookup_table!$B:$B), "")</f>
        <v>Self Pay</v>
      </c>
    </row>
    <row r="160" spans="1:31" ht="16.5" x14ac:dyDescent="0.25">
      <c r="A160" t="s">
        <v>34</v>
      </c>
      <c r="B160" s="36">
        <v>45713</v>
      </c>
      <c r="C160" s="36">
        <v>45686</v>
      </c>
      <c r="D160" t="s">
        <v>28</v>
      </c>
      <c r="E160" t="s">
        <v>29</v>
      </c>
      <c r="F160" t="s">
        <v>1894</v>
      </c>
      <c r="G160" t="s">
        <v>1895</v>
      </c>
      <c r="H160" t="s">
        <v>1896</v>
      </c>
      <c r="I160" t="s">
        <v>1897</v>
      </c>
      <c r="J160"/>
      <c r="K160"/>
      <c r="L160"/>
      <c r="M160" t="s">
        <v>816</v>
      </c>
      <c r="N160" t="s">
        <v>1147</v>
      </c>
      <c r="O160" t="s">
        <v>388</v>
      </c>
      <c r="P160" s="36">
        <v>33393</v>
      </c>
      <c r="Q160" s="45">
        <f t="shared" si="5"/>
        <v>33</v>
      </c>
      <c r="R160" t="s">
        <v>1008</v>
      </c>
      <c r="S160">
        <v>447900438091</v>
      </c>
      <c r="T160" t="s">
        <v>30</v>
      </c>
      <c r="U160"/>
      <c r="V160" s="39" cm="1">
        <f t="array" ref="V160">IFERROR(
    _xlfn.XLOOKUP(1,
        (tblPrices[Prefix]=$AC160)*(tblPrices[Product Code]=$T160),
        tblPrices[Price]
    ),
    0
)
+
IF(ISNUMBER(SEARCH("Mammogram",$U160)),
    IFERROR(_xlfn.XLOOKUP(1,(tblPrices[Prefix]=$AC160)*(tblPrices[Product Code]="Mammogram"),tblPrices[Price]),0),
    0
)
+
IF(ISNUMBER(SEARCH("PSA",$U160)),
    IFERROR(_xlfn.XLOOKUP(1,(tblPrices[Prefix]=$AC160)*(tblPrices[Product Code]="PSA"),tblPrices[Price]),0),
    0
)</f>
        <v>728</v>
      </c>
      <c r="W160" t="s">
        <v>629</v>
      </c>
      <c r="X160" t="s">
        <v>1066</v>
      </c>
      <c r="Y160"/>
      <c r="Z160">
        <v>17563363</v>
      </c>
      <c r="AA160" t="s">
        <v>1110</v>
      </c>
      <c r="AB160" s="1" t="str" cm="1">
        <f t="array" ref="AB160" xml:space="preserve"> _xlfn.LET(_xlpm.pc, UPPER(TRIM(M160)), LEFT(_xlpm.pc, MIN(FIND({0,1,2,3,4,5,6,7,8,9}, _xlpm.pc&amp;"0123456789"))-1))</f>
        <v>SL</v>
      </c>
      <c r="AC160" s="1" t="str">
        <f t="shared" si="4"/>
        <v>AXA</v>
      </c>
      <c r="AD160" s="1" t="str">
        <f>VLOOKUP(AB160, postcode_table!A:B, 2, FALSE)</f>
        <v>Slough</v>
      </c>
      <c r="AE160" s="1" t="str">
        <f>IFERROR(_xlfn.XLOOKUP(AC160, price_lookup_table!$C:$C, price_lookup_table!$B:$B), "")</f>
        <v>Self Pay</v>
      </c>
    </row>
    <row r="161" spans="1:31" ht="16.5" x14ac:dyDescent="0.25">
      <c r="A161" t="s">
        <v>34</v>
      </c>
      <c r="B161" s="36">
        <v>45713</v>
      </c>
      <c r="C161" s="36">
        <v>45686</v>
      </c>
      <c r="D161" t="s">
        <v>28</v>
      </c>
      <c r="E161" t="s">
        <v>29</v>
      </c>
      <c r="F161" t="s">
        <v>1898</v>
      </c>
      <c r="G161" t="s">
        <v>1899</v>
      </c>
      <c r="H161" t="s">
        <v>1900</v>
      </c>
      <c r="I161" t="s">
        <v>1901</v>
      </c>
      <c r="J161"/>
      <c r="K161"/>
      <c r="L161"/>
      <c r="M161" t="s">
        <v>816</v>
      </c>
      <c r="N161" t="s">
        <v>1146</v>
      </c>
      <c r="O161" t="s">
        <v>387</v>
      </c>
      <c r="P161" s="36">
        <v>23492</v>
      </c>
      <c r="Q161" s="45">
        <f t="shared" si="5"/>
        <v>60</v>
      </c>
      <c r="R161" t="s">
        <v>1009</v>
      </c>
      <c r="S161">
        <v>447899756933</v>
      </c>
      <c r="T161" t="s">
        <v>30</v>
      </c>
      <c r="U161"/>
      <c r="V161" s="39" cm="1">
        <f t="array" ref="V161">IFERROR(
    _xlfn.XLOOKUP(1,
        (tblPrices[Prefix]=$AC161)*(tblPrices[Product Code]=$T161),
        tblPrices[Price]
    ),
    0
)
+
IF(ISNUMBER(SEARCH("Mammogram",$U161)),
    IFERROR(_xlfn.XLOOKUP(1,(tblPrices[Prefix]=$AC161)*(tblPrices[Product Code]="Mammogram"),tblPrices[Price]),0),
    0
)
+
IF(ISNUMBER(SEARCH("PSA",$U161)),
    IFERROR(_xlfn.XLOOKUP(1,(tblPrices[Prefix]=$AC161)*(tblPrices[Product Code]="PSA"),tblPrices[Price]),0),
    0
)</f>
        <v>728</v>
      </c>
      <c r="W161" t="s">
        <v>629</v>
      </c>
      <c r="X161" t="s">
        <v>642</v>
      </c>
      <c r="Y161"/>
      <c r="Z161">
        <v>10102224</v>
      </c>
      <c r="AA161" t="s">
        <v>1111</v>
      </c>
      <c r="AB161" s="1" t="str" cm="1">
        <f t="array" ref="AB161" xml:space="preserve"> _xlfn.LET(_xlpm.pc, UPPER(TRIM(M161)), LEFT(_xlpm.pc, MIN(FIND({0,1,2,3,4,5,6,7,8,9}, _xlpm.pc&amp;"0123456789"))-1))</f>
        <v>SL</v>
      </c>
      <c r="AC161" s="1" t="str">
        <f t="shared" si="4"/>
        <v>AXA</v>
      </c>
      <c r="AD161" s="1" t="str">
        <f>VLOOKUP(AB161, postcode_table!A:B, 2, FALSE)</f>
        <v>Slough</v>
      </c>
      <c r="AE161" s="1" t="str">
        <f>IFERROR(_xlfn.XLOOKUP(AC161, price_lookup_table!$C:$C, price_lookup_table!$B:$B), "")</f>
        <v>Self Pay</v>
      </c>
    </row>
    <row r="162" spans="1:31" ht="16.5" x14ac:dyDescent="0.25">
      <c r="A162" t="s">
        <v>42</v>
      </c>
      <c r="B162" s="36">
        <v>45713</v>
      </c>
      <c r="C162" s="36">
        <v>45700</v>
      </c>
      <c r="D162" t="s">
        <v>28</v>
      </c>
      <c r="E162" t="s">
        <v>29</v>
      </c>
      <c r="F162" t="s">
        <v>1902</v>
      </c>
      <c r="G162" t="s">
        <v>1903</v>
      </c>
      <c r="H162" t="s">
        <v>1904</v>
      </c>
      <c r="I162" t="s">
        <v>1905</v>
      </c>
      <c r="J162"/>
      <c r="K162"/>
      <c r="L162"/>
      <c r="M162" t="s">
        <v>846</v>
      </c>
      <c r="N162" t="s">
        <v>1145</v>
      </c>
      <c r="O162" t="s">
        <v>388</v>
      </c>
      <c r="P162" s="36">
        <v>32663</v>
      </c>
      <c r="Q162" s="45">
        <f t="shared" si="5"/>
        <v>35</v>
      </c>
      <c r="R162" t="s">
        <v>1040</v>
      </c>
      <c r="S162">
        <v>447747791811</v>
      </c>
      <c r="T162" t="s">
        <v>30</v>
      </c>
      <c r="U162"/>
      <c r="V162" s="39" cm="1">
        <f t="array" ref="V162">IFERROR(
    _xlfn.XLOOKUP(1,
        (tblPrices[Prefix]=$AC162)*(tblPrices[Product Code]=$T162),
        tblPrices[Price]
    ),
    0
)
+
IF(ISNUMBER(SEARCH("Mammogram",$U162)),
    IFERROR(_xlfn.XLOOKUP(1,(tblPrices[Prefix]=$AC162)*(tblPrices[Product Code]="Mammogram"),tblPrices[Price]),0),
    0
)
+
IF(ISNUMBER(SEARCH("PSA",$U162)),
    IFERROR(_xlfn.XLOOKUP(1,(tblPrices[Prefix]=$AC162)*(tblPrices[Product Code]="PSA"),tblPrices[Price]),0),
    0
)</f>
        <v>728</v>
      </c>
      <c r="W162" t="s">
        <v>629</v>
      </c>
      <c r="X162" t="s">
        <v>1049</v>
      </c>
      <c r="Y162"/>
      <c r="Z162">
        <v>20179145</v>
      </c>
      <c r="AA162" t="s">
        <v>1117</v>
      </c>
      <c r="AB162" s="1" t="str" cm="1">
        <f t="array" ref="AB162" xml:space="preserve"> _xlfn.LET(_xlpm.pc, UPPER(TRIM(M162)), LEFT(_xlpm.pc, MIN(FIND({0,1,2,3,4,5,6,7,8,9}, _xlpm.pc&amp;"0123456789"))-1))</f>
        <v>W</v>
      </c>
      <c r="AC162" s="1" t="str">
        <f t="shared" si="4"/>
        <v>AXA</v>
      </c>
      <c r="AD162" s="1" t="str">
        <f>VLOOKUP(AB162, postcode_table!A:B, 2, FALSE)</f>
        <v>West London</v>
      </c>
      <c r="AE162" s="1" t="str">
        <f>IFERROR(_xlfn.XLOOKUP(AC162, price_lookup_table!$C:$C, price_lookup_table!$B:$B), "")</f>
        <v>Self Pay</v>
      </c>
    </row>
    <row r="163" spans="1:31" ht="16.5" x14ac:dyDescent="0.25">
      <c r="A163" t="s">
        <v>647</v>
      </c>
      <c r="B163" s="36">
        <v>45713</v>
      </c>
      <c r="C163" s="36">
        <v>45670</v>
      </c>
      <c r="D163" t="s">
        <v>28</v>
      </c>
      <c r="E163" t="s">
        <v>29</v>
      </c>
      <c r="F163" t="s">
        <v>1906</v>
      </c>
      <c r="G163" t="s">
        <v>1907</v>
      </c>
      <c r="H163" t="s">
        <v>1908</v>
      </c>
      <c r="I163" t="s">
        <v>1383</v>
      </c>
      <c r="J163"/>
      <c r="K163"/>
      <c r="L163"/>
      <c r="M163" t="s">
        <v>692</v>
      </c>
      <c r="N163" t="s">
        <v>1144</v>
      </c>
      <c r="O163" t="s">
        <v>387</v>
      </c>
      <c r="P163" s="36">
        <v>32191</v>
      </c>
      <c r="Q163" s="45">
        <f t="shared" si="5"/>
        <v>37</v>
      </c>
      <c r="R163" t="s">
        <v>881</v>
      </c>
      <c r="S163">
        <v>447712398803</v>
      </c>
      <c r="T163" t="s">
        <v>35</v>
      </c>
      <c r="U163"/>
      <c r="V163" s="39" cm="1">
        <f t="array" ref="V163">IFERROR(
    _xlfn.XLOOKUP(1,
        (tblPrices[Prefix]=$AC163)*(tblPrices[Product Code]=$T163),
        tblPrices[Price]
    ),
    0
)
+
IF(ISNUMBER(SEARCH("Mammogram",$U163)),
    IFERROR(_xlfn.XLOOKUP(1,(tblPrices[Prefix]=$AC163)*(tblPrices[Product Code]="Mammogram"),tblPrices[Price]),0),
    0
)
+
IF(ISNUMBER(SEARCH("PSA",$U163)),
    IFERROR(_xlfn.XLOOKUP(1,(tblPrices[Prefix]=$AC163)*(tblPrices[Product Code]="PSA"),tblPrices[Price]),0),
    0
)</f>
        <v>724.5</v>
      </c>
      <c r="W163" t="s">
        <v>629</v>
      </c>
      <c r="X163" t="s">
        <v>636</v>
      </c>
      <c r="Y163"/>
      <c r="Z163">
        <v>12967077</v>
      </c>
      <c r="AA163" t="s">
        <v>1081</v>
      </c>
      <c r="AB163" s="1" t="str" cm="1">
        <f t="array" ref="AB163" xml:space="preserve"> _xlfn.LET(_xlpm.pc, UPPER(TRIM(M163)), LEFT(_xlpm.pc, MIN(FIND({0,1,2,3,4,5,6,7,8,9}, _xlpm.pc&amp;"0123456789"))-1))</f>
        <v>BA</v>
      </c>
      <c r="AC163" s="1" t="str">
        <f t="shared" si="4"/>
        <v>M01</v>
      </c>
      <c r="AD163" s="1" t="str">
        <f>VLOOKUP(AB163, postcode_table!A:B, 2, FALSE)</f>
        <v>Bath</v>
      </c>
      <c r="AE163" s="1" t="str">
        <f>IFERROR(_xlfn.XLOOKUP(AC163, price_lookup_table!$C:$C, price_lookup_table!$B:$B), "")</f>
        <v>Self Pay</v>
      </c>
    </row>
    <row r="164" spans="1:31" ht="16.5" x14ac:dyDescent="0.25">
      <c r="A164" t="s">
        <v>659</v>
      </c>
      <c r="B164" s="36">
        <v>45713</v>
      </c>
      <c r="C164" s="36">
        <v>45688</v>
      </c>
      <c r="D164" t="s">
        <v>28</v>
      </c>
      <c r="E164" t="s">
        <v>29</v>
      </c>
      <c r="F164" t="s">
        <v>1909</v>
      </c>
      <c r="G164" t="s">
        <v>1910</v>
      </c>
      <c r="H164" t="s">
        <v>1911</v>
      </c>
      <c r="I164" t="s">
        <v>1912</v>
      </c>
      <c r="J164"/>
      <c r="K164"/>
      <c r="L164"/>
      <c r="M164" t="s">
        <v>740</v>
      </c>
      <c r="N164" t="s">
        <v>1143</v>
      </c>
      <c r="O164" t="s">
        <v>387</v>
      </c>
      <c r="P164" s="36">
        <v>38414</v>
      </c>
      <c r="Q164" s="45">
        <f t="shared" si="5"/>
        <v>19</v>
      </c>
      <c r="R164" t="s">
        <v>927</v>
      </c>
      <c r="S164">
        <v>447776175737</v>
      </c>
      <c r="T164" t="s">
        <v>35</v>
      </c>
      <c r="U164"/>
      <c r="V164" s="39" cm="1">
        <f t="array" ref="V164">IFERROR(
    _xlfn.XLOOKUP(1,
        (tblPrices[Prefix]=$AC164)*(tblPrices[Product Code]=$T164),
        tblPrices[Price]
    ),
    0
)
+
IF(ISNUMBER(SEARCH("Mammogram",$U164)),
    IFERROR(_xlfn.XLOOKUP(1,(tblPrices[Prefix]=$AC164)*(tblPrices[Product Code]="Mammogram"),tblPrices[Price]),0),
    0
)
+
IF(ISNUMBER(SEARCH("PSA",$U164)),
    IFERROR(_xlfn.XLOOKUP(1,(tblPrices[Prefix]=$AC164)*(tblPrices[Product Code]="PSA"),tblPrices[Price]),0),
    0
)</f>
        <v>724.5</v>
      </c>
      <c r="W164" t="s">
        <v>629</v>
      </c>
      <c r="X164" t="s">
        <v>1048</v>
      </c>
      <c r="Y164"/>
      <c r="Z164">
        <v>19024551</v>
      </c>
      <c r="AA164" t="s">
        <v>1081</v>
      </c>
      <c r="AB164" s="1" t="str" cm="1">
        <f t="array" ref="AB164" xml:space="preserve"> _xlfn.LET(_xlpm.pc, UPPER(TRIM(M164)), LEFT(_xlpm.pc, MIN(FIND({0,1,2,3,4,5,6,7,8,9}, _xlpm.pc&amp;"0123456789"))-1))</f>
        <v>IP</v>
      </c>
      <c r="AC164" s="1" t="str">
        <f t="shared" si="4"/>
        <v>M01</v>
      </c>
      <c r="AD164" s="1" t="str">
        <f>VLOOKUP(AB164, postcode_table!A:B, 2, FALSE)</f>
        <v>Ipswich</v>
      </c>
      <c r="AE164" s="1" t="str">
        <f>IFERROR(_xlfn.XLOOKUP(AC164, price_lookup_table!$C:$C, price_lookup_table!$B:$B), "")</f>
        <v>Self Pay</v>
      </c>
    </row>
    <row r="165" spans="1:31" ht="16.5" x14ac:dyDescent="0.25">
      <c r="A165" t="s">
        <v>659</v>
      </c>
      <c r="B165" s="36">
        <v>45713</v>
      </c>
      <c r="C165" s="36">
        <v>45688</v>
      </c>
      <c r="D165" t="s">
        <v>28</v>
      </c>
      <c r="E165" t="s">
        <v>29</v>
      </c>
      <c r="F165" t="s">
        <v>1913</v>
      </c>
      <c r="G165" t="s">
        <v>1914</v>
      </c>
      <c r="H165" t="s">
        <v>1915</v>
      </c>
      <c r="I165" t="s">
        <v>1916</v>
      </c>
      <c r="J165"/>
      <c r="K165"/>
      <c r="L165"/>
      <c r="M165" t="s">
        <v>740</v>
      </c>
      <c r="N165" t="s">
        <v>1142</v>
      </c>
      <c r="O165" t="s">
        <v>388</v>
      </c>
      <c r="P165" s="36">
        <v>17437</v>
      </c>
      <c r="Q165" s="45">
        <f t="shared" si="5"/>
        <v>77</v>
      </c>
      <c r="R165" t="s">
        <v>928</v>
      </c>
      <c r="S165">
        <v>447703280387</v>
      </c>
      <c r="T165" t="s">
        <v>35</v>
      </c>
      <c r="U165"/>
      <c r="V165" s="39" cm="1">
        <f t="array" ref="V165">IFERROR(
    _xlfn.XLOOKUP(1,
        (tblPrices[Prefix]=$AC165)*(tblPrices[Product Code]=$T165),
        tblPrices[Price]
    ),
    0
)
+
IF(ISNUMBER(SEARCH("Mammogram",$U165)),
    IFERROR(_xlfn.XLOOKUP(1,(tblPrices[Prefix]=$AC165)*(tblPrices[Product Code]="Mammogram"),tblPrices[Price]),0),
    0
)
+
IF(ISNUMBER(SEARCH("PSA",$U165)),
    IFERROR(_xlfn.XLOOKUP(1,(tblPrices[Prefix]=$AC165)*(tblPrices[Product Code]="PSA"),tblPrices[Price]),0),
    0
)</f>
        <v>724.5</v>
      </c>
      <c r="W165" t="s">
        <v>629</v>
      </c>
      <c r="X165" t="s">
        <v>1048</v>
      </c>
      <c r="Y165"/>
      <c r="Z165">
        <v>21519260</v>
      </c>
      <c r="AA165" t="s">
        <v>1081</v>
      </c>
      <c r="AB165" s="1" t="str" cm="1">
        <f t="array" ref="AB165" xml:space="preserve"> _xlfn.LET(_xlpm.pc, UPPER(TRIM(M165)), LEFT(_xlpm.pc, MIN(FIND({0,1,2,3,4,5,6,7,8,9}, _xlpm.pc&amp;"0123456789"))-1))</f>
        <v>IP</v>
      </c>
      <c r="AC165" s="1" t="str">
        <f t="shared" si="4"/>
        <v>M01</v>
      </c>
      <c r="AD165" s="1" t="str">
        <f>VLOOKUP(AB165, postcode_table!A:B, 2, FALSE)</f>
        <v>Ipswich</v>
      </c>
      <c r="AE165" s="1" t="str">
        <f>IFERROR(_xlfn.XLOOKUP(AC165, price_lookup_table!$C:$C, price_lookup_table!$B:$B), "")</f>
        <v>Self Pay</v>
      </c>
    </row>
    <row r="166" spans="1:31" ht="16.5" x14ac:dyDescent="0.25">
      <c r="A166" t="s">
        <v>34</v>
      </c>
      <c r="B166" s="36">
        <v>45713</v>
      </c>
      <c r="C166" s="36">
        <v>45707</v>
      </c>
      <c r="D166" t="s">
        <v>28</v>
      </c>
      <c r="E166" t="s">
        <v>29</v>
      </c>
      <c r="F166" t="s">
        <v>1917</v>
      </c>
      <c r="G166" t="s">
        <v>1918</v>
      </c>
      <c r="H166" t="s">
        <v>1919</v>
      </c>
      <c r="I166" t="s">
        <v>1920</v>
      </c>
      <c r="J166"/>
      <c r="K166"/>
      <c r="L166"/>
      <c r="M166" t="s">
        <v>750</v>
      </c>
      <c r="N166" t="s">
        <v>1141</v>
      </c>
      <c r="O166" t="s">
        <v>388</v>
      </c>
      <c r="P166" s="36">
        <v>36833</v>
      </c>
      <c r="Q166" s="45">
        <f t="shared" si="5"/>
        <v>24</v>
      </c>
      <c r="R166" t="s">
        <v>940</v>
      </c>
      <c r="S166">
        <v>447944986348</v>
      </c>
      <c r="T166" t="s">
        <v>197</v>
      </c>
      <c r="U166"/>
      <c r="V166" s="39" cm="1">
        <f t="array" ref="V166">IFERROR(
    _xlfn.XLOOKUP(1,
        (tblPrices[Prefix]=$AC166)*(tblPrices[Product Code]=$T166),
        tblPrices[Price]
    ),
    0
)
+
IF(ISNUMBER(SEARCH("Mammogram",$U166)),
    IFERROR(_xlfn.XLOOKUP(1,(tblPrices[Prefix]=$AC166)*(tblPrices[Product Code]="Mammogram"),tblPrices[Price]),0),
    0
)
+
IF(ISNUMBER(SEARCH("PSA",$U166)),
    IFERROR(_xlfn.XLOOKUP(1,(tblPrices[Prefix]=$AC166)*(tblPrices[Product Code]="PSA"),tblPrices[Price]),0),
    0
)</f>
        <v>246</v>
      </c>
      <c r="W166" t="s">
        <v>629</v>
      </c>
      <c r="X166" t="s">
        <v>1048</v>
      </c>
      <c r="Y166"/>
      <c r="Z166">
        <v>22062562</v>
      </c>
      <c r="AA166" t="s">
        <v>1081</v>
      </c>
      <c r="AB166" s="1" t="str" cm="1">
        <f t="array" ref="AB166" xml:space="preserve"> _xlfn.LET(_xlpm.pc, UPPER(TRIM(M166)), LEFT(_xlpm.pc, MIN(FIND({0,1,2,3,4,5,6,7,8,9}, _xlpm.pc&amp;"0123456789"))-1))</f>
        <v>KT</v>
      </c>
      <c r="AC166" s="1" t="str">
        <f t="shared" si="4"/>
        <v>M01</v>
      </c>
      <c r="AD166" s="1" t="str">
        <f>VLOOKUP(AB166, postcode_table!A:B, 2, FALSE)</f>
        <v>Kingston upon Thames</v>
      </c>
      <c r="AE166" s="1" t="str">
        <f>IFERROR(_xlfn.XLOOKUP(AC166, price_lookup_table!$C:$C, price_lookup_table!$B:$B), "")</f>
        <v>Self Pay</v>
      </c>
    </row>
    <row r="167" spans="1:31" ht="16.5" x14ac:dyDescent="0.25">
      <c r="A167" t="s">
        <v>647</v>
      </c>
      <c r="B167" s="36">
        <v>45713</v>
      </c>
      <c r="C167" s="36">
        <v>45667</v>
      </c>
      <c r="D167" t="s">
        <v>28</v>
      </c>
      <c r="E167" t="s">
        <v>29</v>
      </c>
      <c r="F167" t="s">
        <v>676</v>
      </c>
      <c r="G167" t="s">
        <v>1921</v>
      </c>
      <c r="H167" t="s">
        <v>1922</v>
      </c>
      <c r="I167" t="s">
        <v>1544</v>
      </c>
      <c r="J167"/>
      <c r="K167"/>
      <c r="L167"/>
      <c r="M167" t="s">
        <v>820</v>
      </c>
      <c r="N167" t="s">
        <v>1140</v>
      </c>
      <c r="O167" t="s">
        <v>387</v>
      </c>
      <c r="P167" s="36">
        <v>26010</v>
      </c>
      <c r="Q167" s="45">
        <f t="shared" si="5"/>
        <v>53</v>
      </c>
      <c r="R167" t="s">
        <v>1013</v>
      </c>
      <c r="S167">
        <v>447884166943</v>
      </c>
      <c r="T167" t="s">
        <v>35</v>
      </c>
      <c r="U167"/>
      <c r="V167" s="39" cm="1">
        <f t="array" ref="V167">IFERROR(
    _xlfn.XLOOKUP(1,
        (tblPrices[Prefix]=$AC167)*(tblPrices[Product Code]=$T167),
        tblPrices[Price]
    ),
    0
)
+
IF(ISNUMBER(SEARCH("Mammogram",$U167)),
    IFERROR(_xlfn.XLOOKUP(1,(tblPrices[Prefix]=$AC167)*(tblPrices[Product Code]="Mammogram"),tblPrices[Price]),0),
    0
)
+
IF(ISNUMBER(SEARCH("PSA",$U167)),
    IFERROR(_xlfn.XLOOKUP(1,(tblPrices[Prefix]=$AC167)*(tblPrices[Product Code]="PSA"),tblPrices[Price]),0),
    0
)</f>
        <v>724.5</v>
      </c>
      <c r="W167" t="s">
        <v>629</v>
      </c>
      <c r="X167" t="s">
        <v>636</v>
      </c>
      <c r="Y167"/>
      <c r="Z167">
        <v>12999457</v>
      </c>
      <c r="AA167" t="s">
        <v>1083</v>
      </c>
      <c r="AB167" s="1" t="str" cm="1">
        <f t="array" ref="AB167" xml:space="preserve"> _xlfn.LET(_xlpm.pc, UPPER(TRIM(M167)), LEFT(_xlpm.pc, MIN(FIND({0,1,2,3,4,5,6,7,8,9}, _xlpm.pc&amp;"0123456789"))-1))</f>
        <v>SN</v>
      </c>
      <c r="AC167" s="1" t="str">
        <f t="shared" si="4"/>
        <v>M01</v>
      </c>
      <c r="AD167" s="1" t="str">
        <f>VLOOKUP(AB167, postcode_table!A:B, 2, FALSE)</f>
        <v>Swindon</v>
      </c>
      <c r="AE167" s="1" t="str">
        <f>IFERROR(_xlfn.XLOOKUP(AC167, price_lookup_table!$C:$C, price_lookup_table!$B:$B), "")</f>
        <v>Self Pay</v>
      </c>
    </row>
    <row r="168" spans="1:31" ht="16.5" x14ac:dyDescent="0.25">
      <c r="A168" t="s">
        <v>645</v>
      </c>
      <c r="B168" s="36">
        <v>45714</v>
      </c>
      <c r="C168" s="36">
        <v>45692</v>
      </c>
      <c r="D168" t="s">
        <v>28</v>
      </c>
      <c r="E168" t="s">
        <v>29</v>
      </c>
      <c r="F168" t="s">
        <v>1923</v>
      </c>
      <c r="G168" t="s">
        <v>1924</v>
      </c>
      <c r="H168" t="s">
        <v>1925</v>
      </c>
      <c r="I168" t="s">
        <v>1926</v>
      </c>
      <c r="J168"/>
      <c r="K168"/>
      <c r="L168"/>
      <c r="M168" t="s">
        <v>667</v>
      </c>
      <c r="N168" t="s">
        <v>1139</v>
      </c>
      <c r="O168" t="s">
        <v>387</v>
      </c>
      <c r="P168" s="36">
        <v>35400</v>
      </c>
      <c r="Q168" s="45">
        <f t="shared" si="5"/>
        <v>28</v>
      </c>
      <c r="R168" t="s">
        <v>861</v>
      </c>
      <c r="S168">
        <v>447753393475</v>
      </c>
      <c r="T168" t="s">
        <v>197</v>
      </c>
      <c r="U168"/>
      <c r="V168" s="39" cm="1">
        <f t="array" ref="V168">IFERROR(
    _xlfn.XLOOKUP(1,
        (tblPrices[Prefix]=$AC168)*(tblPrices[Product Code]=$T168),
        tblPrices[Price]
    ),
    0
)
+
IF(ISNUMBER(SEARCH("Mammogram",$U168)),
    IFERROR(_xlfn.XLOOKUP(1,(tblPrices[Prefix]=$AC168)*(tblPrices[Product Code]="Mammogram"),tblPrices[Price]),0),
    0
)
+
IF(ISNUMBER(SEARCH("PSA",$U168)),
    IFERROR(_xlfn.XLOOKUP(1,(tblPrices[Prefix]=$AC168)*(tblPrices[Product Code]="PSA"),tblPrices[Price]),0),
    0
)</f>
        <v>185</v>
      </c>
      <c r="W168" t="s">
        <v>629</v>
      </c>
      <c r="X168" t="s">
        <v>1058</v>
      </c>
      <c r="Y168"/>
      <c r="Z168">
        <v>22042985</v>
      </c>
      <c r="AA168" t="s">
        <v>1086</v>
      </c>
      <c r="AB168" s="1" t="str" cm="1">
        <f t="array" ref="AB168" xml:space="preserve"> _xlfn.LET(_xlpm.pc, UPPER(TRIM(M168)), LEFT(_xlpm.pc, MIN(FIND({0,1,2,3,4,5,6,7,8,9}, _xlpm.pc&amp;"0123456789"))-1))</f>
        <v>AB</v>
      </c>
      <c r="AC168" s="1" t="str">
        <f t="shared" si="4"/>
        <v>AXA</v>
      </c>
      <c r="AD168" s="1" t="str">
        <f>VLOOKUP(AB168, postcode_table!A:B, 2, FALSE)</f>
        <v>Aberdeen</v>
      </c>
      <c r="AE168" s="1" t="str">
        <f>IFERROR(_xlfn.XLOOKUP(AC168, price_lookup_table!$C:$C, price_lookup_table!$B:$B), "")</f>
        <v>Self Pay</v>
      </c>
    </row>
    <row r="169" spans="1:31" ht="16.5" x14ac:dyDescent="0.25">
      <c r="A169" t="s">
        <v>647</v>
      </c>
      <c r="B169" s="36">
        <v>45714</v>
      </c>
      <c r="C169" s="36">
        <v>45688</v>
      </c>
      <c r="D169" t="s">
        <v>28</v>
      </c>
      <c r="E169" t="s">
        <v>29</v>
      </c>
      <c r="F169" t="s">
        <v>1927</v>
      </c>
      <c r="G169" t="s">
        <v>670</v>
      </c>
      <c r="H169" t="s">
        <v>1928</v>
      </c>
      <c r="I169" t="s">
        <v>1929</v>
      </c>
      <c r="J169"/>
      <c r="K169"/>
      <c r="L169"/>
      <c r="M169" t="s">
        <v>690</v>
      </c>
      <c r="N169" t="s">
        <v>1138</v>
      </c>
      <c r="O169" t="s">
        <v>387</v>
      </c>
      <c r="P169" s="36">
        <v>24192</v>
      </c>
      <c r="Q169" s="45">
        <f t="shared" si="5"/>
        <v>58</v>
      </c>
      <c r="R169" t="s">
        <v>879</v>
      </c>
      <c r="S169">
        <v>447792758342</v>
      </c>
      <c r="T169" t="s">
        <v>174</v>
      </c>
      <c r="U169"/>
      <c r="V169" s="39" cm="1">
        <f t="array" ref="V169">IFERROR(
    _xlfn.XLOOKUP(1,
        (tblPrices[Prefix]=$AC169)*(tblPrices[Product Code]=$T169),
        tblPrices[Price]
    ),
    0
)
+
IF(ISNUMBER(SEARCH("Mammogram",$U169)),
    IFERROR(_xlfn.XLOOKUP(1,(tblPrices[Prefix]=$AC169)*(tblPrices[Product Code]="Mammogram"),tblPrices[Price]),0),
    0
)
+
IF(ISNUMBER(SEARCH("PSA",$U169)),
    IFERROR(_xlfn.XLOOKUP(1,(tblPrices[Prefix]=$AC169)*(tblPrices[Product Code]="PSA"),tblPrices[Price]),0),
    0
)</f>
        <v>357</v>
      </c>
      <c r="W169" t="s">
        <v>629</v>
      </c>
      <c r="X169" t="s">
        <v>1050</v>
      </c>
      <c r="Y169"/>
      <c r="Z169">
        <v>19001613</v>
      </c>
      <c r="AA169" t="s">
        <v>1090</v>
      </c>
      <c r="AB169" s="1" t="str" cm="1">
        <f t="array" ref="AB169" xml:space="preserve"> _xlfn.LET(_xlpm.pc, UPPER(TRIM(M169)), LEFT(_xlpm.pc, MIN(FIND({0,1,2,3,4,5,6,7,8,9}, _xlpm.pc&amp;"0123456789"))-1))</f>
        <v>BA</v>
      </c>
      <c r="AC169" s="1" t="str">
        <f t="shared" si="4"/>
        <v>AXA</v>
      </c>
      <c r="AD169" s="1" t="str">
        <f>VLOOKUP(AB169, postcode_table!A:B, 2, FALSE)</f>
        <v>Bath</v>
      </c>
      <c r="AE169" s="1" t="str">
        <f>IFERROR(_xlfn.XLOOKUP(AC169, price_lookup_table!$C:$C, price_lookup_table!$B:$B), "")</f>
        <v>Self Pay</v>
      </c>
    </row>
    <row r="170" spans="1:31" ht="16.5" x14ac:dyDescent="0.25">
      <c r="A170" t="s">
        <v>34</v>
      </c>
      <c r="B170" s="36">
        <v>45714</v>
      </c>
      <c r="C170" s="36">
        <v>45698</v>
      </c>
      <c r="D170" t="s">
        <v>28</v>
      </c>
      <c r="E170" t="s">
        <v>29</v>
      </c>
      <c r="F170" t="s">
        <v>1930</v>
      </c>
      <c r="G170" t="s">
        <v>1931</v>
      </c>
      <c r="H170" t="s">
        <v>1932</v>
      </c>
      <c r="I170" t="s">
        <v>1933</v>
      </c>
      <c r="J170"/>
      <c r="K170"/>
      <c r="L170"/>
      <c r="M170" t="s">
        <v>698</v>
      </c>
      <c r="N170" t="s">
        <v>1137</v>
      </c>
      <c r="O170" t="s">
        <v>387</v>
      </c>
      <c r="P170" s="36">
        <v>35398</v>
      </c>
      <c r="Q170" s="45">
        <f t="shared" si="5"/>
        <v>28</v>
      </c>
      <c r="R170" t="s">
        <v>887</v>
      </c>
      <c r="S170">
        <v>447767478545</v>
      </c>
      <c r="T170" t="s">
        <v>35</v>
      </c>
      <c r="U170"/>
      <c r="V170" s="39" cm="1">
        <f t="array" ref="V170">IFERROR(
    _xlfn.XLOOKUP(1,
        (tblPrices[Prefix]=$AC170)*(tblPrices[Product Code]=$T170),
        tblPrices[Price]
    ),
    0
)
+
IF(ISNUMBER(SEARCH("Mammogram",$U170)),
    IFERROR(_xlfn.XLOOKUP(1,(tblPrices[Prefix]=$AC170)*(tblPrices[Product Code]="Mammogram"),tblPrices[Price]),0),
    0
)
+
IF(ISNUMBER(SEARCH("PSA",$U170)),
    IFERROR(_xlfn.XLOOKUP(1,(tblPrices[Prefix]=$AC170)*(tblPrices[Product Code]="PSA"),tblPrices[Price]),0),
    0
)</f>
        <v>543</v>
      </c>
      <c r="W170" t="s">
        <v>629</v>
      </c>
      <c r="X170" t="s">
        <v>636</v>
      </c>
      <c r="Y170"/>
      <c r="Z170">
        <v>14898117</v>
      </c>
      <c r="AA170" t="s">
        <v>1092</v>
      </c>
      <c r="AB170" s="1" t="str" cm="1">
        <f t="array" ref="AB170" xml:space="preserve"> _xlfn.LET(_xlpm.pc, UPPER(TRIM(M170)), LEFT(_xlpm.pc, MIN(FIND({0,1,2,3,4,5,6,7,8,9}, _xlpm.pc&amp;"0123456789"))-1))</f>
        <v>BN</v>
      </c>
      <c r="AC170" s="1" t="str">
        <f t="shared" si="4"/>
        <v>AXA</v>
      </c>
      <c r="AD170" s="1" t="str">
        <f>VLOOKUP(AB170, postcode_table!A:B, 2, FALSE)</f>
        <v>Brighton</v>
      </c>
      <c r="AE170" s="1" t="str">
        <f>IFERROR(_xlfn.XLOOKUP(AC170, price_lookup_table!$C:$C, price_lookup_table!$B:$B), "")</f>
        <v>Self Pay</v>
      </c>
    </row>
    <row r="171" spans="1:31" ht="16.5" x14ac:dyDescent="0.25">
      <c r="A171" t="s">
        <v>652</v>
      </c>
      <c r="B171" s="36">
        <v>45714</v>
      </c>
      <c r="C171" s="36">
        <v>45681</v>
      </c>
      <c r="D171" t="s">
        <v>28</v>
      </c>
      <c r="E171" t="s">
        <v>29</v>
      </c>
      <c r="F171" t="s">
        <v>1934</v>
      </c>
      <c r="G171" t="s">
        <v>1935</v>
      </c>
      <c r="H171" t="s">
        <v>1936</v>
      </c>
      <c r="I171" t="s">
        <v>1937</v>
      </c>
      <c r="J171"/>
      <c r="K171"/>
      <c r="L171"/>
      <c r="M171" t="s">
        <v>714</v>
      </c>
      <c r="N171" t="s">
        <v>1136</v>
      </c>
      <c r="O171" t="s">
        <v>388</v>
      </c>
      <c r="P171" s="36">
        <v>23699</v>
      </c>
      <c r="Q171" s="45">
        <f t="shared" si="5"/>
        <v>60</v>
      </c>
      <c r="R171" t="s">
        <v>903</v>
      </c>
      <c r="S171">
        <v>447810350062</v>
      </c>
      <c r="T171" t="s">
        <v>30</v>
      </c>
      <c r="U171"/>
      <c r="V171" s="39" cm="1">
        <f t="array" ref="V171">IFERROR(
    _xlfn.XLOOKUP(1,
        (tblPrices[Prefix]=$AC171)*(tblPrices[Product Code]=$T171),
        tblPrices[Price]
    ),
    0
)
+
IF(ISNUMBER(SEARCH("Mammogram",$U171)),
    IFERROR(_xlfn.XLOOKUP(1,(tblPrices[Prefix]=$AC171)*(tblPrices[Product Code]="Mammogram"),tblPrices[Price]),0),
    0
)
+
IF(ISNUMBER(SEARCH("PSA",$U171)),
    IFERROR(_xlfn.XLOOKUP(1,(tblPrices[Prefix]=$AC171)*(tblPrices[Product Code]="PSA"),tblPrices[Price]),0),
    0
)</f>
        <v>728</v>
      </c>
      <c r="W171" t="s">
        <v>629</v>
      </c>
      <c r="X171" t="s">
        <v>1048</v>
      </c>
      <c r="Y171"/>
      <c r="Z171">
        <v>20054636</v>
      </c>
      <c r="AA171" t="s">
        <v>1095</v>
      </c>
      <c r="AB171" s="1" t="str" cm="1">
        <f t="array" ref="AB171" xml:space="preserve"> _xlfn.LET(_xlpm.pc, UPPER(TRIM(M171)), LEFT(_xlpm.pc, MIN(FIND({0,1,2,3,4,5,6,7,8,9}, _xlpm.pc&amp;"0123456789"))-1))</f>
        <v>DL</v>
      </c>
      <c r="AC171" s="1" t="str">
        <f t="shared" si="4"/>
        <v>AXA</v>
      </c>
      <c r="AD171" s="1" t="str">
        <f>VLOOKUP(AB171, postcode_table!A:B, 2, FALSE)</f>
        <v>Darlington</v>
      </c>
      <c r="AE171" s="1" t="str">
        <f>IFERROR(_xlfn.XLOOKUP(AC171, price_lookup_table!$C:$C, price_lookup_table!$B:$B), "")</f>
        <v>Self Pay</v>
      </c>
    </row>
    <row r="172" spans="1:31" ht="16.5" x14ac:dyDescent="0.25">
      <c r="A172" t="s">
        <v>46</v>
      </c>
      <c r="B172" s="36">
        <v>45714</v>
      </c>
      <c r="C172" s="36">
        <v>45667</v>
      </c>
      <c r="D172" t="s">
        <v>28</v>
      </c>
      <c r="E172" t="s">
        <v>29</v>
      </c>
      <c r="F172" t="s">
        <v>686</v>
      </c>
      <c r="G172" t="s">
        <v>1938</v>
      </c>
      <c r="H172" t="s">
        <v>1939</v>
      </c>
      <c r="I172" t="s">
        <v>1940</v>
      </c>
      <c r="J172"/>
      <c r="K172"/>
      <c r="L172"/>
      <c r="M172" t="s">
        <v>734</v>
      </c>
      <c r="N172" t="s">
        <v>1135</v>
      </c>
      <c r="O172" t="s">
        <v>387</v>
      </c>
      <c r="P172" s="36">
        <v>22207</v>
      </c>
      <c r="Q172" s="45">
        <f t="shared" si="5"/>
        <v>64</v>
      </c>
      <c r="R172" t="s">
        <v>922</v>
      </c>
      <c r="S172">
        <v>447575752323</v>
      </c>
      <c r="T172" t="s">
        <v>35</v>
      </c>
      <c r="U172"/>
      <c r="V172" s="39" cm="1">
        <f t="array" ref="V172">IFERROR(
    _xlfn.XLOOKUP(1,
        (tblPrices[Prefix]=$AC172)*(tblPrices[Product Code]=$T172),
        tblPrices[Price]
    ),
    0
)
+
IF(ISNUMBER(SEARCH("Mammogram",$U172)),
    IFERROR(_xlfn.XLOOKUP(1,(tblPrices[Prefix]=$AC172)*(tblPrices[Product Code]="Mammogram"),tblPrices[Price]),0),
    0
)
+
IF(ISNUMBER(SEARCH("PSA",$U172)),
    IFERROR(_xlfn.XLOOKUP(1,(tblPrices[Prefix]=$AC172)*(tblPrices[Product Code]="PSA"),tblPrices[Price]),0),
    0
)</f>
        <v>543</v>
      </c>
      <c r="W172" t="s">
        <v>629</v>
      </c>
      <c r="X172" t="s">
        <v>636</v>
      </c>
      <c r="Y172"/>
      <c r="Z172">
        <v>22012544</v>
      </c>
      <c r="AA172" t="s">
        <v>1082</v>
      </c>
      <c r="AB172" s="1" t="str" cm="1">
        <f t="array" ref="AB172" xml:space="preserve"> _xlfn.LET(_xlpm.pc, UPPER(TRIM(M172)), LEFT(_xlpm.pc, MIN(FIND({0,1,2,3,4,5,6,7,8,9}, _xlpm.pc&amp;"0123456789"))-1))</f>
        <v>HP</v>
      </c>
      <c r="AC172" s="1" t="str">
        <f t="shared" si="4"/>
        <v>AXA</v>
      </c>
      <c r="AD172" s="1" t="str">
        <f>VLOOKUP(AB172, postcode_table!A:B, 2, FALSE)</f>
        <v>Hemel Hempstead</v>
      </c>
      <c r="AE172" s="1" t="str">
        <f>IFERROR(_xlfn.XLOOKUP(AC172, price_lookup_table!$C:$C, price_lookup_table!$B:$B), "")</f>
        <v>Self Pay</v>
      </c>
    </row>
    <row r="173" spans="1:31" ht="16.5" x14ac:dyDescent="0.25">
      <c r="A173" t="s">
        <v>34</v>
      </c>
      <c r="B173" s="36">
        <v>45714</v>
      </c>
      <c r="C173" s="36">
        <v>45688</v>
      </c>
      <c r="D173" t="s">
        <v>28</v>
      </c>
      <c r="E173" t="s">
        <v>29</v>
      </c>
      <c r="F173" t="s">
        <v>1941</v>
      </c>
      <c r="G173" t="s">
        <v>1942</v>
      </c>
      <c r="H173" t="s">
        <v>1943</v>
      </c>
      <c r="I173" t="s">
        <v>1944</v>
      </c>
      <c r="J173"/>
      <c r="K173"/>
      <c r="L173"/>
      <c r="M173" t="s">
        <v>749</v>
      </c>
      <c r="N173" t="s">
        <v>1134</v>
      </c>
      <c r="O173" t="s">
        <v>387</v>
      </c>
      <c r="P173" s="36">
        <v>16235</v>
      </c>
      <c r="Q173" s="45">
        <f t="shared" si="5"/>
        <v>80</v>
      </c>
      <c r="R173" t="s">
        <v>939</v>
      </c>
      <c r="S173">
        <v>447917628544</v>
      </c>
      <c r="T173" t="s">
        <v>30</v>
      </c>
      <c r="U173"/>
      <c r="V173" s="39" cm="1">
        <f t="array" ref="V173">IFERROR(
    _xlfn.XLOOKUP(1,
        (tblPrices[Prefix]=$AC173)*(tblPrices[Product Code]=$T173),
        tblPrices[Price]
    ),
    0
)
+
IF(ISNUMBER(SEARCH("Mammogram",$U173)),
    IFERROR(_xlfn.XLOOKUP(1,(tblPrices[Prefix]=$AC173)*(tblPrices[Product Code]="Mammogram"),tblPrices[Price]),0),
    0
)
+
IF(ISNUMBER(SEARCH("PSA",$U173)),
    IFERROR(_xlfn.XLOOKUP(1,(tblPrices[Prefix]=$AC173)*(tblPrices[Product Code]="PSA"),tblPrices[Price]),0),
    0
)</f>
        <v>728</v>
      </c>
      <c r="W173" t="s">
        <v>629</v>
      </c>
      <c r="X173" t="s">
        <v>643</v>
      </c>
      <c r="Y173"/>
      <c r="Z173">
        <v>15774201</v>
      </c>
      <c r="AA173" t="s">
        <v>1098</v>
      </c>
      <c r="AB173" s="1" t="str" cm="1">
        <f t="array" ref="AB173" xml:space="preserve"> _xlfn.LET(_xlpm.pc, UPPER(TRIM(M173)), LEFT(_xlpm.pc, MIN(FIND({0,1,2,3,4,5,6,7,8,9}, _xlpm.pc&amp;"0123456789"))-1))</f>
        <v>KT</v>
      </c>
      <c r="AC173" s="1" t="str">
        <f t="shared" si="4"/>
        <v>AXA</v>
      </c>
      <c r="AD173" s="1" t="str">
        <f>VLOOKUP(AB173, postcode_table!A:B, 2, FALSE)</f>
        <v>Kingston upon Thames</v>
      </c>
      <c r="AE173" s="1" t="str">
        <f>IFERROR(_xlfn.XLOOKUP(AC173, price_lookup_table!$C:$C, price_lookup_table!$B:$B), "")</f>
        <v>Self Pay</v>
      </c>
    </row>
    <row r="174" spans="1:31" ht="16.5" x14ac:dyDescent="0.25">
      <c r="A174" t="s">
        <v>72</v>
      </c>
      <c r="B174" s="36">
        <v>45714</v>
      </c>
      <c r="C174" s="36">
        <v>45686</v>
      </c>
      <c r="D174" t="s">
        <v>28</v>
      </c>
      <c r="E174" t="s">
        <v>29</v>
      </c>
      <c r="F174" t="s">
        <v>1945</v>
      </c>
      <c r="G174" t="s">
        <v>1946</v>
      </c>
      <c r="H174" t="s">
        <v>1947</v>
      </c>
      <c r="I174" t="s">
        <v>1948</v>
      </c>
      <c r="J174"/>
      <c r="K174"/>
      <c r="L174"/>
      <c r="M174" t="s">
        <v>771</v>
      </c>
      <c r="N174" t="s">
        <v>1133</v>
      </c>
      <c r="O174" t="s">
        <v>387</v>
      </c>
      <c r="P174" s="36">
        <v>26996</v>
      </c>
      <c r="Q174" s="45">
        <f t="shared" si="5"/>
        <v>51</v>
      </c>
      <c r="R174" t="s">
        <v>960</v>
      </c>
      <c r="S174">
        <v>447900040033</v>
      </c>
      <c r="T174" t="s">
        <v>30</v>
      </c>
      <c r="U174"/>
      <c r="V174" s="39" cm="1">
        <f t="array" ref="V174">IFERROR(
    _xlfn.XLOOKUP(1,
        (tblPrices[Prefix]=$AC174)*(tblPrices[Product Code]=$T174),
        tblPrices[Price]
    ),
    0
)
+
IF(ISNUMBER(SEARCH("Mammogram",$U174)),
    IFERROR(_xlfn.XLOOKUP(1,(tblPrices[Prefix]=$AC174)*(tblPrices[Product Code]="Mammogram"),tblPrices[Price]),0),
    0
)
+
IF(ISNUMBER(SEARCH("PSA",$U174)),
    IFERROR(_xlfn.XLOOKUP(1,(tblPrices[Prefix]=$AC174)*(tblPrices[Product Code]="PSA"),tblPrices[Price]),0),
    0
)</f>
        <v>728</v>
      </c>
      <c r="W174" t="s">
        <v>629</v>
      </c>
      <c r="X174" t="s">
        <v>1058</v>
      </c>
      <c r="Y174"/>
      <c r="Z174">
        <v>14583868</v>
      </c>
      <c r="AA174" t="s">
        <v>1082</v>
      </c>
      <c r="AB174" s="1" t="str" cm="1">
        <f t="array" ref="AB174" xml:space="preserve"> _xlfn.LET(_xlpm.pc, UPPER(TRIM(M174)), LEFT(_xlpm.pc, MIN(FIND({0,1,2,3,4,5,6,7,8,9}, _xlpm.pc&amp;"0123456789"))-1))</f>
        <v>N</v>
      </c>
      <c r="AC174" s="1" t="str">
        <f t="shared" si="4"/>
        <v>AXA</v>
      </c>
      <c r="AD174" s="1" t="str">
        <f>VLOOKUP(AB174, postcode_table!A:B, 2, FALSE)</f>
        <v>North London</v>
      </c>
      <c r="AE174" s="1" t="str">
        <f>IFERROR(_xlfn.XLOOKUP(AC174, price_lookup_table!$C:$C, price_lookup_table!$B:$B), "")</f>
        <v>Self Pay</v>
      </c>
    </row>
    <row r="175" spans="1:31" ht="16.5" x14ac:dyDescent="0.25">
      <c r="A175" t="s">
        <v>651</v>
      </c>
      <c r="B175" s="36">
        <v>45714</v>
      </c>
      <c r="C175" s="36">
        <v>45678</v>
      </c>
      <c r="D175" t="s">
        <v>28</v>
      </c>
      <c r="E175" t="s">
        <v>29</v>
      </c>
      <c r="F175" t="s">
        <v>1949</v>
      </c>
      <c r="G175" t="s">
        <v>1950</v>
      </c>
      <c r="H175" t="s">
        <v>1951</v>
      </c>
      <c r="I175" t="s">
        <v>1952</v>
      </c>
      <c r="J175"/>
      <c r="K175"/>
      <c r="L175"/>
      <c r="M175" t="s">
        <v>780</v>
      </c>
      <c r="N175" t="s">
        <v>1132</v>
      </c>
      <c r="O175" t="s">
        <v>387</v>
      </c>
      <c r="P175" s="36">
        <v>25174</v>
      </c>
      <c r="Q175" s="45">
        <f t="shared" si="5"/>
        <v>56</v>
      </c>
      <c r="R175" t="s">
        <v>970</v>
      </c>
      <c r="S175">
        <v>447811192416</v>
      </c>
      <c r="T175" t="s">
        <v>30</v>
      </c>
      <c r="U175"/>
      <c r="V175" s="39" cm="1">
        <f t="array" ref="V175">IFERROR(
    _xlfn.XLOOKUP(1,
        (tblPrices[Prefix]=$AC175)*(tblPrices[Product Code]=$T175),
        tblPrices[Price]
    ),
    0
)
+
IF(ISNUMBER(SEARCH("Mammogram",$U175)),
    IFERROR(_xlfn.XLOOKUP(1,(tblPrices[Prefix]=$AC175)*(tblPrices[Product Code]="Mammogram"),tblPrices[Price]),0),
    0
)
+
IF(ISNUMBER(SEARCH("PSA",$U175)),
    IFERROR(_xlfn.XLOOKUP(1,(tblPrices[Prefix]=$AC175)*(tblPrices[Product Code]="PSA"),tblPrices[Price]),0),
    0
)</f>
        <v>728</v>
      </c>
      <c r="W175" t="s">
        <v>629</v>
      </c>
      <c r="X175" t="s">
        <v>1055</v>
      </c>
      <c r="Y175"/>
      <c r="Z175">
        <v>15246853</v>
      </c>
      <c r="AA175" t="s">
        <v>1082</v>
      </c>
      <c r="AB175" s="1" t="str" cm="1">
        <f t="array" ref="AB175" xml:space="preserve"> _xlfn.LET(_xlpm.pc, UPPER(TRIM(M175)), LEFT(_xlpm.pc, MIN(FIND({0,1,2,3,4,5,6,7,8,9}, _xlpm.pc&amp;"0123456789"))-1))</f>
        <v>NN</v>
      </c>
      <c r="AC175" s="1" t="str">
        <f t="shared" si="4"/>
        <v>AXA</v>
      </c>
      <c r="AD175" s="1" t="str">
        <f>VLOOKUP(AB175, postcode_table!A:B, 2, FALSE)</f>
        <v>Northampton</v>
      </c>
      <c r="AE175" s="1" t="str">
        <f>IFERROR(_xlfn.XLOOKUP(AC175, price_lookup_table!$C:$C, price_lookup_table!$B:$B), "")</f>
        <v>Self Pay</v>
      </c>
    </row>
    <row r="176" spans="1:31" ht="16.5" x14ac:dyDescent="0.25">
      <c r="A176" t="s">
        <v>651</v>
      </c>
      <c r="B176" s="36">
        <v>45714</v>
      </c>
      <c r="C176" s="36">
        <v>45693</v>
      </c>
      <c r="D176" t="s">
        <v>28</v>
      </c>
      <c r="E176" t="s">
        <v>29</v>
      </c>
      <c r="F176" t="s">
        <v>728</v>
      </c>
      <c r="G176" t="s">
        <v>1953</v>
      </c>
      <c r="H176" t="s">
        <v>1954</v>
      </c>
      <c r="I176" t="s">
        <v>1955</v>
      </c>
      <c r="J176"/>
      <c r="K176"/>
      <c r="L176"/>
      <c r="M176" t="s">
        <v>779</v>
      </c>
      <c r="N176" t="s">
        <v>1131</v>
      </c>
      <c r="O176" t="s">
        <v>388</v>
      </c>
      <c r="P176" s="36">
        <v>15966</v>
      </c>
      <c r="Q176" s="45">
        <f t="shared" si="5"/>
        <v>81</v>
      </c>
      <c r="R176" t="s">
        <v>969</v>
      </c>
      <c r="S176">
        <v>447789503112</v>
      </c>
      <c r="T176" t="s">
        <v>30</v>
      </c>
      <c r="U176" t="s">
        <v>628</v>
      </c>
      <c r="V176" s="39" cm="1">
        <f t="array" ref="V176">IFERROR(
    _xlfn.XLOOKUP(1,
        (tblPrices[Prefix]=$AC176)*(tblPrices[Product Code]=$T176),
        tblPrices[Price]
    ),
    0
)
+
IF(ISNUMBER(SEARCH("Mammogram",$U176)),
    IFERROR(_xlfn.XLOOKUP(1,(tblPrices[Prefix]=$AC176)*(tblPrices[Product Code]="Mammogram"),tblPrices[Price]),0),
    0
)
+
IF(ISNUMBER(SEARCH("PSA",$U176)),
    IFERROR(_xlfn.XLOOKUP(1,(tblPrices[Prefix]=$AC176)*(tblPrices[Product Code]="PSA"),tblPrices[Price]),0),
    0
)</f>
        <v>875</v>
      </c>
      <c r="W176" t="s">
        <v>629</v>
      </c>
      <c r="X176" t="s">
        <v>1058</v>
      </c>
      <c r="Y176"/>
      <c r="Z176">
        <v>18822899</v>
      </c>
      <c r="AA176" t="s">
        <v>1102</v>
      </c>
      <c r="AB176" s="1" t="str" cm="1">
        <f t="array" ref="AB176" xml:space="preserve"> _xlfn.LET(_xlpm.pc, UPPER(TRIM(M176)), LEFT(_xlpm.pc, MIN(FIND({0,1,2,3,4,5,6,7,8,9}, _xlpm.pc&amp;"0123456789"))-1))</f>
        <v>NN</v>
      </c>
      <c r="AC176" s="1" t="str">
        <f t="shared" si="4"/>
        <v>AXA</v>
      </c>
      <c r="AD176" s="1" t="str">
        <f>VLOOKUP(AB176, postcode_table!A:B, 2, FALSE)</f>
        <v>Northampton</v>
      </c>
      <c r="AE176" s="1" t="str">
        <f>IFERROR(_xlfn.XLOOKUP(AC176, price_lookup_table!$C:$C, price_lookup_table!$B:$B), "")</f>
        <v>Self Pay</v>
      </c>
    </row>
    <row r="177" spans="1:31" ht="16.5" x14ac:dyDescent="0.25">
      <c r="A177" t="s">
        <v>46</v>
      </c>
      <c r="B177" s="36">
        <v>45714</v>
      </c>
      <c r="C177" s="36">
        <v>45671</v>
      </c>
      <c r="D177" t="s">
        <v>28</v>
      </c>
      <c r="E177" t="s">
        <v>29</v>
      </c>
      <c r="F177" t="s">
        <v>1956</v>
      </c>
      <c r="G177" t="s">
        <v>1957</v>
      </c>
      <c r="H177" t="s">
        <v>1958</v>
      </c>
      <c r="I177" t="s">
        <v>1544</v>
      </c>
      <c r="J177"/>
      <c r="K177"/>
      <c r="L177"/>
      <c r="M177" t="s">
        <v>783</v>
      </c>
      <c r="N177" t="s">
        <v>1130</v>
      </c>
      <c r="O177" t="s">
        <v>387</v>
      </c>
      <c r="P177" s="36">
        <v>26944</v>
      </c>
      <c r="Q177" s="45">
        <f t="shared" si="5"/>
        <v>51</v>
      </c>
      <c r="R177" t="s">
        <v>973</v>
      </c>
      <c r="S177">
        <v>447787526576</v>
      </c>
      <c r="T177" t="s">
        <v>35</v>
      </c>
      <c r="U177"/>
      <c r="V177" s="39" cm="1">
        <f t="array" ref="V177">IFERROR(
    _xlfn.XLOOKUP(1,
        (tblPrices[Prefix]=$AC177)*(tblPrices[Product Code]=$T177),
        tblPrices[Price]
    ),
    0
)
+
IF(ISNUMBER(SEARCH("Mammogram",$U177)),
    IFERROR(_xlfn.XLOOKUP(1,(tblPrices[Prefix]=$AC177)*(tblPrices[Product Code]="Mammogram"),tblPrices[Price]),0),
    0
)
+
IF(ISNUMBER(SEARCH("PSA",$U177)),
    IFERROR(_xlfn.XLOOKUP(1,(tblPrices[Prefix]=$AC177)*(tblPrices[Product Code]="PSA"),tblPrices[Price]),0),
    0
)</f>
        <v>543</v>
      </c>
      <c r="W177" t="s">
        <v>629</v>
      </c>
      <c r="X177" t="s">
        <v>636</v>
      </c>
      <c r="Y177"/>
      <c r="Z177">
        <v>19066444</v>
      </c>
      <c r="AA177" t="s">
        <v>1082</v>
      </c>
      <c r="AB177" s="1" t="str" cm="1">
        <f t="array" ref="AB177" xml:space="preserve"> _xlfn.LET(_xlpm.pc, UPPER(TRIM(M177)), LEFT(_xlpm.pc, MIN(FIND({0,1,2,3,4,5,6,7,8,9}, _xlpm.pc&amp;"0123456789"))-1))</f>
        <v>OX</v>
      </c>
      <c r="AC177" s="1" t="str">
        <f t="shared" si="4"/>
        <v>AXA</v>
      </c>
      <c r="AD177" s="1" t="str">
        <f>VLOOKUP(AB177, postcode_table!A:B, 2, FALSE)</f>
        <v>Oxford</v>
      </c>
      <c r="AE177" s="1" t="str">
        <f>IFERROR(_xlfn.XLOOKUP(AC177, price_lookup_table!$C:$C, price_lookup_table!$B:$B), "")</f>
        <v>Self Pay</v>
      </c>
    </row>
    <row r="178" spans="1:31" ht="16.5" x14ac:dyDescent="0.25">
      <c r="A178" t="s">
        <v>34</v>
      </c>
      <c r="B178" s="36">
        <v>45714</v>
      </c>
      <c r="C178" s="36">
        <v>45686</v>
      </c>
      <c r="D178" t="s">
        <v>28</v>
      </c>
      <c r="E178" t="s">
        <v>29</v>
      </c>
      <c r="F178" t="s">
        <v>1959</v>
      </c>
      <c r="G178" t="s">
        <v>1960</v>
      </c>
      <c r="H178" t="s">
        <v>1961</v>
      </c>
      <c r="I178" t="s">
        <v>1962</v>
      </c>
      <c r="J178"/>
      <c r="K178"/>
      <c r="L178"/>
      <c r="M178" t="s">
        <v>797</v>
      </c>
      <c r="N178" t="s">
        <v>1129</v>
      </c>
      <c r="O178" t="s">
        <v>388</v>
      </c>
      <c r="P178" s="36">
        <v>25258</v>
      </c>
      <c r="Q178" s="45">
        <f t="shared" si="5"/>
        <v>56</v>
      </c>
      <c r="R178" t="s">
        <v>988</v>
      </c>
      <c r="S178" t="s">
        <v>989</v>
      </c>
      <c r="T178" t="s">
        <v>35</v>
      </c>
      <c r="U178" t="s">
        <v>628</v>
      </c>
      <c r="V178" s="39" cm="1">
        <f t="array" ref="V178">IFERROR(
    _xlfn.XLOOKUP(1,
        (tblPrices[Prefix]=$AC178)*(tblPrices[Product Code]=$T178),
        tblPrices[Price]
    ),
    0
)
+
IF(ISNUMBER(SEARCH("Mammogram",$U178)),
    IFERROR(_xlfn.XLOOKUP(1,(tblPrices[Prefix]=$AC178)*(tblPrices[Product Code]="Mammogram"),tblPrices[Price]),0),
    0
)
+
IF(ISNUMBER(SEARCH("PSA",$U178)),
    IFERROR(_xlfn.XLOOKUP(1,(tblPrices[Prefix]=$AC178)*(tblPrices[Product Code]="PSA"),tblPrices[Price]),0),
    0
)</f>
        <v>690</v>
      </c>
      <c r="W178" t="s">
        <v>629</v>
      </c>
      <c r="X178" t="s">
        <v>1050</v>
      </c>
      <c r="Y178"/>
      <c r="Z178">
        <v>11835574</v>
      </c>
      <c r="AA178" t="s">
        <v>1107</v>
      </c>
      <c r="AB178" s="1" t="str" cm="1">
        <f t="array" ref="AB178" xml:space="preserve"> _xlfn.LET(_xlpm.pc, UPPER(TRIM(M178)), LEFT(_xlpm.pc, MIN(FIND({0,1,2,3,4,5,6,7,8,9}, _xlpm.pc&amp;"0123456789"))-1))</f>
        <v>RH</v>
      </c>
      <c r="AC178" s="1" t="str">
        <f t="shared" si="4"/>
        <v>AXA</v>
      </c>
      <c r="AD178" s="1" t="str">
        <f>VLOOKUP(AB178, postcode_table!A:B, 2, FALSE)</f>
        <v>Redhill</v>
      </c>
      <c r="AE178" s="1" t="str">
        <f>IFERROR(_xlfn.XLOOKUP(AC178, price_lookup_table!$C:$C, price_lookup_table!$B:$B), "")</f>
        <v>Self Pay</v>
      </c>
    </row>
    <row r="179" spans="1:31" ht="16.5" x14ac:dyDescent="0.25">
      <c r="A179" t="s">
        <v>650</v>
      </c>
      <c r="B179" s="36">
        <v>45714</v>
      </c>
      <c r="C179" s="36">
        <v>45702</v>
      </c>
      <c r="D179" t="s">
        <v>28</v>
      </c>
      <c r="E179" t="s">
        <v>29</v>
      </c>
      <c r="F179" t="s">
        <v>1963</v>
      </c>
      <c r="G179" t="s">
        <v>1964</v>
      </c>
      <c r="H179" t="s">
        <v>1965</v>
      </c>
      <c r="I179" t="s">
        <v>1966</v>
      </c>
      <c r="J179"/>
      <c r="K179"/>
      <c r="L179"/>
      <c r="M179" t="s">
        <v>832</v>
      </c>
      <c r="N179" t="s">
        <v>1128</v>
      </c>
      <c r="O179" t="s">
        <v>387</v>
      </c>
      <c r="P179" s="36">
        <v>20989</v>
      </c>
      <c r="Q179" s="45">
        <f t="shared" si="5"/>
        <v>67</v>
      </c>
      <c r="R179" t="s">
        <v>1026</v>
      </c>
      <c r="S179">
        <v>447881792925</v>
      </c>
      <c r="T179" t="s">
        <v>35</v>
      </c>
      <c r="U179"/>
      <c r="V179" s="39" cm="1">
        <f t="array" ref="V179">IFERROR(
    _xlfn.XLOOKUP(1,
        (tblPrices[Prefix]=$AC179)*(tblPrices[Product Code]=$T179),
        tblPrices[Price]
    ),
    0
)
+
IF(ISNUMBER(SEARCH("Mammogram",$U179)),
    IFERROR(_xlfn.XLOOKUP(1,(tblPrices[Prefix]=$AC179)*(tblPrices[Product Code]="Mammogram"),tblPrices[Price]),0),
    0
)
+
IF(ISNUMBER(SEARCH("PSA",$U179)),
    IFERROR(_xlfn.XLOOKUP(1,(tblPrices[Prefix]=$AC179)*(tblPrices[Product Code]="PSA"),tblPrices[Price]),0),
    0
)</f>
        <v>543</v>
      </c>
      <c r="W179" t="s">
        <v>629</v>
      </c>
      <c r="X179" t="s">
        <v>1048</v>
      </c>
      <c r="Y179"/>
      <c r="Z179">
        <v>22056930</v>
      </c>
      <c r="AA179" t="s">
        <v>1113</v>
      </c>
      <c r="AB179" s="1" t="str" cm="1">
        <f t="array" ref="AB179" xml:space="preserve"> _xlfn.LET(_xlpm.pc, UPPER(TRIM(M179)), LEFT(_xlpm.pc, MIN(FIND({0,1,2,3,4,5,6,7,8,9}, _xlpm.pc&amp;"0123456789"))-1))</f>
        <v>SW</v>
      </c>
      <c r="AC179" s="1" t="str">
        <f t="shared" si="4"/>
        <v>AXA</v>
      </c>
      <c r="AD179" s="1" t="str">
        <f>VLOOKUP(AB179, postcode_table!A:B, 2, FALSE)</f>
        <v>South West London</v>
      </c>
      <c r="AE179" s="1" t="str">
        <f>IFERROR(_xlfn.XLOOKUP(AC179, price_lookup_table!$C:$C, price_lookup_table!$B:$B), "")</f>
        <v>Self Pay</v>
      </c>
    </row>
    <row r="180" spans="1:31" ht="16.5" x14ac:dyDescent="0.25">
      <c r="A180" t="s">
        <v>42</v>
      </c>
      <c r="B180" s="36">
        <v>45714</v>
      </c>
      <c r="C180" s="36">
        <v>45685</v>
      </c>
      <c r="D180" t="s">
        <v>28</v>
      </c>
      <c r="E180" t="s">
        <v>29</v>
      </c>
      <c r="F180" t="s">
        <v>1967</v>
      </c>
      <c r="G180" t="s">
        <v>1968</v>
      </c>
      <c r="H180" t="s">
        <v>1969</v>
      </c>
      <c r="I180" t="s">
        <v>1970</v>
      </c>
      <c r="J180"/>
      <c r="K180"/>
      <c r="L180"/>
      <c r="M180" t="s">
        <v>835</v>
      </c>
      <c r="N180" t="s">
        <v>1127</v>
      </c>
      <c r="O180" t="s">
        <v>387</v>
      </c>
      <c r="P180" s="36">
        <v>30352</v>
      </c>
      <c r="Q180" s="45">
        <f t="shared" si="5"/>
        <v>42</v>
      </c>
      <c r="R180" t="s">
        <v>1028</v>
      </c>
      <c r="S180">
        <v>447551009709</v>
      </c>
      <c r="T180" t="s">
        <v>30</v>
      </c>
      <c r="U180"/>
      <c r="V180" s="39" cm="1">
        <f t="array" ref="V180">IFERROR(
    _xlfn.XLOOKUP(1,
        (tblPrices[Prefix]=$AC180)*(tblPrices[Product Code]=$T180),
        tblPrices[Price]
    ),
    0
)
+
IF(ISNUMBER(SEARCH("Mammogram",$U180)),
    IFERROR(_xlfn.XLOOKUP(1,(tblPrices[Prefix]=$AC180)*(tblPrices[Product Code]="Mammogram"),tblPrices[Price]),0),
    0
)
+
IF(ISNUMBER(SEARCH("PSA",$U180)),
    IFERROR(_xlfn.XLOOKUP(1,(tblPrices[Prefix]=$AC180)*(tblPrices[Product Code]="PSA"),tblPrices[Price]),0),
    0
)</f>
        <v>728</v>
      </c>
      <c r="W180" t="s">
        <v>629</v>
      </c>
      <c r="X180" t="s">
        <v>641</v>
      </c>
      <c r="Y180"/>
      <c r="Z180">
        <v>22034610</v>
      </c>
      <c r="AA180" t="s">
        <v>1114</v>
      </c>
      <c r="AB180" s="1" t="str" cm="1">
        <f t="array" ref="AB180" xml:space="preserve"> _xlfn.LET(_xlpm.pc, UPPER(TRIM(M180)), LEFT(_xlpm.pc, MIN(FIND({0,1,2,3,4,5,6,7,8,9}, _xlpm.pc&amp;"0123456789"))-1))</f>
        <v>TN</v>
      </c>
      <c r="AC180" s="1" t="str">
        <f t="shared" si="4"/>
        <v>AXA</v>
      </c>
      <c r="AD180" s="1" t="str">
        <f>VLOOKUP(AB180, postcode_table!A:B, 2, FALSE)</f>
        <v>Tunbridge Wells</v>
      </c>
      <c r="AE180" s="1" t="str">
        <f>IFERROR(_xlfn.XLOOKUP(AC180, price_lookup_table!$C:$C, price_lookup_table!$B:$B), "")</f>
        <v>Self Pay</v>
      </c>
    </row>
    <row r="181" spans="1:31" ht="16.5" x14ac:dyDescent="0.25">
      <c r="A181" t="s">
        <v>651</v>
      </c>
      <c r="B181" s="36">
        <v>45714</v>
      </c>
      <c r="C181" s="36">
        <v>45687</v>
      </c>
      <c r="D181" t="s">
        <v>28</v>
      </c>
      <c r="E181" t="s">
        <v>29</v>
      </c>
      <c r="F181" t="s">
        <v>731</v>
      </c>
      <c r="G181" t="s">
        <v>1971</v>
      </c>
      <c r="H181" t="s">
        <v>1972</v>
      </c>
      <c r="I181" t="s">
        <v>1973</v>
      </c>
      <c r="J181"/>
      <c r="K181"/>
      <c r="L181"/>
      <c r="M181" t="s">
        <v>715</v>
      </c>
      <c r="N181" t="s">
        <v>1126</v>
      </c>
      <c r="O181" t="s">
        <v>387</v>
      </c>
      <c r="P181" s="36">
        <v>17552</v>
      </c>
      <c r="Q181" s="45">
        <f t="shared" si="5"/>
        <v>77</v>
      </c>
      <c r="R181" t="s">
        <v>904</v>
      </c>
      <c r="S181">
        <v>447903250567</v>
      </c>
      <c r="T181" t="s">
        <v>35</v>
      </c>
      <c r="U181"/>
      <c r="V181" s="39" cm="1">
        <f t="array" ref="V181">IFERROR(
    _xlfn.XLOOKUP(1,
        (tblPrices[Prefix]=$AC181)*(tblPrices[Product Code]=$T181),
        tblPrices[Price]
    ),
    0
)
+
IF(ISNUMBER(SEARCH("Mammogram",$U181)),
    IFERROR(_xlfn.XLOOKUP(1,(tblPrices[Prefix]=$AC181)*(tblPrices[Product Code]="Mammogram"),tblPrices[Price]),0),
    0
)
+
IF(ISNUMBER(SEARCH("PSA",$U181)),
    IFERROR(_xlfn.XLOOKUP(1,(tblPrices[Prefix]=$AC181)*(tblPrices[Product Code]="PSA"),tblPrices[Price]),0),
    0
)</f>
        <v>724.5</v>
      </c>
      <c r="W181" t="s">
        <v>629</v>
      </c>
      <c r="X181" t="s">
        <v>1052</v>
      </c>
      <c r="Y181"/>
      <c r="Z181">
        <v>19716430</v>
      </c>
      <c r="AA181" t="s">
        <v>1081</v>
      </c>
      <c r="AB181" s="1" t="str" cm="1">
        <f t="array" ref="AB181" xml:space="preserve"> _xlfn.LET(_xlpm.pc, UPPER(TRIM(M181)), LEFT(_xlpm.pc, MIN(FIND({0,1,2,3,4,5,6,7,8,9}, _xlpm.pc&amp;"0123456789"))-1))</f>
        <v>DY</v>
      </c>
      <c r="AC181" s="1" t="str">
        <f t="shared" si="4"/>
        <v>M01</v>
      </c>
      <c r="AD181" s="1" t="str">
        <f>VLOOKUP(AB181, postcode_table!A:B, 2, FALSE)</f>
        <v>Dudley</v>
      </c>
      <c r="AE181" s="1" t="str">
        <f>IFERROR(_xlfn.XLOOKUP(AC181, price_lookup_table!$C:$C, price_lookup_table!$B:$B), "")</f>
        <v>Self Pay</v>
      </c>
    </row>
    <row r="182" spans="1:31" ht="16.5" x14ac:dyDescent="0.25">
      <c r="A182" t="s">
        <v>42</v>
      </c>
      <c r="B182" s="36">
        <v>45714</v>
      </c>
      <c r="C182" s="36">
        <v>45713</v>
      </c>
      <c r="D182" t="s">
        <v>28</v>
      </c>
      <c r="E182" t="s">
        <v>29</v>
      </c>
      <c r="F182" t="s">
        <v>1974</v>
      </c>
      <c r="G182" t="s">
        <v>1975</v>
      </c>
      <c r="H182" t="s">
        <v>1976</v>
      </c>
      <c r="I182" t="s">
        <v>1977</v>
      </c>
      <c r="J182"/>
      <c r="K182"/>
      <c r="L182"/>
      <c r="M182" t="s">
        <v>727</v>
      </c>
      <c r="N182" t="s">
        <v>1125</v>
      </c>
      <c r="O182" t="s">
        <v>387</v>
      </c>
      <c r="P182" s="36">
        <v>36475</v>
      </c>
      <c r="Q182" s="45">
        <f t="shared" si="5"/>
        <v>25</v>
      </c>
      <c r="R182" t="s">
        <v>915</v>
      </c>
      <c r="S182">
        <v>447961791533</v>
      </c>
      <c r="T182" t="s">
        <v>30</v>
      </c>
      <c r="U182"/>
      <c r="V182" s="39" cm="1">
        <f t="array" ref="V182">IFERROR(
    _xlfn.XLOOKUP(1,
        (tblPrices[Prefix]=$AC182)*(tblPrices[Product Code]=$T182),
        tblPrices[Price]
    ),
    0
)
+
IF(ISNUMBER(SEARCH("Mammogram",$U182)),
    IFERROR(_xlfn.XLOOKUP(1,(tblPrices[Prefix]=$AC182)*(tblPrices[Product Code]="Mammogram"),tblPrices[Price]),0),
    0
)
+
IF(ISNUMBER(SEARCH("PSA",$U182)),
    IFERROR(_xlfn.XLOOKUP(1,(tblPrices[Prefix]=$AC182)*(tblPrices[Product Code]="PSA"),tblPrices[Price]),0),
    0
)</f>
        <v>970.5</v>
      </c>
      <c r="W182" t="s">
        <v>629</v>
      </c>
      <c r="X182" t="s">
        <v>1048</v>
      </c>
      <c r="Y182"/>
      <c r="Z182">
        <v>12378903</v>
      </c>
      <c r="AA182" t="s">
        <v>1083</v>
      </c>
      <c r="AB182" s="1" t="str" cm="1">
        <f t="array" ref="AB182" xml:space="preserve"> _xlfn.LET(_xlpm.pc, UPPER(TRIM(M182)), LEFT(_xlpm.pc, MIN(FIND({0,1,2,3,4,5,6,7,8,9}, _xlpm.pc&amp;"0123456789"))-1))</f>
        <v>HA</v>
      </c>
      <c r="AC182" s="1" t="str">
        <f t="shared" si="4"/>
        <v>M01</v>
      </c>
      <c r="AD182" s="1" t="str">
        <f>VLOOKUP(AB182, postcode_table!A:B, 2, FALSE)</f>
        <v>Harrow</v>
      </c>
      <c r="AE182" s="1" t="str">
        <f>IFERROR(_xlfn.XLOOKUP(AC182, price_lookup_table!$C:$C, price_lookup_table!$B:$B), "")</f>
        <v>Self Pay</v>
      </c>
    </row>
    <row r="183" spans="1:31" ht="16.5" x14ac:dyDescent="0.25">
      <c r="A183" t="s">
        <v>72</v>
      </c>
      <c r="B183" s="36">
        <v>45714</v>
      </c>
      <c r="C183" s="36">
        <v>45691</v>
      </c>
      <c r="D183" t="s">
        <v>28</v>
      </c>
      <c r="E183" t="s">
        <v>29</v>
      </c>
      <c r="F183" t="s">
        <v>1978</v>
      </c>
      <c r="G183" t="s">
        <v>1979</v>
      </c>
      <c r="H183" t="s">
        <v>1980</v>
      </c>
      <c r="I183" t="s">
        <v>1981</v>
      </c>
      <c r="J183"/>
      <c r="K183"/>
      <c r="L183"/>
      <c r="M183" t="s">
        <v>768</v>
      </c>
      <c r="N183" t="s">
        <v>1124</v>
      </c>
      <c r="O183" t="s">
        <v>387</v>
      </c>
      <c r="P183" s="36">
        <v>35177</v>
      </c>
      <c r="Q183" s="45">
        <f t="shared" si="5"/>
        <v>28</v>
      </c>
      <c r="R183" t="s">
        <v>959</v>
      </c>
      <c r="S183">
        <v>447803276809</v>
      </c>
      <c r="T183" t="s">
        <v>30</v>
      </c>
      <c r="U183"/>
      <c r="V183" s="39" cm="1">
        <f t="array" ref="V183">IFERROR(
    _xlfn.XLOOKUP(1,
        (tblPrices[Prefix]=$AC183)*(tblPrices[Product Code]=$T183),
        tblPrices[Price]
    ),
    0
)
+
IF(ISNUMBER(SEARCH("Mammogram",$U183)),
    IFERROR(_xlfn.XLOOKUP(1,(tblPrices[Prefix]=$AC183)*(tblPrices[Product Code]="Mammogram"),tblPrices[Price]),0),
    0
)
+
IF(ISNUMBER(SEARCH("PSA",$U183)),
    IFERROR(_xlfn.XLOOKUP(1,(tblPrices[Prefix]=$AC183)*(tblPrices[Product Code]="PSA"),tblPrices[Price]),0),
    0
)</f>
        <v>970.5</v>
      </c>
      <c r="W183" t="s">
        <v>629</v>
      </c>
      <c r="X183" t="s">
        <v>1058</v>
      </c>
      <c r="Y183"/>
      <c r="Z183">
        <v>20515261</v>
      </c>
      <c r="AA183" t="s">
        <v>1083</v>
      </c>
      <c r="AB183" s="1" t="str" cm="1">
        <f t="array" ref="AB183" xml:space="preserve"> _xlfn.LET(_xlpm.pc, UPPER(TRIM(M183)), LEFT(_xlpm.pc, MIN(FIND({0,1,2,3,4,5,6,7,8,9}, _xlpm.pc&amp;"0123456789"))-1))</f>
        <v>MK</v>
      </c>
      <c r="AC183" s="1" t="str">
        <f t="shared" si="4"/>
        <v>M01</v>
      </c>
      <c r="AD183" s="1" t="str">
        <f>VLOOKUP(AB183, postcode_table!A:B, 2, FALSE)</f>
        <v>Milton Keynes</v>
      </c>
      <c r="AE183" s="1" t="str">
        <f>IFERROR(_xlfn.XLOOKUP(AC183, price_lookup_table!$C:$C, price_lookup_table!$B:$B), "")</f>
        <v>Self Pay</v>
      </c>
    </row>
    <row r="184" spans="1:31" ht="16.5" x14ac:dyDescent="0.25">
      <c r="A184" t="s">
        <v>42</v>
      </c>
      <c r="B184" s="36">
        <v>45715</v>
      </c>
      <c r="C184" s="36">
        <v>45685</v>
      </c>
      <c r="D184" t="s">
        <v>28</v>
      </c>
      <c r="E184" t="s">
        <v>29</v>
      </c>
      <c r="F184" t="s">
        <v>813</v>
      </c>
      <c r="G184" t="s">
        <v>1982</v>
      </c>
      <c r="H184" t="s">
        <v>1983</v>
      </c>
      <c r="I184" t="s">
        <v>1984</v>
      </c>
      <c r="J184"/>
      <c r="K184"/>
      <c r="L184"/>
      <c r="M184" t="s">
        <v>718</v>
      </c>
      <c r="N184" t="s">
        <v>1123</v>
      </c>
      <c r="O184" t="s">
        <v>387</v>
      </c>
      <c r="P184" s="36">
        <v>26690</v>
      </c>
      <c r="Q184" s="45">
        <f t="shared" si="5"/>
        <v>52</v>
      </c>
      <c r="R184" t="s">
        <v>906</v>
      </c>
      <c r="S184">
        <v>447597573447</v>
      </c>
      <c r="T184" t="s">
        <v>197</v>
      </c>
      <c r="U184"/>
      <c r="V184" s="39" cm="1">
        <f t="array" ref="V184">IFERROR(
    _xlfn.XLOOKUP(1,
        (tblPrices[Prefix]=$AC184)*(tblPrices[Product Code]=$T184),
        tblPrices[Price]
    ),
    0
)
+
IF(ISNUMBER(SEARCH("Mammogram",$U184)),
    IFERROR(_xlfn.XLOOKUP(1,(tblPrices[Prefix]=$AC184)*(tblPrices[Product Code]="Mammogram"),tblPrices[Price]),0),
    0
)
+
IF(ISNUMBER(SEARCH("PSA",$U184)),
    IFERROR(_xlfn.XLOOKUP(1,(tblPrices[Prefix]=$AC184)*(tblPrices[Product Code]="PSA"),tblPrices[Price]),0),
    0
)</f>
        <v>185</v>
      </c>
      <c r="W184" t="s">
        <v>629</v>
      </c>
      <c r="X184" t="s">
        <v>1049</v>
      </c>
      <c r="Y184"/>
      <c r="Z184">
        <v>18427110</v>
      </c>
      <c r="AA184" t="s">
        <v>1082</v>
      </c>
      <c r="AB184" s="1" t="str" cm="1">
        <f t="array" ref="AB184" xml:space="preserve"> _xlfn.LET(_xlpm.pc, UPPER(TRIM(M184)), LEFT(_xlpm.pc, MIN(FIND({0,1,2,3,4,5,6,7,8,9}, _xlpm.pc&amp;"0123456789"))-1))</f>
        <v>E</v>
      </c>
      <c r="AC184" s="1" t="str">
        <f t="shared" si="4"/>
        <v>AXA</v>
      </c>
      <c r="AD184" s="1" t="str">
        <f>VLOOKUP(AB184, postcode_table!A:B, 2, FALSE)</f>
        <v>East London</v>
      </c>
      <c r="AE184" s="1" t="str">
        <f>IFERROR(_xlfn.XLOOKUP(AC184, price_lookup_table!$C:$C, price_lookup_table!$B:$B), "")</f>
        <v>Self Pay</v>
      </c>
    </row>
    <row r="185" spans="1:31" ht="16.5" x14ac:dyDescent="0.25">
      <c r="A185" t="s">
        <v>46</v>
      </c>
      <c r="B185" s="36">
        <v>45715</v>
      </c>
      <c r="C185" s="36">
        <v>45659</v>
      </c>
      <c r="D185" t="s">
        <v>28</v>
      </c>
      <c r="E185" t="s">
        <v>29</v>
      </c>
      <c r="F185" t="s">
        <v>1985</v>
      </c>
      <c r="G185" t="s">
        <v>1986</v>
      </c>
      <c r="H185" t="s">
        <v>1987</v>
      </c>
      <c r="I185" t="s">
        <v>1988</v>
      </c>
      <c r="J185"/>
      <c r="K185"/>
      <c r="L185"/>
      <c r="M185" t="s">
        <v>733</v>
      </c>
      <c r="N185" t="s">
        <v>1122</v>
      </c>
      <c r="O185" t="s">
        <v>388</v>
      </c>
      <c r="P185" s="36">
        <v>32132</v>
      </c>
      <c r="Q185" s="45">
        <f t="shared" si="5"/>
        <v>37</v>
      </c>
      <c r="R185" t="s">
        <v>920</v>
      </c>
      <c r="S185">
        <v>447721375111</v>
      </c>
      <c r="T185" t="s">
        <v>35</v>
      </c>
      <c r="U185"/>
      <c r="V185" s="39" cm="1">
        <f t="array" ref="V185">IFERROR(
    _xlfn.XLOOKUP(1,
        (tblPrices[Prefix]=$AC185)*(tblPrices[Product Code]=$T185),
        tblPrices[Price]
    ),
    0
)
+
IF(ISNUMBER(SEARCH("Mammogram",$U185)),
    IFERROR(_xlfn.XLOOKUP(1,(tblPrices[Prefix]=$AC185)*(tblPrices[Product Code]="Mammogram"),tblPrices[Price]),0),
    0
)
+
IF(ISNUMBER(SEARCH("PSA",$U185)),
    IFERROR(_xlfn.XLOOKUP(1,(tblPrices[Prefix]=$AC185)*(tblPrices[Product Code]="PSA"),tblPrices[Price]),0),
    0
)</f>
        <v>543</v>
      </c>
      <c r="W185" t="s">
        <v>629</v>
      </c>
      <c r="X185" t="s">
        <v>642</v>
      </c>
      <c r="Y185"/>
      <c r="Z185">
        <v>18886221</v>
      </c>
      <c r="AA185" t="s">
        <v>1082</v>
      </c>
      <c r="AB185" s="1" t="str" cm="1">
        <f t="array" ref="AB185" xml:space="preserve"> _xlfn.LET(_xlpm.pc, UPPER(TRIM(M185)), LEFT(_xlpm.pc, MIN(FIND({0,1,2,3,4,5,6,7,8,9}, _xlpm.pc&amp;"0123456789"))-1))</f>
        <v>HP</v>
      </c>
      <c r="AC185" s="1" t="str">
        <f t="shared" si="4"/>
        <v>AXA</v>
      </c>
      <c r="AD185" s="1" t="str">
        <f>VLOOKUP(AB185, postcode_table!A:B, 2, FALSE)</f>
        <v>Hemel Hempstead</v>
      </c>
      <c r="AE185" s="1" t="str">
        <f>IFERROR(_xlfn.XLOOKUP(AC185, price_lookup_table!$C:$C, price_lookup_table!$B:$B), "")</f>
        <v>Self Pay</v>
      </c>
    </row>
    <row r="186" spans="1:31" ht="16.5" x14ac:dyDescent="0.25">
      <c r="A186" t="s">
        <v>37</v>
      </c>
      <c r="B186" s="36">
        <v>45715</v>
      </c>
      <c r="C186" s="36">
        <v>45700</v>
      </c>
      <c r="D186" t="s">
        <v>28</v>
      </c>
      <c r="E186" t="s">
        <v>29</v>
      </c>
      <c r="F186" t="s">
        <v>1989</v>
      </c>
      <c r="G186" t="s">
        <v>1990</v>
      </c>
      <c r="H186" t="s">
        <v>1991</v>
      </c>
      <c r="I186" t="s">
        <v>1992</v>
      </c>
      <c r="J186"/>
      <c r="K186"/>
      <c r="L186"/>
      <c r="M186" t="s">
        <v>778</v>
      </c>
      <c r="N186" t="s">
        <v>1121</v>
      </c>
      <c r="O186" t="s">
        <v>388</v>
      </c>
      <c r="P186" s="36">
        <v>19195</v>
      </c>
      <c r="Q186" s="45">
        <f t="shared" si="5"/>
        <v>72</v>
      </c>
      <c r="R186" t="s">
        <v>968</v>
      </c>
      <c r="S186">
        <v>447926876244</v>
      </c>
      <c r="T186" t="s">
        <v>35</v>
      </c>
      <c r="U186"/>
      <c r="V186" s="39" cm="1">
        <f t="array" ref="V186">IFERROR(
    _xlfn.XLOOKUP(1,
        (tblPrices[Prefix]=$AC186)*(tblPrices[Product Code]=$T186),
        tblPrices[Price]
    ),
    0
)
+
IF(ISNUMBER(SEARCH("Mammogram",$U186)),
    IFERROR(_xlfn.XLOOKUP(1,(tblPrices[Prefix]=$AC186)*(tblPrices[Product Code]="Mammogram"),tblPrices[Price]),0),
    0
)
+
IF(ISNUMBER(SEARCH("PSA",$U186)),
    IFERROR(_xlfn.XLOOKUP(1,(tblPrices[Prefix]=$AC186)*(tblPrices[Product Code]="PSA"),tblPrices[Price]),0),
    0
)</f>
        <v>543</v>
      </c>
      <c r="W186" t="s">
        <v>629</v>
      </c>
      <c r="X186" t="s">
        <v>1066</v>
      </c>
      <c r="Y186"/>
      <c r="Z186">
        <v>22053931</v>
      </c>
      <c r="AA186" t="s">
        <v>1101</v>
      </c>
      <c r="AB186" s="1" t="str" cm="1">
        <f t="array" ref="AB186" xml:space="preserve"> _xlfn.LET(_xlpm.pc, UPPER(TRIM(M186)), LEFT(_xlpm.pc, MIN(FIND({0,1,2,3,4,5,6,7,8,9}, _xlpm.pc&amp;"0123456789"))-1))</f>
        <v>NG</v>
      </c>
      <c r="AC186" s="1" t="str">
        <f t="shared" si="4"/>
        <v>AXA</v>
      </c>
      <c r="AD186" s="1" t="str">
        <f>VLOOKUP(AB186, postcode_table!A:B, 2, FALSE)</f>
        <v>Nottingham</v>
      </c>
      <c r="AE186" s="1" t="str">
        <f>IFERROR(_xlfn.XLOOKUP(AC186, price_lookup_table!$C:$C, price_lookup_table!$B:$B), "")</f>
        <v>Self Pay</v>
      </c>
    </row>
    <row r="187" spans="1:31" x14ac:dyDescent="0.25">
      <c r="A187"/>
      <c r="B187" s="36"/>
      <c r="C187" s="36"/>
      <c r="D187"/>
      <c r="E187"/>
      <c r="F187"/>
      <c r="G187"/>
      <c r="H187"/>
      <c r="I187"/>
      <c r="J187"/>
      <c r="K187"/>
      <c r="L187"/>
      <c r="M187"/>
      <c r="N187"/>
      <c r="O187"/>
      <c r="P187" s="36"/>
      <c r="Q187" s="37"/>
      <c r="R187"/>
      <c r="S187"/>
      <c r="T187"/>
      <c r="U187"/>
      <c r="V187" s="39"/>
      <c r="W187"/>
      <c r="X187"/>
      <c r="Y187"/>
      <c r="Z187"/>
      <c r="AA187"/>
    </row>
    <row r="188" spans="1:31" x14ac:dyDescent="0.25">
      <c r="A188"/>
      <c r="B188" s="36"/>
      <c r="C188" s="36"/>
      <c r="D188"/>
      <c r="E188"/>
      <c r="F188"/>
      <c r="G188"/>
      <c r="H188"/>
      <c r="I188"/>
      <c r="J188"/>
      <c r="K188"/>
      <c r="L188"/>
      <c r="M188"/>
      <c r="N188"/>
      <c r="O188"/>
      <c r="P188" s="36"/>
      <c r="Q188" s="37"/>
      <c r="R188"/>
      <c r="S188"/>
      <c r="T188"/>
      <c r="U188"/>
      <c r="V188" s="39"/>
      <c r="W188"/>
      <c r="X188"/>
      <c r="Y188"/>
      <c r="Z188"/>
      <c r="AA188"/>
    </row>
    <row r="189" spans="1:31" x14ac:dyDescent="0.25">
      <c r="A189"/>
      <c r="B189" s="36"/>
      <c r="C189" s="36"/>
      <c r="D189"/>
      <c r="E189"/>
      <c r="F189"/>
      <c r="G189"/>
      <c r="H189"/>
      <c r="I189"/>
      <c r="J189"/>
      <c r="K189"/>
      <c r="L189"/>
      <c r="M189"/>
      <c r="N189"/>
      <c r="O189"/>
      <c r="P189" s="36"/>
      <c r="Q189" s="37"/>
      <c r="R189"/>
      <c r="S189"/>
      <c r="T189"/>
      <c r="U189"/>
      <c r="V189" s="39"/>
      <c r="W189"/>
      <c r="X189"/>
      <c r="Y189"/>
      <c r="Z189"/>
      <c r="AA189"/>
    </row>
    <row r="190" spans="1:31" x14ac:dyDescent="0.25">
      <c r="A190"/>
      <c r="B190" s="36"/>
      <c r="C190" s="36"/>
      <c r="D190"/>
      <c r="E190"/>
      <c r="F190"/>
      <c r="G190"/>
      <c r="H190"/>
      <c r="I190"/>
      <c r="J190"/>
      <c r="K190"/>
      <c r="L190"/>
      <c r="M190"/>
      <c r="N190"/>
      <c r="O190"/>
      <c r="P190" s="36"/>
      <c r="Q190" s="37"/>
      <c r="R190"/>
      <c r="S190"/>
      <c r="T190"/>
      <c r="U190"/>
      <c r="V190" s="39"/>
      <c r="W190"/>
      <c r="X190"/>
      <c r="Y190"/>
      <c r="Z190"/>
      <c r="AA190"/>
    </row>
    <row r="191" spans="1:31" x14ac:dyDescent="0.25">
      <c r="A191"/>
      <c r="B191" s="36"/>
      <c r="C191" s="36"/>
      <c r="D191"/>
      <c r="E191"/>
      <c r="F191"/>
      <c r="G191"/>
      <c r="H191"/>
      <c r="I191"/>
      <c r="J191"/>
      <c r="K191"/>
      <c r="L191"/>
      <c r="M191"/>
      <c r="N191"/>
      <c r="O191"/>
      <c r="P191" s="36"/>
      <c r="Q191" s="37"/>
      <c r="R191"/>
      <c r="S191"/>
      <c r="T191"/>
      <c r="U191"/>
      <c r="V191" s="39"/>
      <c r="W191"/>
      <c r="X191"/>
      <c r="Y191"/>
      <c r="Z191"/>
      <c r="AA191"/>
    </row>
    <row r="192" spans="1:31" x14ac:dyDescent="0.25">
      <c r="A192"/>
      <c r="B192" s="36"/>
      <c r="C192" s="36"/>
      <c r="D192"/>
      <c r="E192"/>
      <c r="F192"/>
      <c r="G192"/>
      <c r="H192"/>
      <c r="I192"/>
      <c r="J192"/>
      <c r="K192"/>
      <c r="L192"/>
      <c r="M192"/>
      <c r="N192"/>
      <c r="O192"/>
      <c r="P192" s="36"/>
      <c r="Q192" s="37"/>
      <c r="R192"/>
      <c r="S192"/>
      <c r="T192"/>
      <c r="U192"/>
      <c r="V192" s="39"/>
      <c r="W192"/>
      <c r="X192"/>
      <c r="Y192"/>
      <c r="Z192"/>
      <c r="AA192"/>
    </row>
    <row r="193" spans="1:27" x14ac:dyDescent="0.25">
      <c r="A193"/>
      <c r="B193" s="36"/>
      <c r="C193" s="36"/>
      <c r="D193"/>
      <c r="E193"/>
      <c r="F193"/>
      <c r="G193"/>
      <c r="H193"/>
      <c r="I193"/>
      <c r="J193"/>
      <c r="K193"/>
      <c r="L193"/>
      <c r="M193"/>
      <c r="N193"/>
      <c r="O193"/>
      <c r="P193" s="36"/>
      <c r="Q193" s="37"/>
      <c r="R193"/>
      <c r="S193"/>
      <c r="T193"/>
      <c r="U193"/>
      <c r="V193" s="39"/>
      <c r="W193"/>
      <c r="X193"/>
      <c r="Y193"/>
      <c r="Z193"/>
      <c r="AA193"/>
    </row>
    <row r="194" spans="1:27" x14ac:dyDescent="0.25">
      <c r="A194"/>
      <c r="B194" s="36"/>
      <c r="C194" s="36"/>
      <c r="D194"/>
      <c r="E194"/>
      <c r="F194"/>
      <c r="G194"/>
      <c r="H194"/>
      <c r="I194"/>
      <c r="J194"/>
      <c r="K194"/>
      <c r="L194"/>
      <c r="M194"/>
      <c r="N194"/>
      <c r="O194"/>
      <c r="P194" s="36"/>
      <c r="Q194" s="37"/>
      <c r="R194"/>
      <c r="S194"/>
      <c r="T194"/>
      <c r="U194"/>
      <c r="V194" s="39"/>
      <c r="W194"/>
      <c r="X194"/>
      <c r="Y194"/>
      <c r="Z194"/>
      <c r="AA194"/>
    </row>
    <row r="195" spans="1:27" x14ac:dyDescent="0.25">
      <c r="A195"/>
      <c r="B195" s="36"/>
      <c r="C195" s="36"/>
      <c r="D195"/>
      <c r="E195"/>
      <c r="F195"/>
      <c r="G195"/>
      <c r="H195"/>
      <c r="I195"/>
      <c r="J195"/>
      <c r="K195"/>
      <c r="L195"/>
      <c r="M195"/>
      <c r="N195"/>
      <c r="O195"/>
      <c r="P195" s="36"/>
      <c r="Q195" s="37"/>
      <c r="R195"/>
      <c r="S195"/>
      <c r="T195"/>
      <c r="U195"/>
      <c r="V195" s="39"/>
      <c r="W195"/>
      <c r="X195"/>
      <c r="Y195"/>
      <c r="Z195"/>
      <c r="AA195"/>
    </row>
    <row r="196" spans="1:27" x14ac:dyDescent="0.25">
      <c r="A196"/>
      <c r="B196" s="36"/>
      <c r="C196" s="36"/>
      <c r="D196"/>
      <c r="E196"/>
      <c r="F196"/>
      <c r="G196"/>
      <c r="H196"/>
      <c r="I196"/>
      <c r="J196"/>
      <c r="K196"/>
      <c r="L196"/>
      <c r="M196"/>
      <c r="N196"/>
      <c r="O196"/>
      <c r="P196" s="36"/>
      <c r="Q196" s="37"/>
      <c r="R196"/>
      <c r="S196"/>
      <c r="T196"/>
      <c r="U196"/>
      <c r="V196" s="39"/>
      <c r="W196"/>
      <c r="X196"/>
      <c r="Y196"/>
      <c r="Z196"/>
      <c r="AA196"/>
    </row>
    <row r="197" spans="1:27" x14ac:dyDescent="0.25">
      <c r="A197"/>
      <c r="B197" s="36"/>
      <c r="C197" s="36"/>
      <c r="D197"/>
      <c r="E197"/>
      <c r="F197"/>
      <c r="G197"/>
      <c r="H197"/>
      <c r="I197"/>
      <c r="J197"/>
      <c r="K197"/>
      <c r="L197"/>
      <c r="M197"/>
      <c r="N197"/>
      <c r="O197"/>
      <c r="P197" s="36"/>
      <c r="Q197" s="37"/>
      <c r="R197"/>
      <c r="S197"/>
      <c r="T197"/>
      <c r="U197"/>
      <c r="V197" s="39"/>
      <c r="W197"/>
      <c r="X197"/>
      <c r="Y197"/>
      <c r="Z197"/>
      <c r="AA197"/>
    </row>
    <row r="198" spans="1:27" x14ac:dyDescent="0.25">
      <c r="A198"/>
      <c r="B198" s="36"/>
      <c r="C198" s="36"/>
      <c r="D198"/>
      <c r="E198"/>
      <c r="F198"/>
      <c r="G198"/>
      <c r="H198"/>
      <c r="I198"/>
      <c r="J198"/>
      <c r="K198"/>
      <c r="L198"/>
      <c r="M198"/>
      <c r="N198"/>
      <c r="O198"/>
      <c r="P198" s="36"/>
      <c r="Q198" s="37"/>
      <c r="R198"/>
      <c r="S198"/>
      <c r="T198"/>
      <c r="U198"/>
      <c r="V198" s="39"/>
      <c r="W198"/>
      <c r="X198"/>
      <c r="Y198"/>
      <c r="Z198"/>
      <c r="AA198"/>
    </row>
    <row r="199" spans="1:27" x14ac:dyDescent="0.25">
      <c r="A199"/>
      <c r="B199" s="36"/>
      <c r="C199" s="36"/>
      <c r="D199"/>
      <c r="E199"/>
      <c r="F199"/>
      <c r="G199"/>
      <c r="H199"/>
      <c r="I199"/>
      <c r="J199"/>
      <c r="K199"/>
      <c r="L199"/>
      <c r="M199"/>
      <c r="N199"/>
      <c r="O199"/>
      <c r="P199" s="36"/>
      <c r="Q199" s="37"/>
      <c r="R199"/>
      <c r="S199"/>
      <c r="T199"/>
      <c r="U199"/>
      <c r="V199" s="39"/>
      <c r="W199"/>
      <c r="X199"/>
      <c r="Y199"/>
      <c r="Z199"/>
      <c r="AA199"/>
    </row>
    <row r="200" spans="1:27" x14ac:dyDescent="0.25">
      <c r="A200"/>
      <c r="B200" s="36"/>
      <c r="C200" s="36"/>
      <c r="D200"/>
      <c r="E200"/>
      <c r="F200"/>
      <c r="G200"/>
      <c r="H200"/>
      <c r="I200"/>
      <c r="J200"/>
      <c r="K200"/>
      <c r="L200"/>
      <c r="M200"/>
      <c r="N200"/>
      <c r="O200"/>
      <c r="P200" s="36"/>
      <c r="Q200" s="37"/>
      <c r="R200"/>
      <c r="S200"/>
      <c r="T200"/>
      <c r="U200"/>
      <c r="V200" s="39"/>
      <c r="W200"/>
      <c r="X200"/>
      <c r="Y200"/>
      <c r="Z200"/>
      <c r="AA200"/>
    </row>
    <row r="201" spans="1:27" x14ac:dyDescent="0.25">
      <c r="A201"/>
      <c r="B201" s="36"/>
      <c r="C201" s="36"/>
      <c r="D201"/>
      <c r="E201"/>
      <c r="F201"/>
      <c r="G201"/>
      <c r="H201"/>
      <c r="I201"/>
      <c r="J201"/>
      <c r="K201"/>
      <c r="L201"/>
      <c r="M201"/>
      <c r="N201"/>
      <c r="O201"/>
      <c r="P201" s="36"/>
      <c r="Q201" s="37"/>
      <c r="R201"/>
      <c r="S201"/>
      <c r="T201"/>
      <c r="U201"/>
      <c r="V201" s="39"/>
      <c r="W201"/>
      <c r="X201"/>
      <c r="Y201"/>
      <c r="Z201"/>
      <c r="AA201"/>
    </row>
    <row r="202" spans="1:27" x14ac:dyDescent="0.25">
      <c r="A202"/>
      <c r="B202" s="36"/>
      <c r="C202" s="36"/>
      <c r="D202"/>
      <c r="E202"/>
      <c r="F202"/>
      <c r="G202"/>
      <c r="H202"/>
      <c r="I202"/>
      <c r="J202"/>
      <c r="K202"/>
      <c r="L202"/>
      <c r="M202"/>
      <c r="N202"/>
      <c r="O202"/>
      <c r="P202"/>
      <c r="Q202" s="37"/>
      <c r="R202"/>
      <c r="S202"/>
      <c r="T202"/>
      <c r="U202"/>
      <c r="V202" s="39"/>
      <c r="W202"/>
      <c r="X202"/>
      <c r="Y202"/>
      <c r="Z202"/>
      <c r="AA202"/>
    </row>
    <row r="203" spans="1:27" x14ac:dyDescent="0.25">
      <c r="A203"/>
      <c r="B203" s="36"/>
      <c r="C203" s="36"/>
      <c r="D203"/>
      <c r="E203"/>
      <c r="F203"/>
      <c r="G203"/>
      <c r="H203"/>
      <c r="I203"/>
      <c r="J203"/>
      <c r="K203"/>
      <c r="L203"/>
      <c r="M203"/>
      <c r="N203"/>
      <c r="O203"/>
      <c r="P203" s="36"/>
      <c r="Q203" s="37"/>
      <c r="R203"/>
      <c r="S203"/>
      <c r="T203"/>
      <c r="U203"/>
      <c r="V203" s="39"/>
      <c r="W203"/>
      <c r="X203"/>
      <c r="Y203"/>
      <c r="Z203"/>
      <c r="AA203"/>
    </row>
    <row r="204" spans="1:27" x14ac:dyDescent="0.25">
      <c r="A204"/>
      <c r="B204" s="36"/>
      <c r="C204" s="36"/>
      <c r="D204"/>
      <c r="E204"/>
      <c r="F204"/>
      <c r="G204"/>
      <c r="H204"/>
      <c r="I204"/>
      <c r="J204"/>
      <c r="K204"/>
      <c r="L204"/>
      <c r="M204"/>
      <c r="N204"/>
      <c r="O204"/>
      <c r="P204" s="36"/>
      <c r="Q204" s="37"/>
      <c r="R204"/>
      <c r="S204"/>
      <c r="T204"/>
      <c r="U204"/>
      <c r="V204" s="39"/>
      <c r="W204"/>
      <c r="X204"/>
      <c r="Y204"/>
      <c r="Z204"/>
      <c r="AA204"/>
    </row>
    <row r="205" spans="1:27" x14ac:dyDescent="0.25">
      <c r="A205"/>
      <c r="B205" s="36"/>
      <c r="C205" s="36"/>
      <c r="D205"/>
      <c r="E205"/>
      <c r="F205"/>
      <c r="G205"/>
      <c r="H205"/>
      <c r="I205"/>
      <c r="J205"/>
      <c r="K205"/>
      <c r="L205"/>
      <c r="M205"/>
      <c r="N205"/>
      <c r="O205"/>
      <c r="P205" s="36"/>
      <c r="Q205" s="37"/>
      <c r="R205"/>
      <c r="S205"/>
      <c r="T205"/>
      <c r="U205"/>
      <c r="V205" s="39"/>
      <c r="W205"/>
      <c r="X205"/>
      <c r="Y205"/>
      <c r="Z205"/>
      <c r="AA205"/>
    </row>
    <row r="206" spans="1:27" x14ac:dyDescent="0.25">
      <c r="A206"/>
      <c r="B206" s="36"/>
      <c r="C206" s="36"/>
      <c r="D206"/>
      <c r="E206"/>
      <c r="F206"/>
      <c r="G206"/>
      <c r="H206"/>
      <c r="I206"/>
      <c r="J206"/>
      <c r="K206"/>
      <c r="L206"/>
      <c r="M206"/>
      <c r="N206"/>
      <c r="O206"/>
      <c r="P206" s="36"/>
      <c r="Q206" s="37"/>
      <c r="R206" s="44"/>
      <c r="S206"/>
      <c r="T206"/>
      <c r="U206"/>
      <c r="V206" s="39"/>
      <c r="W206"/>
      <c r="X206"/>
      <c r="Y206"/>
      <c r="Z206"/>
      <c r="AA206"/>
    </row>
    <row r="207" spans="1:27" x14ac:dyDescent="0.25">
      <c r="A207"/>
      <c r="B207" s="36"/>
      <c r="C207" s="36"/>
      <c r="D207"/>
      <c r="E207"/>
      <c r="F207"/>
      <c r="G207"/>
      <c r="H207"/>
      <c r="I207"/>
      <c r="J207"/>
      <c r="K207"/>
      <c r="L207"/>
      <c r="M207"/>
      <c r="N207"/>
      <c r="O207"/>
      <c r="P207" s="36"/>
      <c r="Q207" s="37"/>
      <c r="R207"/>
      <c r="S207"/>
      <c r="T207"/>
      <c r="U207"/>
      <c r="V207" s="39"/>
      <c r="W207"/>
      <c r="X207"/>
      <c r="Y207"/>
      <c r="Z207"/>
      <c r="AA207"/>
    </row>
    <row r="208" spans="1:27" x14ac:dyDescent="0.25">
      <c r="A208"/>
      <c r="B208" s="36"/>
      <c r="C208" s="36"/>
      <c r="D208"/>
      <c r="E208"/>
      <c r="F208"/>
      <c r="G208"/>
      <c r="H208"/>
      <c r="I208"/>
      <c r="J208"/>
      <c r="K208"/>
      <c r="L208"/>
      <c r="M208"/>
      <c r="N208"/>
      <c r="O208"/>
      <c r="P208" s="36"/>
      <c r="Q208" s="37"/>
      <c r="R208"/>
      <c r="S208"/>
      <c r="T208"/>
      <c r="U208"/>
      <c r="V208" s="39"/>
      <c r="W208"/>
      <c r="X208"/>
      <c r="Y208"/>
      <c r="Z208"/>
      <c r="AA208"/>
    </row>
    <row r="209" spans="1:27" x14ac:dyDescent="0.25">
      <c r="A209"/>
      <c r="B209" s="36"/>
      <c r="C209" s="36"/>
      <c r="D209"/>
      <c r="E209"/>
      <c r="F209"/>
      <c r="G209"/>
      <c r="H209"/>
      <c r="I209"/>
      <c r="J209"/>
      <c r="K209"/>
      <c r="L209"/>
      <c r="M209"/>
      <c r="N209"/>
      <c r="O209"/>
      <c r="P209" s="36"/>
      <c r="Q209" s="37"/>
      <c r="R209"/>
      <c r="S209"/>
      <c r="T209"/>
      <c r="U209"/>
      <c r="V209" s="39"/>
      <c r="W209"/>
      <c r="X209"/>
      <c r="Y209"/>
      <c r="Z209"/>
      <c r="AA209"/>
    </row>
    <row r="210" spans="1:27" x14ac:dyDescent="0.25">
      <c r="A210"/>
      <c r="B210" s="36"/>
      <c r="C210" s="36"/>
      <c r="D210"/>
      <c r="E210"/>
      <c r="F210"/>
      <c r="G210"/>
      <c r="H210"/>
      <c r="I210"/>
      <c r="J210"/>
      <c r="K210"/>
      <c r="L210"/>
      <c r="M210"/>
      <c r="N210"/>
      <c r="O210"/>
      <c r="P210" s="36"/>
      <c r="Q210" s="37"/>
      <c r="R210"/>
      <c r="S210"/>
      <c r="T210"/>
      <c r="U210"/>
      <c r="V210" s="39"/>
      <c r="W210"/>
      <c r="X210"/>
      <c r="Y210"/>
      <c r="Z210"/>
      <c r="AA210"/>
    </row>
    <row r="211" spans="1:27" x14ac:dyDescent="0.25">
      <c r="A211"/>
      <c r="B211" s="36"/>
      <c r="C211" s="36"/>
      <c r="D211"/>
      <c r="E211"/>
      <c r="F211"/>
      <c r="G211"/>
      <c r="H211"/>
      <c r="I211"/>
      <c r="J211"/>
      <c r="K211"/>
      <c r="L211"/>
      <c r="M211"/>
      <c r="N211"/>
      <c r="O211"/>
      <c r="P211" s="36"/>
      <c r="Q211" s="37"/>
      <c r="R211"/>
      <c r="S211"/>
      <c r="T211"/>
      <c r="U211"/>
      <c r="V211" s="39"/>
      <c r="W211"/>
      <c r="X211"/>
      <c r="Y211"/>
      <c r="Z211"/>
      <c r="AA211"/>
    </row>
    <row r="212" spans="1:27" x14ac:dyDescent="0.25">
      <c r="A212"/>
      <c r="B212" s="36"/>
      <c r="C212" s="36"/>
      <c r="D212"/>
      <c r="E212"/>
      <c r="F212"/>
      <c r="G212"/>
      <c r="H212"/>
      <c r="I212"/>
      <c r="J212"/>
      <c r="K212"/>
      <c r="L212"/>
      <c r="M212"/>
      <c r="N212"/>
      <c r="O212"/>
      <c r="P212" s="36"/>
      <c r="Q212" s="37"/>
      <c r="R212"/>
      <c r="S212"/>
      <c r="T212"/>
      <c r="U212"/>
      <c r="V212" s="39"/>
      <c r="W212"/>
      <c r="X212"/>
      <c r="Y212"/>
      <c r="Z212"/>
      <c r="AA212"/>
    </row>
    <row r="213" spans="1:27" x14ac:dyDescent="0.25">
      <c r="A213"/>
      <c r="B213" s="36"/>
      <c r="C213" s="36"/>
      <c r="D213"/>
      <c r="E213"/>
      <c r="F213"/>
      <c r="G213"/>
      <c r="H213"/>
      <c r="I213"/>
      <c r="J213"/>
      <c r="K213"/>
      <c r="L213"/>
      <c r="M213"/>
      <c r="N213"/>
      <c r="O213"/>
      <c r="P213" s="36"/>
      <c r="Q213" s="37"/>
      <c r="R213"/>
      <c r="S213"/>
      <c r="T213"/>
      <c r="U213"/>
      <c r="V213" s="39"/>
      <c r="W213"/>
      <c r="X213"/>
      <c r="Y213"/>
      <c r="Z213"/>
      <c r="AA213"/>
    </row>
    <row r="214" spans="1:27" x14ac:dyDescent="0.25">
      <c r="A214"/>
      <c r="B214" s="36"/>
      <c r="C214" s="36"/>
      <c r="D214"/>
      <c r="E214"/>
      <c r="F214"/>
      <c r="G214"/>
      <c r="H214"/>
      <c r="I214"/>
      <c r="J214"/>
      <c r="K214"/>
      <c r="L214"/>
      <c r="M214"/>
      <c r="N214"/>
      <c r="O214"/>
      <c r="P214" s="36"/>
      <c r="Q214" s="37"/>
      <c r="R214"/>
      <c r="S214"/>
      <c r="T214"/>
      <c r="U214"/>
      <c r="V214" s="39"/>
      <c r="W214"/>
      <c r="X214"/>
      <c r="Y214"/>
      <c r="Z214"/>
      <c r="AA214"/>
    </row>
    <row r="215" spans="1:27" x14ac:dyDescent="0.25">
      <c r="A215"/>
      <c r="B215" s="36"/>
      <c r="C215" s="36"/>
      <c r="D215"/>
      <c r="E215"/>
      <c r="F215"/>
      <c r="G215"/>
      <c r="H215"/>
      <c r="I215"/>
      <c r="J215"/>
      <c r="K215"/>
      <c r="L215"/>
      <c r="M215"/>
      <c r="N215"/>
      <c r="O215"/>
      <c r="P215" s="36"/>
      <c r="Q215" s="37"/>
      <c r="R215"/>
      <c r="S215"/>
      <c r="T215"/>
      <c r="U215"/>
      <c r="V215" s="39"/>
      <c r="W215"/>
      <c r="X215"/>
      <c r="Y215"/>
      <c r="Z215"/>
      <c r="AA215"/>
    </row>
    <row r="216" spans="1:27" x14ac:dyDescent="0.25">
      <c r="A216"/>
      <c r="B216" s="36"/>
      <c r="C216" s="36"/>
      <c r="D216"/>
      <c r="E216"/>
      <c r="F216"/>
      <c r="G216"/>
      <c r="H216"/>
      <c r="I216"/>
      <c r="J216"/>
      <c r="K216"/>
      <c r="L216"/>
      <c r="M216"/>
      <c r="N216"/>
      <c r="O216"/>
      <c r="P216" s="36"/>
      <c r="Q216" s="37"/>
      <c r="R216"/>
      <c r="S216"/>
      <c r="T216"/>
      <c r="U216"/>
      <c r="V216" s="39"/>
      <c r="W216"/>
      <c r="X216"/>
      <c r="Y216"/>
      <c r="Z216"/>
      <c r="AA216"/>
    </row>
    <row r="217" spans="1:27" x14ac:dyDescent="0.25">
      <c r="A217"/>
      <c r="B217" s="36"/>
      <c r="C217" s="36"/>
      <c r="D217"/>
      <c r="E217"/>
      <c r="F217"/>
      <c r="G217"/>
      <c r="H217"/>
      <c r="I217"/>
      <c r="J217"/>
      <c r="K217"/>
      <c r="L217"/>
      <c r="M217"/>
      <c r="N217"/>
      <c r="O217"/>
      <c r="P217" s="36"/>
      <c r="Q217" s="37"/>
      <c r="R217"/>
      <c r="S217"/>
      <c r="T217"/>
      <c r="U217"/>
      <c r="V217" s="39"/>
      <c r="W217"/>
      <c r="X217"/>
      <c r="Y217"/>
      <c r="Z217"/>
      <c r="AA217"/>
    </row>
    <row r="218" spans="1:27" x14ac:dyDescent="0.25">
      <c r="A218"/>
      <c r="B218" s="36"/>
      <c r="C218" s="36"/>
      <c r="D218"/>
      <c r="E218"/>
      <c r="F218"/>
      <c r="G218"/>
      <c r="H218"/>
      <c r="I218"/>
      <c r="J218"/>
      <c r="K218"/>
      <c r="L218"/>
      <c r="M218"/>
      <c r="N218"/>
      <c r="O218"/>
      <c r="P218" s="36"/>
      <c r="Q218" s="37"/>
      <c r="R218"/>
      <c r="S218"/>
      <c r="T218"/>
      <c r="U218"/>
      <c r="V218" s="39"/>
      <c r="W218"/>
      <c r="X218"/>
      <c r="Y218"/>
      <c r="Z218"/>
      <c r="AA218"/>
    </row>
    <row r="219" spans="1:27" x14ac:dyDescent="0.25">
      <c r="A219"/>
      <c r="B219" s="36"/>
      <c r="C219" s="36"/>
      <c r="D219"/>
      <c r="E219"/>
      <c r="F219"/>
      <c r="G219"/>
      <c r="H219"/>
      <c r="I219"/>
      <c r="J219"/>
      <c r="K219"/>
      <c r="L219"/>
      <c r="M219"/>
      <c r="N219"/>
      <c r="O219"/>
      <c r="P219" s="36"/>
      <c r="Q219" s="37"/>
      <c r="R219"/>
      <c r="S219"/>
      <c r="T219"/>
      <c r="U219"/>
      <c r="V219" s="39"/>
      <c r="W219"/>
      <c r="X219"/>
      <c r="Y219"/>
      <c r="Z219"/>
      <c r="AA219"/>
    </row>
    <row r="220" spans="1:27" x14ac:dyDescent="0.25">
      <c r="A220"/>
      <c r="B220" s="36"/>
      <c r="C220" s="36"/>
      <c r="D220"/>
      <c r="E220"/>
      <c r="F220"/>
      <c r="G220"/>
      <c r="H220"/>
      <c r="I220"/>
      <c r="J220"/>
      <c r="K220"/>
      <c r="L220"/>
      <c r="M220"/>
      <c r="N220"/>
      <c r="O220"/>
      <c r="P220" s="36"/>
      <c r="Q220" s="37"/>
      <c r="R220"/>
      <c r="S220"/>
      <c r="T220"/>
      <c r="U220"/>
      <c r="V220" s="39"/>
      <c r="W220"/>
      <c r="X220"/>
      <c r="Y220"/>
      <c r="Z220"/>
      <c r="AA220"/>
    </row>
    <row r="221" spans="1:27" x14ac:dyDescent="0.25">
      <c r="A221"/>
      <c r="B221" s="36"/>
      <c r="C221" s="36"/>
      <c r="D221"/>
      <c r="E221"/>
      <c r="F221"/>
      <c r="G221"/>
      <c r="H221"/>
      <c r="I221"/>
      <c r="J221"/>
      <c r="K221"/>
      <c r="L221"/>
      <c r="M221"/>
      <c r="N221"/>
      <c r="O221"/>
      <c r="P221" s="36"/>
      <c r="Q221" s="37"/>
      <c r="R221"/>
      <c r="S221"/>
      <c r="T221"/>
      <c r="U221"/>
      <c r="V221" s="39"/>
      <c r="W221"/>
      <c r="X221"/>
      <c r="Y221"/>
      <c r="Z221"/>
      <c r="AA221"/>
    </row>
    <row r="222" spans="1:27" x14ac:dyDescent="0.25">
      <c r="A222"/>
      <c r="B222" s="36"/>
      <c r="C222" s="36"/>
      <c r="D222"/>
      <c r="E222"/>
      <c r="F222"/>
      <c r="G222"/>
      <c r="H222"/>
      <c r="I222"/>
      <c r="J222"/>
      <c r="K222"/>
      <c r="L222"/>
      <c r="M222"/>
      <c r="N222"/>
      <c r="O222"/>
      <c r="P222" s="36"/>
      <c r="Q222" s="37"/>
      <c r="R222"/>
      <c r="S222"/>
      <c r="T222"/>
      <c r="U222"/>
      <c r="V222" s="39"/>
      <c r="W222"/>
      <c r="X222"/>
      <c r="Y222"/>
      <c r="Z222"/>
      <c r="AA222"/>
    </row>
    <row r="223" spans="1:27" x14ac:dyDescent="0.25">
      <c r="A223"/>
      <c r="B223" s="36"/>
      <c r="C223" s="36"/>
      <c r="D223"/>
      <c r="E223"/>
      <c r="F223"/>
      <c r="G223"/>
      <c r="H223"/>
      <c r="I223"/>
      <c r="J223"/>
      <c r="K223"/>
      <c r="L223"/>
      <c r="M223"/>
      <c r="N223"/>
      <c r="O223"/>
      <c r="P223" s="36"/>
      <c r="Q223" s="37"/>
      <c r="R223"/>
      <c r="S223"/>
      <c r="T223"/>
      <c r="U223"/>
      <c r="V223" s="39"/>
      <c r="W223"/>
      <c r="X223"/>
      <c r="Y223"/>
      <c r="Z223"/>
      <c r="AA223"/>
    </row>
    <row r="224" spans="1:27" x14ac:dyDescent="0.25">
      <c r="A224"/>
      <c r="B224" s="36"/>
      <c r="C224" s="36"/>
      <c r="D224"/>
      <c r="E224"/>
      <c r="F224"/>
      <c r="G224"/>
      <c r="H224"/>
      <c r="I224"/>
      <c r="J224"/>
      <c r="K224"/>
      <c r="L224"/>
      <c r="M224"/>
      <c r="N224"/>
      <c r="O224"/>
      <c r="P224" s="36"/>
      <c r="Q224" s="37"/>
      <c r="R224"/>
      <c r="S224"/>
      <c r="T224"/>
      <c r="U224"/>
      <c r="V224" s="39"/>
      <c r="W224"/>
      <c r="X224"/>
      <c r="Y224"/>
      <c r="Z224"/>
      <c r="AA224"/>
    </row>
    <row r="225" spans="1:27" x14ac:dyDescent="0.25">
      <c r="A225"/>
      <c r="B225" s="36"/>
      <c r="C225" s="36"/>
      <c r="D225"/>
      <c r="E225"/>
      <c r="F225"/>
      <c r="G225"/>
      <c r="H225"/>
      <c r="I225"/>
      <c r="J225"/>
      <c r="K225"/>
      <c r="L225"/>
      <c r="M225"/>
      <c r="N225"/>
      <c r="O225"/>
      <c r="P225" s="36"/>
      <c r="Q225" s="37"/>
      <c r="R225"/>
      <c r="S225"/>
      <c r="T225"/>
      <c r="U225"/>
      <c r="V225" s="39"/>
      <c r="W225"/>
      <c r="X225"/>
      <c r="Y225"/>
      <c r="Z225"/>
      <c r="AA225"/>
    </row>
    <row r="226" spans="1:27" x14ac:dyDescent="0.25">
      <c r="A226"/>
      <c r="B226" s="36"/>
      <c r="C226" s="36"/>
      <c r="D226"/>
      <c r="E226"/>
      <c r="F226"/>
      <c r="G226"/>
      <c r="H226"/>
      <c r="I226"/>
      <c r="J226"/>
      <c r="K226"/>
      <c r="L226"/>
      <c r="M226"/>
      <c r="N226"/>
      <c r="O226"/>
      <c r="P226" s="36"/>
      <c r="Q226" s="37"/>
      <c r="R226"/>
      <c r="S226"/>
      <c r="T226"/>
      <c r="U226"/>
      <c r="V226" s="39"/>
      <c r="W226"/>
      <c r="X226"/>
      <c r="Y226"/>
      <c r="Z226"/>
      <c r="AA226"/>
    </row>
    <row r="227" spans="1:27" x14ac:dyDescent="0.25">
      <c r="A227"/>
      <c r="B227" s="36"/>
      <c r="C227" s="36"/>
      <c r="D227"/>
      <c r="E227"/>
      <c r="F227"/>
      <c r="G227"/>
      <c r="H227"/>
      <c r="I227"/>
      <c r="J227"/>
      <c r="K227"/>
      <c r="L227"/>
      <c r="M227"/>
      <c r="N227"/>
      <c r="O227"/>
      <c r="P227" s="36"/>
      <c r="Q227" s="37"/>
      <c r="R227"/>
      <c r="S227"/>
      <c r="T227"/>
      <c r="U227"/>
      <c r="V227" s="39"/>
      <c r="W227"/>
      <c r="X227"/>
      <c r="Y227"/>
      <c r="Z227"/>
      <c r="AA227"/>
    </row>
    <row r="228" spans="1:27" x14ac:dyDescent="0.25">
      <c r="A228"/>
      <c r="B228" s="36"/>
      <c r="C228" s="36"/>
      <c r="D228"/>
      <c r="E228"/>
      <c r="F228"/>
      <c r="G228"/>
      <c r="H228"/>
      <c r="I228"/>
      <c r="J228"/>
      <c r="K228"/>
      <c r="L228"/>
      <c r="M228"/>
      <c r="N228"/>
      <c r="O228"/>
      <c r="P228" s="36"/>
      <c r="Q228" s="37"/>
      <c r="R228"/>
      <c r="S228"/>
      <c r="T228"/>
      <c r="U228"/>
      <c r="V228" s="39"/>
      <c r="W228"/>
      <c r="X228"/>
      <c r="Y228"/>
      <c r="Z228"/>
      <c r="AA228"/>
    </row>
    <row r="229" spans="1:27" x14ac:dyDescent="0.25">
      <c r="A229"/>
      <c r="B229" s="36"/>
      <c r="C229" s="36"/>
      <c r="D229"/>
      <c r="E229"/>
      <c r="F229"/>
      <c r="G229"/>
      <c r="H229"/>
      <c r="I229"/>
      <c r="J229"/>
      <c r="K229"/>
      <c r="L229"/>
      <c r="M229"/>
      <c r="N229"/>
      <c r="O229"/>
      <c r="P229" s="36"/>
      <c r="Q229" s="37"/>
      <c r="R229"/>
      <c r="S229"/>
      <c r="T229"/>
      <c r="U229"/>
      <c r="V229" s="39"/>
      <c r="W229"/>
      <c r="X229"/>
      <c r="Y229"/>
      <c r="Z229"/>
      <c r="AA229"/>
    </row>
    <row r="230" spans="1:27" x14ac:dyDescent="0.25">
      <c r="A230"/>
      <c r="B230" s="36"/>
      <c r="C230" s="36"/>
      <c r="D230"/>
      <c r="E230"/>
      <c r="F230"/>
      <c r="G230"/>
      <c r="H230"/>
      <c r="I230"/>
      <c r="J230"/>
      <c r="K230"/>
      <c r="L230"/>
      <c r="M230"/>
      <c r="N230"/>
      <c r="O230"/>
      <c r="P230" s="36"/>
      <c r="Q230" s="37"/>
      <c r="R230"/>
      <c r="S230"/>
      <c r="T230"/>
      <c r="U230"/>
      <c r="V230" s="39"/>
      <c r="W230"/>
      <c r="X230"/>
      <c r="Y230"/>
      <c r="Z230"/>
      <c r="AA230"/>
    </row>
    <row r="231" spans="1:27" x14ac:dyDescent="0.25">
      <c r="A231"/>
      <c r="B231" s="36"/>
      <c r="C231" s="36"/>
      <c r="D231"/>
      <c r="E231"/>
      <c r="F231"/>
      <c r="G231"/>
      <c r="H231"/>
      <c r="I231"/>
      <c r="J231"/>
      <c r="K231"/>
      <c r="L231"/>
      <c r="M231"/>
      <c r="N231"/>
      <c r="O231"/>
      <c r="P231" s="36"/>
      <c r="Q231" s="37"/>
      <c r="R231"/>
      <c r="S231"/>
      <c r="T231"/>
      <c r="U231"/>
      <c r="V231" s="39"/>
      <c r="W231"/>
      <c r="X231"/>
      <c r="Y231"/>
      <c r="Z231"/>
      <c r="AA231"/>
    </row>
    <row r="232" spans="1:27" x14ac:dyDescent="0.25">
      <c r="A232"/>
      <c r="B232" s="36"/>
      <c r="C232" s="36"/>
      <c r="D232"/>
      <c r="E232"/>
      <c r="F232"/>
      <c r="G232"/>
      <c r="H232"/>
      <c r="I232"/>
      <c r="J232"/>
      <c r="K232"/>
      <c r="L232"/>
      <c r="M232"/>
      <c r="N232"/>
      <c r="O232"/>
      <c r="P232" s="36"/>
      <c r="Q232" s="37"/>
      <c r="R232"/>
      <c r="S232"/>
      <c r="T232"/>
      <c r="U232"/>
      <c r="V232" s="39"/>
      <c r="W232"/>
      <c r="X232"/>
      <c r="Y232"/>
      <c r="Z232"/>
      <c r="AA232"/>
    </row>
    <row r="233" spans="1:27" x14ac:dyDescent="0.25">
      <c r="A233"/>
      <c r="B233" s="36"/>
      <c r="C233" s="36"/>
      <c r="D233"/>
      <c r="E233"/>
      <c r="F233"/>
      <c r="G233"/>
      <c r="H233"/>
      <c r="I233"/>
      <c r="J233"/>
      <c r="K233"/>
      <c r="L233"/>
      <c r="M233"/>
      <c r="N233"/>
      <c r="O233"/>
      <c r="P233" s="36"/>
      <c r="Q233" s="37"/>
      <c r="R233"/>
      <c r="S233"/>
      <c r="T233"/>
      <c r="U233"/>
      <c r="V233" s="39"/>
      <c r="W233"/>
      <c r="X233"/>
      <c r="Y233"/>
      <c r="Z233"/>
      <c r="AA233"/>
    </row>
    <row r="234" spans="1:27" x14ac:dyDescent="0.25">
      <c r="A234"/>
      <c r="B234" s="36"/>
      <c r="C234" s="36"/>
      <c r="D234"/>
      <c r="E234"/>
      <c r="F234"/>
      <c r="G234"/>
      <c r="H234"/>
      <c r="I234"/>
      <c r="J234"/>
      <c r="K234"/>
      <c r="L234"/>
      <c r="M234"/>
      <c r="N234"/>
      <c r="O234"/>
      <c r="P234" s="36"/>
      <c r="Q234" s="37"/>
      <c r="R234"/>
      <c r="S234"/>
      <c r="T234"/>
      <c r="U234"/>
      <c r="V234" s="39"/>
      <c r="W234"/>
      <c r="X234"/>
      <c r="Y234"/>
      <c r="Z234"/>
      <c r="AA234"/>
    </row>
    <row r="235" spans="1:27" x14ac:dyDescent="0.25">
      <c r="A235"/>
      <c r="B235" s="36"/>
      <c r="C235" s="36"/>
      <c r="D235"/>
      <c r="E235"/>
      <c r="F235"/>
      <c r="G235"/>
      <c r="H235"/>
      <c r="I235"/>
      <c r="J235"/>
      <c r="K235"/>
      <c r="L235"/>
      <c r="M235"/>
      <c r="N235"/>
      <c r="O235"/>
      <c r="P235" s="36"/>
      <c r="Q235" s="37"/>
      <c r="R235"/>
      <c r="S235"/>
      <c r="T235"/>
      <c r="U235"/>
      <c r="V235" s="39"/>
      <c r="W235"/>
      <c r="X235"/>
      <c r="Y235"/>
      <c r="Z235"/>
      <c r="AA235"/>
    </row>
    <row r="236" spans="1:27" x14ac:dyDescent="0.25">
      <c r="A236"/>
      <c r="B236" s="36"/>
      <c r="C236" s="36"/>
      <c r="D236"/>
      <c r="E236"/>
      <c r="F236"/>
      <c r="G236"/>
      <c r="H236"/>
      <c r="I236"/>
      <c r="J236"/>
      <c r="K236"/>
      <c r="L236"/>
      <c r="M236"/>
      <c r="N236"/>
      <c r="O236"/>
      <c r="P236" s="36"/>
      <c r="Q236" s="37"/>
      <c r="R236"/>
      <c r="S236"/>
      <c r="T236"/>
      <c r="U236"/>
      <c r="V236" s="39"/>
      <c r="W236"/>
      <c r="X236"/>
      <c r="Y236"/>
      <c r="Z236"/>
      <c r="AA236"/>
    </row>
    <row r="237" spans="1:27" x14ac:dyDescent="0.25">
      <c r="A237"/>
      <c r="B237" s="36"/>
      <c r="C237" s="36"/>
      <c r="D237"/>
      <c r="E237"/>
      <c r="F237"/>
      <c r="G237"/>
      <c r="H237"/>
      <c r="I237"/>
      <c r="J237"/>
      <c r="K237"/>
      <c r="L237"/>
      <c r="M237"/>
      <c r="N237"/>
      <c r="O237"/>
      <c r="P237" s="36"/>
      <c r="Q237" s="37"/>
      <c r="R237"/>
      <c r="S237"/>
      <c r="T237"/>
      <c r="U237"/>
      <c r="V237" s="39"/>
      <c r="W237"/>
      <c r="X237"/>
      <c r="Y237"/>
      <c r="Z237"/>
      <c r="AA237"/>
    </row>
    <row r="238" spans="1:27" x14ac:dyDescent="0.25">
      <c r="A238"/>
      <c r="B238" s="36"/>
      <c r="C238" s="36"/>
      <c r="D238"/>
      <c r="E238"/>
      <c r="F238"/>
      <c r="G238"/>
      <c r="H238"/>
      <c r="I238"/>
      <c r="J238"/>
      <c r="K238"/>
      <c r="L238"/>
      <c r="M238"/>
      <c r="N238"/>
      <c r="O238"/>
      <c r="P238" s="36"/>
      <c r="Q238" s="37"/>
      <c r="R238"/>
      <c r="S238"/>
      <c r="T238"/>
      <c r="U238"/>
      <c r="V238" s="39"/>
      <c r="W238"/>
      <c r="X238"/>
      <c r="Y238"/>
      <c r="Z238"/>
      <c r="AA238"/>
    </row>
    <row r="239" spans="1:27" x14ac:dyDescent="0.25">
      <c r="A239"/>
      <c r="B239" s="36"/>
      <c r="C239" s="36"/>
      <c r="D239"/>
      <c r="E239"/>
      <c r="F239"/>
      <c r="G239"/>
      <c r="H239"/>
      <c r="I239"/>
      <c r="J239"/>
      <c r="K239"/>
      <c r="L239"/>
      <c r="M239"/>
      <c r="N239"/>
      <c r="O239"/>
      <c r="P239" s="36"/>
      <c r="Q239" s="37"/>
      <c r="R239"/>
      <c r="S239"/>
      <c r="T239"/>
      <c r="U239"/>
      <c r="V239" s="39"/>
      <c r="W239"/>
      <c r="X239"/>
      <c r="Y239"/>
      <c r="Z239"/>
      <c r="AA239"/>
    </row>
    <row r="240" spans="1:27" x14ac:dyDescent="0.25">
      <c r="A240"/>
      <c r="B240" s="36"/>
      <c r="C240" s="36"/>
      <c r="D240"/>
      <c r="E240"/>
      <c r="F240"/>
      <c r="G240"/>
      <c r="H240"/>
      <c r="I240"/>
      <c r="J240"/>
      <c r="K240"/>
      <c r="L240"/>
      <c r="M240"/>
      <c r="N240"/>
      <c r="O240"/>
      <c r="P240" s="36"/>
      <c r="Q240" s="37"/>
      <c r="R240"/>
      <c r="S240"/>
      <c r="T240"/>
      <c r="U240"/>
      <c r="V240" s="39"/>
      <c r="W240"/>
      <c r="X240"/>
      <c r="Y240"/>
      <c r="Z240"/>
      <c r="AA240"/>
    </row>
    <row r="241" spans="1:27" x14ac:dyDescent="0.25">
      <c r="A241"/>
      <c r="B241" s="36"/>
      <c r="C241" s="36"/>
      <c r="D241"/>
      <c r="E241"/>
      <c r="F241"/>
      <c r="G241"/>
      <c r="H241"/>
      <c r="I241"/>
      <c r="J241"/>
      <c r="K241"/>
      <c r="L241"/>
      <c r="M241"/>
      <c r="N241"/>
      <c r="O241"/>
      <c r="P241" s="36"/>
      <c r="Q241" s="37"/>
      <c r="R241"/>
      <c r="S241"/>
      <c r="T241"/>
      <c r="U241"/>
      <c r="V241" s="39"/>
      <c r="W241"/>
      <c r="X241"/>
      <c r="Y241"/>
      <c r="Z241"/>
      <c r="AA241"/>
    </row>
    <row r="242" spans="1:27" x14ac:dyDescent="0.25">
      <c r="A242"/>
      <c r="B242" s="36"/>
      <c r="C242" s="36"/>
      <c r="D242"/>
      <c r="E242"/>
      <c r="F242"/>
      <c r="G242"/>
      <c r="H242"/>
      <c r="I242"/>
      <c r="J242"/>
      <c r="K242"/>
      <c r="L242"/>
      <c r="M242"/>
      <c r="N242"/>
      <c r="O242"/>
      <c r="P242" s="36"/>
      <c r="Q242" s="37"/>
      <c r="R242"/>
      <c r="S242"/>
      <c r="T242"/>
      <c r="U242"/>
      <c r="V242" s="39"/>
      <c r="W242"/>
      <c r="X242"/>
      <c r="Y242"/>
      <c r="Z242"/>
      <c r="AA242"/>
    </row>
    <row r="243" spans="1:27" x14ac:dyDescent="0.25">
      <c r="A243"/>
      <c r="B243" s="36"/>
      <c r="C243" s="36"/>
      <c r="D243"/>
      <c r="E243"/>
      <c r="F243"/>
      <c r="G243"/>
      <c r="H243"/>
      <c r="I243"/>
      <c r="J243"/>
      <c r="K243"/>
      <c r="L243"/>
      <c r="M243"/>
      <c r="N243"/>
      <c r="O243"/>
      <c r="P243" s="36"/>
      <c r="Q243" s="37"/>
      <c r="R243"/>
      <c r="S243"/>
      <c r="T243"/>
      <c r="U243"/>
      <c r="V243" s="39"/>
      <c r="W243"/>
      <c r="X243"/>
      <c r="Y243"/>
      <c r="Z243"/>
      <c r="AA243"/>
    </row>
    <row r="244" spans="1:27" x14ac:dyDescent="0.25">
      <c r="A244"/>
      <c r="B244" s="36"/>
      <c r="C244" s="36"/>
      <c r="D244"/>
      <c r="E244"/>
      <c r="F244"/>
      <c r="G244"/>
      <c r="H244"/>
      <c r="I244"/>
      <c r="J244"/>
      <c r="K244"/>
      <c r="L244"/>
      <c r="M244"/>
      <c r="N244"/>
      <c r="O244"/>
      <c r="P244" s="36"/>
      <c r="Q244" s="37"/>
      <c r="R244"/>
      <c r="S244"/>
      <c r="T244"/>
      <c r="U244"/>
      <c r="V244" s="39"/>
      <c r="W244"/>
      <c r="X244"/>
      <c r="Y244"/>
      <c r="Z244"/>
      <c r="AA244"/>
    </row>
    <row r="245" spans="1:27" x14ac:dyDescent="0.25">
      <c r="A245"/>
      <c r="B245" s="36"/>
      <c r="C245" s="36"/>
      <c r="D245"/>
      <c r="E245"/>
      <c r="F245"/>
      <c r="G245"/>
      <c r="H245"/>
      <c r="I245"/>
      <c r="J245"/>
      <c r="K245"/>
      <c r="L245"/>
      <c r="M245"/>
      <c r="N245"/>
      <c r="O245"/>
      <c r="P245" s="36"/>
      <c r="Q245" s="37"/>
      <c r="R245"/>
      <c r="S245"/>
      <c r="T245"/>
      <c r="U245"/>
      <c r="V245" s="39"/>
      <c r="W245"/>
      <c r="X245"/>
      <c r="Y245"/>
      <c r="Z245"/>
      <c r="AA245"/>
    </row>
    <row r="246" spans="1:27" x14ac:dyDescent="0.25">
      <c r="A246"/>
      <c r="B246" s="36"/>
      <c r="C246" s="36"/>
      <c r="D246"/>
      <c r="E246"/>
      <c r="F246"/>
      <c r="G246"/>
      <c r="H246"/>
      <c r="I246"/>
      <c r="J246"/>
      <c r="K246"/>
      <c r="L246"/>
      <c r="M246"/>
      <c r="N246"/>
      <c r="O246"/>
      <c r="P246" s="36"/>
      <c r="Q246" s="37"/>
      <c r="R246"/>
      <c r="S246"/>
      <c r="T246"/>
      <c r="U246"/>
      <c r="V246" s="39"/>
      <c r="W246"/>
      <c r="X246"/>
      <c r="Y246"/>
      <c r="Z246"/>
      <c r="AA246"/>
    </row>
    <row r="247" spans="1:27" x14ac:dyDescent="0.25">
      <c r="A247"/>
      <c r="B247" s="36"/>
      <c r="C247" s="36"/>
      <c r="D247"/>
      <c r="E247"/>
      <c r="F247"/>
      <c r="G247"/>
      <c r="H247"/>
      <c r="I247"/>
      <c r="J247"/>
      <c r="K247"/>
      <c r="L247"/>
      <c r="M247"/>
      <c r="N247"/>
      <c r="O247"/>
      <c r="P247" s="36"/>
      <c r="Q247" s="37"/>
      <c r="R247"/>
      <c r="S247"/>
      <c r="T247"/>
      <c r="U247"/>
      <c r="V247" s="39"/>
      <c r="W247"/>
      <c r="X247"/>
      <c r="Y247"/>
      <c r="Z247"/>
      <c r="AA247"/>
    </row>
    <row r="248" spans="1:27" x14ac:dyDescent="0.25">
      <c r="A248"/>
      <c r="B248" s="36"/>
      <c r="C248" s="36"/>
      <c r="D248"/>
      <c r="E248"/>
      <c r="F248"/>
      <c r="G248"/>
      <c r="H248"/>
      <c r="I248"/>
      <c r="J248"/>
      <c r="K248"/>
      <c r="L248"/>
      <c r="M248"/>
      <c r="N248"/>
      <c r="O248"/>
      <c r="P248" s="36"/>
      <c r="Q248" s="37"/>
      <c r="R248"/>
      <c r="S248"/>
      <c r="T248"/>
      <c r="U248"/>
      <c r="V248" s="39"/>
      <c r="W248"/>
      <c r="X248"/>
      <c r="Y248"/>
      <c r="Z248"/>
      <c r="AA248"/>
    </row>
    <row r="249" spans="1:27" x14ac:dyDescent="0.25">
      <c r="A249"/>
      <c r="B249" s="36"/>
      <c r="C249" s="36"/>
      <c r="D249"/>
      <c r="E249"/>
      <c r="F249"/>
      <c r="G249"/>
      <c r="H249"/>
      <c r="I249"/>
      <c r="J249"/>
      <c r="K249"/>
      <c r="L249"/>
      <c r="M249"/>
      <c r="N249"/>
      <c r="O249"/>
      <c r="P249" s="36"/>
      <c r="Q249" s="37"/>
      <c r="R249"/>
      <c r="S249"/>
      <c r="T249"/>
      <c r="U249"/>
      <c r="V249" s="39"/>
      <c r="W249"/>
      <c r="X249"/>
      <c r="Y249"/>
      <c r="Z249"/>
      <c r="AA249"/>
    </row>
    <row r="250" spans="1:27" x14ac:dyDescent="0.25">
      <c r="A250"/>
      <c r="B250" s="36"/>
      <c r="C250" s="36"/>
      <c r="D250"/>
      <c r="E250"/>
      <c r="F250"/>
      <c r="G250"/>
      <c r="H250"/>
      <c r="I250"/>
      <c r="J250"/>
      <c r="K250"/>
      <c r="L250"/>
      <c r="M250"/>
      <c r="N250"/>
      <c r="O250"/>
      <c r="P250" s="36"/>
      <c r="Q250" s="37"/>
      <c r="R250"/>
      <c r="S250"/>
      <c r="T250"/>
      <c r="U250"/>
      <c r="V250" s="39"/>
      <c r="W250"/>
      <c r="X250"/>
      <c r="Y250"/>
      <c r="Z250"/>
      <c r="AA250"/>
    </row>
    <row r="251" spans="1:27" x14ac:dyDescent="0.25">
      <c r="A251"/>
      <c r="B251" s="36"/>
      <c r="C251" s="36"/>
      <c r="D251"/>
      <c r="E251"/>
      <c r="F251"/>
      <c r="G251"/>
      <c r="H251"/>
      <c r="I251"/>
      <c r="J251"/>
      <c r="K251"/>
      <c r="L251"/>
      <c r="M251"/>
      <c r="N251"/>
      <c r="O251"/>
      <c r="P251" s="36"/>
      <c r="Q251" s="37"/>
      <c r="R251"/>
      <c r="S251"/>
      <c r="T251"/>
      <c r="U251"/>
      <c r="V251" s="39"/>
      <c r="W251"/>
      <c r="X251"/>
      <c r="Y251"/>
      <c r="Z251"/>
      <c r="AA251"/>
    </row>
    <row r="252" spans="1:27" x14ac:dyDescent="0.25">
      <c r="A252"/>
      <c r="B252" s="36"/>
      <c r="C252" s="36"/>
      <c r="D252"/>
      <c r="E252"/>
      <c r="F252"/>
      <c r="G252"/>
      <c r="H252"/>
      <c r="I252"/>
      <c r="J252"/>
      <c r="K252"/>
      <c r="L252"/>
      <c r="M252"/>
      <c r="N252"/>
      <c r="O252"/>
      <c r="P252" s="36"/>
      <c r="Q252" s="37"/>
      <c r="R252"/>
      <c r="S252"/>
      <c r="T252"/>
      <c r="U252"/>
      <c r="V252" s="39"/>
      <c r="W252"/>
      <c r="X252"/>
      <c r="Y252"/>
      <c r="Z252"/>
      <c r="AA252"/>
    </row>
    <row r="253" spans="1:27" x14ac:dyDescent="0.25">
      <c r="A253"/>
      <c r="B253" s="36"/>
      <c r="C253" s="36"/>
      <c r="D253"/>
      <c r="E253"/>
      <c r="F253"/>
      <c r="G253"/>
      <c r="H253"/>
      <c r="I253"/>
      <c r="J253"/>
      <c r="K253"/>
      <c r="L253"/>
      <c r="M253"/>
      <c r="N253"/>
      <c r="O253"/>
      <c r="P253" s="36"/>
      <c r="Q253" s="37"/>
      <c r="R253"/>
      <c r="S253"/>
      <c r="T253"/>
      <c r="U253"/>
      <c r="V253" s="39"/>
      <c r="W253"/>
      <c r="X253"/>
      <c r="Y253"/>
      <c r="Z253"/>
      <c r="AA253"/>
    </row>
    <row r="254" spans="1:27" x14ac:dyDescent="0.25">
      <c r="A254"/>
      <c r="B254" s="36"/>
      <c r="C254" s="36"/>
      <c r="D254"/>
      <c r="E254"/>
      <c r="F254"/>
      <c r="G254"/>
      <c r="H254"/>
      <c r="I254"/>
      <c r="J254"/>
      <c r="K254"/>
      <c r="L254"/>
      <c r="M254"/>
      <c r="N254"/>
      <c r="O254"/>
      <c r="P254" s="36"/>
      <c r="Q254" s="37"/>
      <c r="R254"/>
      <c r="S254"/>
      <c r="T254"/>
      <c r="U254"/>
      <c r="V254" s="39"/>
      <c r="W254"/>
      <c r="X254"/>
      <c r="Y254"/>
      <c r="Z254"/>
      <c r="AA254"/>
    </row>
    <row r="255" spans="1:27" x14ac:dyDescent="0.25">
      <c r="A255"/>
      <c r="B255" s="36"/>
      <c r="C255" s="36"/>
      <c r="D255"/>
      <c r="E255"/>
      <c r="F255"/>
      <c r="G255"/>
      <c r="H255"/>
      <c r="I255"/>
      <c r="J255"/>
      <c r="K255"/>
      <c r="L255"/>
      <c r="M255"/>
      <c r="N255"/>
      <c r="O255"/>
      <c r="P255" s="36"/>
      <c r="Q255" s="37"/>
      <c r="R255"/>
      <c r="S255"/>
      <c r="T255"/>
      <c r="U255"/>
      <c r="V255" s="39"/>
      <c r="W255"/>
      <c r="X255"/>
      <c r="Y255"/>
      <c r="Z255"/>
      <c r="AA255"/>
    </row>
    <row r="256" spans="1:27" x14ac:dyDescent="0.25">
      <c r="A256"/>
      <c r="B256" s="36"/>
      <c r="C256" s="36"/>
      <c r="D256"/>
      <c r="E256"/>
      <c r="F256"/>
      <c r="G256"/>
      <c r="H256"/>
      <c r="I256"/>
      <c r="J256"/>
      <c r="K256"/>
      <c r="L256"/>
      <c r="M256"/>
      <c r="N256"/>
      <c r="O256"/>
      <c r="P256" s="36"/>
      <c r="Q256" s="37"/>
      <c r="R256"/>
      <c r="S256"/>
      <c r="T256"/>
      <c r="U256"/>
      <c r="V256" s="39"/>
      <c r="W256"/>
      <c r="X256"/>
      <c r="Y256"/>
      <c r="Z256"/>
      <c r="AA256"/>
    </row>
    <row r="257" spans="1:27" x14ac:dyDescent="0.25">
      <c r="A257"/>
      <c r="B257" s="36"/>
      <c r="C257" s="36"/>
      <c r="D257"/>
      <c r="E257"/>
      <c r="F257"/>
      <c r="G257"/>
      <c r="H257"/>
      <c r="I257"/>
      <c r="J257"/>
      <c r="K257"/>
      <c r="L257"/>
      <c r="M257"/>
      <c r="N257"/>
      <c r="O257"/>
      <c r="P257" s="36"/>
      <c r="Q257" s="37"/>
      <c r="R257"/>
      <c r="S257"/>
      <c r="T257"/>
      <c r="U257"/>
      <c r="V257" s="39"/>
      <c r="W257"/>
      <c r="X257"/>
      <c r="Y257"/>
      <c r="Z257"/>
      <c r="AA257"/>
    </row>
    <row r="258" spans="1:27" x14ac:dyDescent="0.25">
      <c r="A258"/>
      <c r="B258" s="36"/>
      <c r="C258" s="36"/>
      <c r="D258"/>
      <c r="E258"/>
      <c r="F258"/>
      <c r="G258"/>
      <c r="H258"/>
      <c r="I258"/>
      <c r="J258"/>
      <c r="K258"/>
      <c r="L258"/>
      <c r="M258"/>
      <c r="N258"/>
      <c r="O258"/>
      <c r="P258" s="36"/>
      <c r="Q258" s="37"/>
      <c r="R258"/>
      <c r="S258"/>
      <c r="T258"/>
      <c r="U258"/>
      <c r="V258" s="39"/>
      <c r="W258"/>
      <c r="X258"/>
      <c r="Y258"/>
      <c r="Z258"/>
      <c r="AA258"/>
    </row>
    <row r="259" spans="1:27" x14ac:dyDescent="0.25">
      <c r="A259"/>
      <c r="B259" s="36"/>
      <c r="C259" s="36"/>
      <c r="D259"/>
      <c r="E259"/>
      <c r="F259"/>
      <c r="G259"/>
      <c r="H259"/>
      <c r="I259"/>
      <c r="J259"/>
      <c r="K259"/>
      <c r="L259"/>
      <c r="M259"/>
      <c r="N259"/>
      <c r="O259"/>
      <c r="P259" s="36"/>
      <c r="Q259" s="37"/>
      <c r="R259"/>
      <c r="S259"/>
      <c r="T259"/>
      <c r="U259"/>
      <c r="V259" s="39"/>
      <c r="W259"/>
      <c r="X259"/>
      <c r="Y259"/>
      <c r="Z259"/>
      <c r="AA259"/>
    </row>
    <row r="260" spans="1:27" x14ac:dyDescent="0.25">
      <c r="A260"/>
      <c r="B260" s="36"/>
      <c r="C260" s="36"/>
      <c r="D260"/>
      <c r="E260"/>
      <c r="F260"/>
      <c r="G260"/>
      <c r="H260"/>
      <c r="I260"/>
      <c r="J260"/>
      <c r="K260"/>
      <c r="L260"/>
      <c r="M260"/>
      <c r="N260"/>
      <c r="O260"/>
      <c r="P260" s="36"/>
      <c r="Q260" s="37"/>
      <c r="R260"/>
      <c r="S260"/>
      <c r="T260"/>
      <c r="U260"/>
      <c r="V260" s="39"/>
      <c r="W260"/>
      <c r="X260"/>
      <c r="Y260"/>
      <c r="Z260"/>
      <c r="AA260"/>
    </row>
    <row r="261" spans="1:27" x14ac:dyDescent="0.25">
      <c r="A261"/>
      <c r="B261" s="36"/>
      <c r="C261" s="36"/>
      <c r="D261"/>
      <c r="E261"/>
      <c r="F261"/>
      <c r="G261"/>
      <c r="H261"/>
      <c r="I261"/>
      <c r="J261"/>
      <c r="K261"/>
      <c r="L261"/>
      <c r="M261"/>
      <c r="N261"/>
      <c r="O261"/>
      <c r="P261" s="36"/>
      <c r="Q261" s="37"/>
      <c r="R261"/>
      <c r="S261"/>
      <c r="T261"/>
      <c r="U261"/>
      <c r="V261" s="39"/>
      <c r="W261"/>
      <c r="X261"/>
      <c r="Y261"/>
      <c r="Z261"/>
      <c r="AA261"/>
    </row>
    <row r="262" spans="1:27" x14ac:dyDescent="0.25">
      <c r="A262"/>
      <c r="B262" s="36"/>
      <c r="C262" s="36"/>
      <c r="D262"/>
      <c r="E262"/>
      <c r="F262"/>
      <c r="G262"/>
      <c r="H262"/>
      <c r="I262"/>
      <c r="J262"/>
      <c r="K262"/>
      <c r="L262"/>
      <c r="M262"/>
      <c r="N262"/>
      <c r="O262"/>
      <c r="P262" s="36"/>
      <c r="Q262" s="37"/>
      <c r="R262"/>
      <c r="S262"/>
      <c r="T262"/>
      <c r="U262"/>
      <c r="V262" s="39"/>
      <c r="W262"/>
      <c r="X262"/>
      <c r="Y262"/>
      <c r="Z262"/>
      <c r="AA262"/>
    </row>
    <row r="263" spans="1:27" x14ac:dyDescent="0.25">
      <c r="A263"/>
      <c r="B263" s="36"/>
      <c r="C263" s="36"/>
      <c r="D263"/>
      <c r="E263"/>
      <c r="F263"/>
      <c r="G263"/>
      <c r="H263"/>
      <c r="I263"/>
      <c r="J263"/>
      <c r="K263"/>
      <c r="L263"/>
      <c r="M263"/>
      <c r="N263"/>
      <c r="O263"/>
      <c r="P263" s="36"/>
      <c r="Q263" s="37"/>
      <c r="R263"/>
      <c r="S263"/>
      <c r="T263"/>
      <c r="U263"/>
      <c r="V263" s="39"/>
      <c r="W263"/>
      <c r="X263"/>
      <c r="Y263"/>
      <c r="Z263"/>
      <c r="AA263"/>
    </row>
    <row r="264" spans="1:27" x14ac:dyDescent="0.25">
      <c r="A264"/>
      <c r="B264" s="36"/>
      <c r="C264" s="36"/>
      <c r="D264"/>
      <c r="E264"/>
      <c r="F264"/>
      <c r="G264"/>
      <c r="H264"/>
      <c r="I264"/>
      <c r="J264"/>
      <c r="K264"/>
      <c r="L264"/>
      <c r="M264"/>
      <c r="N264"/>
      <c r="O264"/>
      <c r="P264" s="36"/>
      <c r="Q264" s="37"/>
      <c r="R264"/>
      <c r="S264"/>
      <c r="T264"/>
      <c r="U264"/>
      <c r="V264" s="39"/>
      <c r="W264"/>
      <c r="X264"/>
      <c r="Y264"/>
      <c r="Z264"/>
      <c r="AA264"/>
    </row>
    <row r="265" spans="1:27" x14ac:dyDescent="0.25">
      <c r="A265"/>
      <c r="B265" s="36"/>
      <c r="C265" s="36"/>
      <c r="D265"/>
      <c r="E265"/>
      <c r="F265"/>
      <c r="G265"/>
      <c r="H265"/>
      <c r="I265"/>
      <c r="J265"/>
      <c r="K265"/>
      <c r="L265"/>
      <c r="M265"/>
      <c r="N265"/>
      <c r="O265"/>
      <c r="P265" s="36"/>
      <c r="Q265" s="37"/>
      <c r="R265"/>
      <c r="S265"/>
      <c r="T265"/>
      <c r="U265"/>
      <c r="V265" s="39"/>
      <c r="W265"/>
      <c r="X265"/>
      <c r="Y265"/>
      <c r="Z265"/>
      <c r="AA265"/>
    </row>
    <row r="266" spans="1:27" x14ac:dyDescent="0.25">
      <c r="A266"/>
      <c r="B266" s="36"/>
      <c r="C266" s="36"/>
      <c r="D266"/>
      <c r="E266"/>
      <c r="F266"/>
      <c r="G266"/>
      <c r="H266"/>
      <c r="I266"/>
      <c r="J266"/>
      <c r="K266"/>
      <c r="L266"/>
      <c r="M266"/>
      <c r="N266"/>
      <c r="O266"/>
      <c r="P266" s="36"/>
      <c r="Q266" s="37"/>
      <c r="R266"/>
      <c r="S266"/>
      <c r="T266"/>
      <c r="U266"/>
      <c r="V266" s="39"/>
      <c r="W266"/>
      <c r="X266"/>
      <c r="Y266"/>
      <c r="Z266"/>
      <c r="AA266"/>
    </row>
    <row r="267" spans="1:27" x14ac:dyDescent="0.25">
      <c r="A267"/>
      <c r="B267" s="36"/>
      <c r="C267" s="36"/>
      <c r="D267"/>
      <c r="E267"/>
      <c r="F267"/>
      <c r="G267"/>
      <c r="H267"/>
      <c r="I267"/>
      <c r="J267"/>
      <c r="K267"/>
      <c r="L267"/>
      <c r="M267"/>
      <c r="N267"/>
      <c r="O267"/>
      <c r="P267" s="36"/>
      <c r="Q267" s="37"/>
      <c r="R267"/>
      <c r="S267"/>
      <c r="T267"/>
      <c r="U267"/>
      <c r="V267" s="39"/>
      <c r="W267"/>
      <c r="X267"/>
      <c r="Y267"/>
      <c r="Z267"/>
      <c r="AA267"/>
    </row>
    <row r="268" spans="1:27" x14ac:dyDescent="0.25">
      <c r="A268"/>
      <c r="B268" s="36"/>
      <c r="C268" s="36"/>
      <c r="D268"/>
      <c r="E268"/>
      <c r="F268"/>
      <c r="G268"/>
      <c r="H268"/>
      <c r="I268"/>
      <c r="J268"/>
      <c r="K268"/>
      <c r="L268"/>
      <c r="M268"/>
      <c r="N268"/>
      <c r="O268"/>
      <c r="P268" s="36"/>
      <c r="Q268" s="37"/>
      <c r="R268"/>
      <c r="S268"/>
      <c r="T268"/>
      <c r="U268"/>
      <c r="V268" s="39"/>
      <c r="W268"/>
      <c r="X268"/>
      <c r="Y268"/>
      <c r="Z268"/>
      <c r="AA268"/>
    </row>
    <row r="269" spans="1:27" x14ac:dyDescent="0.25">
      <c r="A269"/>
      <c r="B269" s="36"/>
      <c r="C269" s="36"/>
      <c r="D269"/>
      <c r="E269"/>
      <c r="F269"/>
      <c r="G269"/>
      <c r="H269"/>
      <c r="I269"/>
      <c r="J269"/>
      <c r="K269"/>
      <c r="L269"/>
      <c r="M269"/>
      <c r="N269"/>
      <c r="O269"/>
      <c r="P269" s="36"/>
      <c r="Q269" s="37"/>
      <c r="R269"/>
      <c r="S269"/>
      <c r="T269"/>
      <c r="U269"/>
      <c r="V269" s="39"/>
      <c r="W269"/>
      <c r="X269"/>
      <c r="Y269"/>
      <c r="Z269"/>
      <c r="AA269"/>
    </row>
    <row r="270" spans="1:27" x14ac:dyDescent="0.25">
      <c r="A270"/>
      <c r="B270" s="36"/>
      <c r="C270" s="36"/>
      <c r="D270"/>
      <c r="E270"/>
      <c r="F270"/>
      <c r="G270"/>
      <c r="H270"/>
      <c r="I270"/>
      <c r="J270"/>
      <c r="K270"/>
      <c r="L270"/>
      <c r="M270"/>
      <c r="N270"/>
      <c r="O270"/>
      <c r="P270" s="36"/>
      <c r="Q270" s="37"/>
      <c r="R270"/>
      <c r="S270"/>
      <c r="T270"/>
      <c r="U270"/>
      <c r="V270" s="39"/>
      <c r="W270"/>
      <c r="X270"/>
      <c r="Y270"/>
      <c r="Z270"/>
      <c r="AA270"/>
    </row>
    <row r="271" spans="1:27" x14ac:dyDescent="0.25">
      <c r="A271"/>
      <c r="B271" s="36"/>
      <c r="C271" s="36"/>
      <c r="D271"/>
      <c r="E271"/>
      <c r="F271"/>
      <c r="G271"/>
      <c r="H271"/>
      <c r="I271"/>
      <c r="J271"/>
      <c r="K271"/>
      <c r="L271"/>
      <c r="M271"/>
      <c r="N271"/>
      <c r="O271"/>
      <c r="P271" s="36"/>
      <c r="Q271" s="37"/>
      <c r="R271"/>
      <c r="S271"/>
      <c r="T271"/>
      <c r="U271"/>
      <c r="V271" s="39"/>
      <c r="W271"/>
      <c r="X271"/>
      <c r="Y271"/>
      <c r="Z271"/>
      <c r="AA271"/>
    </row>
    <row r="272" spans="1:27" x14ac:dyDescent="0.25">
      <c r="A272"/>
      <c r="B272" s="36"/>
      <c r="C272" s="36"/>
      <c r="D272"/>
      <c r="E272"/>
      <c r="F272"/>
      <c r="G272"/>
      <c r="H272"/>
      <c r="I272"/>
      <c r="J272"/>
      <c r="K272"/>
      <c r="L272"/>
      <c r="M272"/>
      <c r="N272"/>
      <c r="O272"/>
      <c r="P272" s="36"/>
      <c r="Q272" s="37"/>
      <c r="R272"/>
      <c r="S272"/>
      <c r="T272"/>
      <c r="U272"/>
      <c r="V272" s="39"/>
      <c r="W272"/>
      <c r="X272"/>
      <c r="Y272"/>
      <c r="Z272"/>
      <c r="AA272"/>
    </row>
    <row r="273" spans="1:27" x14ac:dyDescent="0.25">
      <c r="A273"/>
      <c r="B273" s="36"/>
      <c r="C273" s="36"/>
      <c r="D273"/>
      <c r="E273"/>
      <c r="F273"/>
      <c r="G273"/>
      <c r="H273"/>
      <c r="I273"/>
      <c r="J273"/>
      <c r="K273"/>
      <c r="L273"/>
      <c r="M273"/>
      <c r="N273"/>
      <c r="O273"/>
      <c r="P273" s="36"/>
      <c r="Q273" s="37"/>
      <c r="R273"/>
      <c r="S273"/>
      <c r="T273"/>
      <c r="U273"/>
      <c r="V273" s="39"/>
      <c r="W273"/>
      <c r="X273"/>
      <c r="Y273"/>
      <c r="Z273"/>
      <c r="AA273"/>
    </row>
    <row r="274" spans="1:27" x14ac:dyDescent="0.25">
      <c r="A274"/>
      <c r="B274" s="36"/>
      <c r="C274" s="36"/>
      <c r="D274"/>
      <c r="E274"/>
      <c r="F274"/>
      <c r="G274"/>
      <c r="H274"/>
      <c r="I274"/>
      <c r="J274"/>
      <c r="K274"/>
      <c r="L274"/>
      <c r="M274"/>
      <c r="N274"/>
      <c r="O274"/>
      <c r="P274" s="36"/>
      <c r="Q274" s="37"/>
      <c r="R274"/>
      <c r="S274"/>
      <c r="T274"/>
      <c r="U274"/>
      <c r="V274" s="39"/>
      <c r="W274"/>
      <c r="X274"/>
      <c r="Y274"/>
      <c r="Z274"/>
      <c r="AA274"/>
    </row>
    <row r="275" spans="1:27" x14ac:dyDescent="0.25">
      <c r="A275"/>
      <c r="B275" s="36"/>
      <c r="C275" s="36"/>
      <c r="D275"/>
      <c r="E275"/>
      <c r="F275"/>
      <c r="G275"/>
      <c r="H275"/>
      <c r="I275"/>
      <c r="J275"/>
      <c r="K275"/>
      <c r="L275"/>
      <c r="M275"/>
      <c r="N275"/>
      <c r="O275"/>
      <c r="P275" s="36"/>
      <c r="Q275" s="37"/>
      <c r="R275"/>
      <c r="S275"/>
      <c r="T275"/>
      <c r="U275"/>
      <c r="V275" s="39"/>
      <c r="W275"/>
      <c r="X275"/>
      <c r="Y275"/>
      <c r="Z275"/>
      <c r="AA275"/>
    </row>
    <row r="276" spans="1:27" x14ac:dyDescent="0.25">
      <c r="A276"/>
      <c r="B276" s="36"/>
      <c r="C276" s="36"/>
      <c r="D276"/>
      <c r="E276"/>
      <c r="F276"/>
      <c r="G276"/>
      <c r="H276"/>
      <c r="I276"/>
      <c r="J276"/>
      <c r="K276"/>
      <c r="L276"/>
      <c r="M276"/>
      <c r="N276"/>
      <c r="O276"/>
      <c r="P276" s="36"/>
      <c r="Q276" s="37"/>
      <c r="R276"/>
      <c r="S276"/>
      <c r="T276"/>
      <c r="U276"/>
      <c r="V276" s="39"/>
      <c r="W276"/>
      <c r="X276"/>
      <c r="Y276"/>
      <c r="Z276"/>
      <c r="AA276"/>
    </row>
    <row r="277" spans="1:27" x14ac:dyDescent="0.25">
      <c r="A277"/>
      <c r="B277" s="36"/>
      <c r="C277" s="36"/>
      <c r="D277"/>
      <c r="E277"/>
      <c r="F277"/>
      <c r="G277"/>
      <c r="H277"/>
      <c r="I277"/>
      <c r="J277"/>
      <c r="K277"/>
      <c r="L277"/>
      <c r="M277"/>
      <c r="N277"/>
      <c r="O277"/>
      <c r="P277" s="36"/>
      <c r="Q277" s="37"/>
      <c r="R277"/>
      <c r="S277"/>
      <c r="T277"/>
      <c r="U277"/>
      <c r="V277" s="39"/>
      <c r="W277"/>
      <c r="X277"/>
      <c r="Y277"/>
      <c r="Z277"/>
      <c r="AA277"/>
    </row>
    <row r="278" spans="1:27" x14ac:dyDescent="0.25">
      <c r="A278"/>
      <c r="B278" s="36"/>
      <c r="C278" s="36"/>
      <c r="D278"/>
      <c r="E278"/>
      <c r="F278"/>
      <c r="G278"/>
      <c r="H278"/>
      <c r="I278"/>
      <c r="J278"/>
      <c r="K278"/>
      <c r="L278"/>
      <c r="M278"/>
      <c r="N278"/>
      <c r="O278"/>
      <c r="P278" s="36"/>
      <c r="Q278" s="37"/>
      <c r="R278"/>
      <c r="S278"/>
      <c r="T278"/>
      <c r="U278"/>
      <c r="V278" s="39"/>
      <c r="W278"/>
      <c r="X278"/>
      <c r="Y278"/>
      <c r="Z278"/>
      <c r="AA278"/>
    </row>
    <row r="279" spans="1:27" x14ac:dyDescent="0.25">
      <c r="A279"/>
      <c r="B279" s="36"/>
      <c r="C279" s="36"/>
      <c r="D279"/>
      <c r="E279"/>
      <c r="F279"/>
      <c r="G279"/>
      <c r="H279"/>
      <c r="I279"/>
      <c r="J279"/>
      <c r="K279"/>
      <c r="L279"/>
      <c r="M279"/>
      <c r="N279"/>
      <c r="O279"/>
      <c r="P279" s="36"/>
      <c r="Q279" s="37"/>
      <c r="R279"/>
      <c r="S279"/>
      <c r="T279"/>
      <c r="U279"/>
      <c r="V279" s="39"/>
      <c r="W279"/>
      <c r="X279"/>
      <c r="Y279"/>
      <c r="Z279"/>
      <c r="AA279"/>
    </row>
    <row r="280" spans="1:27" x14ac:dyDescent="0.25">
      <c r="A280"/>
      <c r="B280" s="36"/>
      <c r="C280" s="36"/>
      <c r="D280"/>
      <c r="E280"/>
      <c r="F280"/>
      <c r="G280"/>
      <c r="H280"/>
      <c r="I280"/>
      <c r="J280"/>
      <c r="K280"/>
      <c r="L280"/>
      <c r="M280"/>
      <c r="N280"/>
      <c r="O280"/>
      <c r="P280" s="36"/>
      <c r="Q280" s="37"/>
      <c r="R280"/>
      <c r="S280"/>
      <c r="T280"/>
      <c r="U280"/>
      <c r="V280" s="39"/>
      <c r="W280"/>
      <c r="X280"/>
      <c r="Y280"/>
      <c r="Z280"/>
      <c r="AA280"/>
    </row>
    <row r="281" spans="1:27" x14ac:dyDescent="0.25">
      <c r="A281"/>
      <c r="B281" s="36"/>
      <c r="C281" s="36"/>
      <c r="D281"/>
      <c r="E281"/>
      <c r="F281"/>
      <c r="G281"/>
      <c r="H281"/>
      <c r="I281"/>
      <c r="J281"/>
      <c r="K281"/>
      <c r="L281"/>
      <c r="M281"/>
      <c r="N281"/>
      <c r="O281"/>
      <c r="P281" s="36"/>
      <c r="Q281" s="37"/>
      <c r="R281"/>
      <c r="S281"/>
      <c r="T281"/>
      <c r="U281"/>
      <c r="V281" s="39"/>
      <c r="W281"/>
      <c r="X281"/>
      <c r="Y281"/>
      <c r="Z281"/>
      <c r="AA281"/>
    </row>
    <row r="282" spans="1:27" x14ac:dyDescent="0.25">
      <c r="A282"/>
      <c r="B282" s="36"/>
      <c r="C282" s="36"/>
      <c r="D282"/>
      <c r="E282"/>
      <c r="F282"/>
      <c r="G282"/>
      <c r="H282"/>
      <c r="I282"/>
      <c r="J282"/>
      <c r="K282"/>
      <c r="L282"/>
      <c r="M282"/>
      <c r="N282"/>
      <c r="O282"/>
      <c r="P282" s="36"/>
      <c r="Q282" s="37"/>
      <c r="R282"/>
      <c r="S282"/>
      <c r="T282"/>
      <c r="U282"/>
      <c r="V282" s="39"/>
      <c r="W282"/>
      <c r="X282"/>
      <c r="Y282"/>
      <c r="Z282"/>
      <c r="AA282"/>
    </row>
    <row r="283" spans="1:27" x14ac:dyDescent="0.25">
      <c r="A283"/>
      <c r="B283" s="36"/>
      <c r="C283" s="36"/>
      <c r="D283"/>
      <c r="E283"/>
      <c r="F283"/>
      <c r="G283"/>
      <c r="H283"/>
      <c r="I283"/>
      <c r="J283"/>
      <c r="K283"/>
      <c r="L283"/>
      <c r="M283"/>
      <c r="N283"/>
      <c r="O283"/>
      <c r="P283" s="36"/>
      <c r="Q283" s="37"/>
      <c r="R283"/>
      <c r="S283"/>
      <c r="T283"/>
      <c r="U283"/>
      <c r="V283" s="39"/>
      <c r="W283"/>
      <c r="X283"/>
      <c r="Y283"/>
      <c r="Z283"/>
      <c r="AA283"/>
    </row>
    <row r="284" spans="1:27" x14ac:dyDescent="0.25">
      <c r="A284"/>
      <c r="B284" s="36"/>
      <c r="C284" s="36"/>
      <c r="D284"/>
      <c r="E284"/>
      <c r="F284"/>
      <c r="G284"/>
      <c r="H284"/>
      <c r="I284"/>
      <c r="J284"/>
      <c r="K284"/>
      <c r="L284"/>
      <c r="M284"/>
      <c r="N284"/>
      <c r="O284"/>
      <c r="P284" s="36"/>
      <c r="Q284" s="37"/>
      <c r="R284"/>
      <c r="S284"/>
      <c r="T284"/>
      <c r="U284"/>
      <c r="V284" s="39"/>
      <c r="W284"/>
      <c r="X284"/>
      <c r="Y284"/>
      <c r="Z284"/>
      <c r="AA284"/>
    </row>
    <row r="285" spans="1:27" x14ac:dyDescent="0.25">
      <c r="A285"/>
      <c r="B285" s="36"/>
      <c r="C285" s="36"/>
      <c r="D285"/>
      <c r="E285"/>
      <c r="F285"/>
      <c r="G285"/>
      <c r="H285"/>
      <c r="I285"/>
      <c r="J285"/>
      <c r="K285"/>
      <c r="L285"/>
      <c r="M285"/>
      <c r="N285"/>
      <c r="O285"/>
      <c r="P285" s="36"/>
      <c r="Q285" s="37"/>
      <c r="R285"/>
      <c r="S285"/>
      <c r="T285"/>
      <c r="U285"/>
      <c r="V285" s="39"/>
      <c r="W285"/>
      <c r="X285"/>
      <c r="Y285"/>
      <c r="Z285"/>
      <c r="AA285"/>
    </row>
    <row r="286" spans="1:27" x14ac:dyDescent="0.25">
      <c r="A286"/>
      <c r="B286" s="36"/>
      <c r="C286" s="36"/>
      <c r="D286"/>
      <c r="E286"/>
      <c r="F286"/>
      <c r="G286"/>
      <c r="H286"/>
      <c r="I286"/>
      <c r="J286"/>
      <c r="K286"/>
      <c r="L286"/>
      <c r="M286"/>
      <c r="N286"/>
      <c r="O286"/>
      <c r="P286" s="36"/>
      <c r="Q286" s="37"/>
      <c r="R286"/>
      <c r="S286"/>
      <c r="T286"/>
      <c r="U286"/>
      <c r="V286" s="39"/>
      <c r="W286"/>
      <c r="X286"/>
      <c r="Y286"/>
      <c r="Z286"/>
      <c r="AA286"/>
    </row>
    <row r="287" spans="1:27" x14ac:dyDescent="0.25">
      <c r="A287"/>
      <c r="B287" s="36"/>
      <c r="C287" s="36"/>
      <c r="D287"/>
      <c r="E287"/>
      <c r="F287"/>
      <c r="G287"/>
      <c r="H287"/>
      <c r="I287"/>
      <c r="J287"/>
      <c r="K287"/>
      <c r="L287"/>
      <c r="M287"/>
      <c r="N287"/>
      <c r="O287"/>
      <c r="P287" s="36"/>
      <c r="Q287" s="37"/>
      <c r="R287"/>
      <c r="S287"/>
      <c r="T287"/>
      <c r="U287"/>
      <c r="V287" s="39"/>
      <c r="W287"/>
      <c r="X287"/>
      <c r="Y287"/>
      <c r="Z287"/>
      <c r="AA287"/>
    </row>
    <row r="288" spans="1:27" x14ac:dyDescent="0.25">
      <c r="A288"/>
      <c r="B288" s="36"/>
      <c r="C288" s="36"/>
      <c r="D288"/>
      <c r="E288"/>
      <c r="F288"/>
      <c r="G288"/>
      <c r="H288"/>
      <c r="I288"/>
      <c r="J288"/>
      <c r="K288"/>
      <c r="L288"/>
      <c r="M288"/>
      <c r="N288"/>
      <c r="O288"/>
      <c r="P288" s="36"/>
      <c r="Q288" s="37"/>
      <c r="R288"/>
      <c r="S288"/>
      <c r="T288"/>
      <c r="U288"/>
      <c r="V288" s="39"/>
      <c r="W288"/>
      <c r="X288"/>
      <c r="Y288"/>
      <c r="Z288"/>
      <c r="AA288"/>
    </row>
    <row r="289" spans="1:27" x14ac:dyDescent="0.25">
      <c r="A289"/>
      <c r="B289" s="36"/>
      <c r="C289" s="36"/>
      <c r="D289"/>
      <c r="E289"/>
      <c r="F289"/>
      <c r="G289"/>
      <c r="H289"/>
      <c r="I289"/>
      <c r="J289"/>
      <c r="K289"/>
      <c r="L289"/>
      <c r="M289"/>
      <c r="N289"/>
      <c r="O289"/>
      <c r="P289" s="36"/>
      <c r="Q289" s="37"/>
      <c r="R289"/>
      <c r="S289"/>
      <c r="T289"/>
      <c r="U289"/>
      <c r="V289" s="39"/>
      <c r="W289"/>
      <c r="X289"/>
      <c r="Y289"/>
      <c r="Z289"/>
      <c r="AA289"/>
    </row>
    <row r="290" spans="1:27" x14ac:dyDescent="0.25">
      <c r="A290"/>
      <c r="B290" s="36"/>
      <c r="C290" s="36"/>
      <c r="D290"/>
      <c r="E290"/>
      <c r="F290"/>
      <c r="G290"/>
      <c r="H290"/>
      <c r="I290"/>
      <c r="J290"/>
      <c r="K290"/>
      <c r="L290"/>
      <c r="M290"/>
      <c r="N290"/>
      <c r="O290"/>
      <c r="P290" s="36"/>
      <c r="Q290" s="37"/>
      <c r="R290"/>
      <c r="S290"/>
      <c r="T290"/>
      <c r="U290"/>
      <c r="V290" s="39"/>
      <c r="W290"/>
      <c r="X290"/>
      <c r="Y290"/>
      <c r="Z290"/>
      <c r="AA290"/>
    </row>
    <row r="291" spans="1:27" x14ac:dyDescent="0.25">
      <c r="A291"/>
      <c r="B291" s="36"/>
      <c r="C291" s="36"/>
      <c r="D291"/>
      <c r="E291"/>
      <c r="F291"/>
      <c r="G291"/>
      <c r="H291"/>
      <c r="I291"/>
      <c r="J291"/>
      <c r="K291"/>
      <c r="L291"/>
      <c r="M291"/>
      <c r="N291"/>
      <c r="O291"/>
      <c r="P291" s="36"/>
      <c r="Q291" s="37"/>
      <c r="R291"/>
      <c r="S291"/>
      <c r="T291"/>
      <c r="U291"/>
      <c r="V291" s="39"/>
      <c r="W291"/>
      <c r="X291"/>
      <c r="Y291"/>
      <c r="Z291"/>
      <c r="AA291"/>
    </row>
    <row r="292" spans="1:27" x14ac:dyDescent="0.25">
      <c r="A292"/>
      <c r="B292" s="36"/>
      <c r="C292" s="36"/>
      <c r="D292"/>
      <c r="E292"/>
      <c r="F292"/>
      <c r="G292"/>
      <c r="H292"/>
      <c r="I292"/>
      <c r="J292"/>
      <c r="K292"/>
      <c r="L292"/>
      <c r="M292"/>
      <c r="N292"/>
      <c r="O292"/>
      <c r="P292" s="36"/>
      <c r="Q292" s="37"/>
      <c r="R292"/>
      <c r="S292"/>
      <c r="T292"/>
      <c r="U292"/>
      <c r="V292" s="39"/>
      <c r="W292"/>
      <c r="X292"/>
      <c r="Y292"/>
      <c r="Z292"/>
      <c r="AA292"/>
    </row>
    <row r="293" spans="1:27" x14ac:dyDescent="0.25">
      <c r="A293"/>
      <c r="B293" s="36"/>
      <c r="C293" s="36"/>
      <c r="D293"/>
      <c r="E293"/>
      <c r="F293"/>
      <c r="G293"/>
      <c r="H293"/>
      <c r="I293"/>
      <c r="J293"/>
      <c r="K293"/>
      <c r="L293"/>
      <c r="M293"/>
      <c r="N293"/>
      <c r="O293"/>
      <c r="P293" s="36"/>
      <c r="Q293" s="37"/>
      <c r="R293"/>
      <c r="S293"/>
      <c r="T293"/>
      <c r="U293"/>
      <c r="V293" s="39"/>
      <c r="W293"/>
      <c r="X293"/>
      <c r="Y293"/>
      <c r="Z293"/>
      <c r="AA293"/>
    </row>
    <row r="294" spans="1:27" x14ac:dyDescent="0.25">
      <c r="A294"/>
      <c r="B294" s="36"/>
      <c r="C294" s="36"/>
      <c r="D294"/>
      <c r="E294"/>
      <c r="F294"/>
      <c r="G294"/>
      <c r="H294"/>
      <c r="I294"/>
      <c r="J294"/>
      <c r="K294"/>
      <c r="L294"/>
      <c r="M294"/>
      <c r="N294"/>
      <c r="O294"/>
      <c r="P294" s="36"/>
      <c r="Q294" s="37"/>
      <c r="R294"/>
      <c r="S294"/>
      <c r="T294"/>
      <c r="U294"/>
      <c r="V294" s="39"/>
      <c r="W294"/>
      <c r="X294"/>
      <c r="Y294"/>
      <c r="Z294"/>
      <c r="AA294"/>
    </row>
    <row r="295" spans="1:27" x14ac:dyDescent="0.25">
      <c r="A295"/>
      <c r="B295" s="36"/>
      <c r="C295" s="36"/>
      <c r="D295"/>
      <c r="E295"/>
      <c r="F295"/>
      <c r="G295"/>
      <c r="H295"/>
      <c r="I295"/>
      <c r="J295"/>
      <c r="K295"/>
      <c r="L295"/>
      <c r="M295"/>
      <c r="N295"/>
      <c r="O295"/>
      <c r="P295" s="36"/>
      <c r="Q295" s="37"/>
      <c r="R295"/>
      <c r="S295"/>
      <c r="T295"/>
      <c r="U295"/>
      <c r="V295" s="39"/>
      <c r="W295"/>
      <c r="X295"/>
      <c r="Y295"/>
      <c r="Z295"/>
      <c r="AA295"/>
    </row>
    <row r="296" spans="1:27" x14ac:dyDescent="0.25">
      <c r="A296"/>
      <c r="B296" s="36"/>
      <c r="C296" s="36"/>
      <c r="D296"/>
      <c r="E296"/>
      <c r="F296"/>
      <c r="G296"/>
      <c r="H296"/>
      <c r="I296"/>
      <c r="J296"/>
      <c r="K296"/>
      <c r="L296"/>
      <c r="M296"/>
      <c r="N296"/>
      <c r="O296"/>
      <c r="P296" s="36"/>
      <c r="Q296" s="37"/>
      <c r="R296"/>
      <c r="S296"/>
      <c r="T296"/>
      <c r="U296"/>
      <c r="V296" s="39"/>
      <c r="W296"/>
      <c r="X296"/>
      <c r="Y296"/>
      <c r="Z296"/>
      <c r="AA296"/>
    </row>
    <row r="297" spans="1:27" x14ac:dyDescent="0.25">
      <c r="A297"/>
      <c r="B297" s="36"/>
      <c r="C297" s="36"/>
      <c r="D297"/>
      <c r="E297"/>
      <c r="F297"/>
      <c r="G297"/>
      <c r="H297"/>
      <c r="I297"/>
      <c r="J297"/>
      <c r="K297"/>
      <c r="L297"/>
      <c r="M297"/>
      <c r="N297"/>
      <c r="O297"/>
      <c r="P297" s="36"/>
      <c r="Q297" s="37"/>
      <c r="R297"/>
      <c r="S297"/>
      <c r="T297"/>
      <c r="U297"/>
      <c r="V297" s="39"/>
      <c r="W297"/>
      <c r="X297"/>
      <c r="Y297"/>
      <c r="Z297"/>
      <c r="AA297"/>
    </row>
    <row r="298" spans="1:27" x14ac:dyDescent="0.25">
      <c r="A298"/>
      <c r="B298" s="36"/>
      <c r="C298" s="36"/>
      <c r="D298"/>
      <c r="E298"/>
      <c r="F298"/>
      <c r="G298"/>
      <c r="H298"/>
      <c r="I298"/>
      <c r="J298"/>
      <c r="K298"/>
      <c r="L298"/>
      <c r="M298"/>
      <c r="N298"/>
      <c r="O298"/>
      <c r="P298" s="36"/>
      <c r="Q298" s="37"/>
      <c r="R298"/>
      <c r="S298"/>
      <c r="T298"/>
      <c r="U298"/>
      <c r="V298" s="39"/>
      <c r="W298"/>
      <c r="X298"/>
      <c r="Y298"/>
      <c r="Z298"/>
      <c r="AA298"/>
    </row>
    <row r="299" spans="1:27" x14ac:dyDescent="0.25">
      <c r="A299"/>
      <c r="B299" s="36"/>
      <c r="C299" s="36"/>
      <c r="D299"/>
      <c r="E299"/>
      <c r="F299"/>
      <c r="G299"/>
      <c r="H299"/>
      <c r="I299"/>
      <c r="J299"/>
      <c r="K299"/>
      <c r="L299"/>
      <c r="M299"/>
      <c r="N299"/>
      <c r="O299"/>
      <c r="P299" s="36"/>
      <c r="Q299" s="37"/>
      <c r="R299"/>
      <c r="S299"/>
      <c r="T299"/>
      <c r="U299"/>
      <c r="V299" s="39"/>
      <c r="W299"/>
      <c r="X299"/>
      <c r="Y299"/>
      <c r="Z299"/>
      <c r="AA299"/>
    </row>
    <row r="300" spans="1:27" x14ac:dyDescent="0.25">
      <c r="A300"/>
      <c r="B300" s="36"/>
      <c r="C300" s="36"/>
      <c r="D300"/>
      <c r="E300"/>
      <c r="F300"/>
      <c r="G300"/>
      <c r="H300"/>
      <c r="I300"/>
      <c r="J300"/>
      <c r="K300"/>
      <c r="L300"/>
      <c r="M300"/>
      <c r="N300"/>
      <c r="O300"/>
      <c r="P300" s="36"/>
      <c r="Q300" s="37"/>
      <c r="R300"/>
      <c r="S300"/>
      <c r="T300"/>
      <c r="U300"/>
      <c r="V300" s="39"/>
      <c r="W300"/>
      <c r="X300"/>
      <c r="Y300"/>
      <c r="Z300"/>
      <c r="AA300"/>
    </row>
    <row r="301" spans="1:27" x14ac:dyDescent="0.25">
      <c r="A301"/>
      <c r="B301" s="36"/>
      <c r="C301" s="36"/>
      <c r="D301"/>
      <c r="E301"/>
      <c r="F301"/>
      <c r="G301"/>
      <c r="H301"/>
      <c r="I301"/>
      <c r="J301"/>
      <c r="K301"/>
      <c r="L301"/>
      <c r="M301"/>
      <c r="N301"/>
      <c r="O301"/>
      <c r="P301" s="36"/>
      <c r="Q301" s="37"/>
      <c r="R301"/>
      <c r="S301"/>
      <c r="T301"/>
      <c r="U301"/>
      <c r="V301" s="39"/>
      <c r="W301"/>
      <c r="X301"/>
      <c r="Y301"/>
      <c r="Z301"/>
      <c r="AA301"/>
    </row>
    <row r="302" spans="1:27" x14ac:dyDescent="0.25">
      <c r="A302"/>
      <c r="B302" s="36"/>
      <c r="C302" s="36"/>
      <c r="D302"/>
      <c r="E302"/>
      <c r="F302"/>
      <c r="G302"/>
      <c r="H302"/>
      <c r="I302"/>
      <c r="J302"/>
      <c r="K302"/>
      <c r="L302"/>
      <c r="M302"/>
      <c r="N302"/>
      <c r="O302"/>
      <c r="P302" s="36"/>
      <c r="Q302" s="37"/>
      <c r="R302"/>
      <c r="S302"/>
      <c r="T302"/>
      <c r="U302"/>
      <c r="V302" s="39"/>
      <c r="W302"/>
      <c r="X302"/>
      <c r="Y302"/>
      <c r="Z302"/>
      <c r="AA302"/>
    </row>
    <row r="303" spans="1:27" x14ac:dyDescent="0.25">
      <c r="A303"/>
      <c r="B303" s="36"/>
      <c r="C303" s="36"/>
      <c r="D303"/>
      <c r="E303"/>
      <c r="F303"/>
      <c r="G303"/>
      <c r="H303"/>
      <c r="I303"/>
      <c r="J303"/>
      <c r="K303"/>
      <c r="L303"/>
      <c r="M303"/>
      <c r="N303"/>
      <c r="O303"/>
      <c r="P303" s="36"/>
      <c r="Q303" s="37"/>
      <c r="R303"/>
      <c r="S303"/>
      <c r="T303"/>
      <c r="U303"/>
      <c r="V303" s="39"/>
      <c r="W303"/>
      <c r="X303"/>
      <c r="Y303"/>
      <c r="Z303"/>
      <c r="AA303"/>
    </row>
    <row r="304" spans="1:27" x14ac:dyDescent="0.25">
      <c r="A304"/>
      <c r="B304" s="36"/>
      <c r="C304" s="36"/>
      <c r="D304"/>
      <c r="E304"/>
      <c r="F304"/>
      <c r="G304"/>
      <c r="H304"/>
      <c r="I304"/>
      <c r="J304"/>
      <c r="K304"/>
      <c r="L304"/>
      <c r="M304"/>
      <c r="N304"/>
      <c r="O304"/>
      <c r="P304" s="36"/>
      <c r="Q304" s="37"/>
      <c r="R304"/>
      <c r="S304"/>
      <c r="T304"/>
      <c r="U304"/>
      <c r="V304" s="39"/>
      <c r="W304"/>
      <c r="X304"/>
      <c r="Y304"/>
      <c r="Z304"/>
      <c r="AA304"/>
    </row>
    <row r="305" spans="1:27" x14ac:dyDescent="0.25">
      <c r="A305"/>
      <c r="B305" s="36"/>
      <c r="C305" s="36"/>
      <c r="D305"/>
      <c r="E305"/>
      <c r="F305"/>
      <c r="G305"/>
      <c r="H305"/>
      <c r="I305"/>
      <c r="J305"/>
      <c r="K305"/>
      <c r="L305"/>
      <c r="M305"/>
      <c r="N305"/>
      <c r="O305"/>
      <c r="P305" s="36"/>
      <c r="Q305" s="37"/>
      <c r="R305"/>
      <c r="S305"/>
      <c r="T305"/>
      <c r="U305"/>
      <c r="V305" s="39"/>
      <c r="W305"/>
      <c r="X305"/>
      <c r="Y305"/>
      <c r="Z305"/>
      <c r="AA305"/>
    </row>
    <row r="306" spans="1:27" x14ac:dyDescent="0.25">
      <c r="A306"/>
      <c r="B306" s="36"/>
      <c r="C306" s="36"/>
      <c r="D306"/>
      <c r="E306"/>
      <c r="F306"/>
      <c r="G306"/>
      <c r="H306"/>
      <c r="I306"/>
      <c r="J306"/>
      <c r="K306"/>
      <c r="L306"/>
      <c r="M306"/>
      <c r="N306"/>
      <c r="O306"/>
      <c r="P306" s="36"/>
      <c r="Q306" s="37"/>
      <c r="R306"/>
      <c r="S306"/>
      <c r="T306"/>
      <c r="U306"/>
      <c r="V306" s="39"/>
      <c r="W306"/>
      <c r="X306"/>
      <c r="Y306"/>
      <c r="Z306"/>
      <c r="AA306"/>
    </row>
    <row r="307" spans="1:27" x14ac:dyDescent="0.25">
      <c r="A307"/>
      <c r="B307" s="36"/>
      <c r="C307" s="36"/>
      <c r="D307"/>
      <c r="E307"/>
      <c r="F307"/>
      <c r="G307"/>
      <c r="H307"/>
      <c r="I307"/>
      <c r="J307"/>
      <c r="K307"/>
      <c r="L307"/>
      <c r="M307"/>
      <c r="N307"/>
      <c r="O307"/>
      <c r="P307" s="36"/>
      <c r="Q307" s="37"/>
      <c r="R307"/>
      <c r="S307"/>
      <c r="T307"/>
      <c r="U307"/>
      <c r="V307" s="39"/>
      <c r="W307"/>
      <c r="X307"/>
      <c r="Y307"/>
      <c r="Z307"/>
      <c r="AA307"/>
    </row>
    <row r="308" spans="1:27" x14ac:dyDescent="0.25">
      <c r="A308"/>
      <c r="B308" s="36"/>
      <c r="C308" s="36"/>
      <c r="D308"/>
      <c r="E308"/>
      <c r="F308"/>
      <c r="G308"/>
      <c r="H308"/>
      <c r="I308"/>
      <c r="J308"/>
      <c r="K308"/>
      <c r="L308"/>
      <c r="M308"/>
      <c r="N308"/>
      <c r="O308"/>
      <c r="P308" s="36"/>
      <c r="Q308" s="37"/>
      <c r="R308"/>
      <c r="S308"/>
      <c r="T308"/>
      <c r="U308"/>
      <c r="V308" s="39"/>
      <c r="W308"/>
      <c r="X308"/>
      <c r="Y308"/>
      <c r="Z308"/>
      <c r="AA308"/>
    </row>
    <row r="309" spans="1:27" x14ac:dyDescent="0.25">
      <c r="A309"/>
      <c r="B309" s="36"/>
      <c r="C309" s="36"/>
      <c r="D309"/>
      <c r="E309"/>
      <c r="F309"/>
      <c r="G309"/>
      <c r="H309"/>
      <c r="I309"/>
      <c r="J309"/>
      <c r="K309"/>
      <c r="L309"/>
      <c r="M309"/>
      <c r="N309"/>
      <c r="O309"/>
      <c r="P309" s="36"/>
      <c r="Q309" s="37"/>
      <c r="R309"/>
      <c r="S309"/>
      <c r="T309"/>
      <c r="U309"/>
      <c r="V309" s="39"/>
      <c r="W309"/>
      <c r="X309"/>
      <c r="Y309"/>
      <c r="Z309"/>
      <c r="AA309"/>
    </row>
    <row r="310" spans="1:27" x14ac:dyDescent="0.25">
      <c r="A310"/>
      <c r="B310" s="36"/>
      <c r="C310" s="36"/>
      <c r="D310"/>
      <c r="E310"/>
      <c r="F310"/>
      <c r="G310"/>
      <c r="H310"/>
      <c r="I310"/>
      <c r="J310"/>
      <c r="K310"/>
      <c r="L310"/>
      <c r="M310"/>
      <c r="N310"/>
      <c r="O310"/>
      <c r="P310" s="36"/>
      <c r="Q310" s="37"/>
      <c r="R310"/>
      <c r="S310"/>
      <c r="T310"/>
      <c r="U310"/>
      <c r="V310" s="39"/>
      <c r="W310"/>
      <c r="X310"/>
      <c r="Y310"/>
      <c r="Z310"/>
      <c r="AA310"/>
    </row>
    <row r="311" spans="1:27" x14ac:dyDescent="0.25">
      <c r="A311"/>
      <c r="B311" s="36"/>
      <c r="C311" s="36"/>
      <c r="D311"/>
      <c r="E311"/>
      <c r="F311"/>
      <c r="G311"/>
      <c r="H311"/>
      <c r="I311"/>
      <c r="J311"/>
      <c r="K311"/>
      <c r="L311"/>
      <c r="M311"/>
      <c r="N311"/>
      <c r="O311"/>
      <c r="P311" s="36"/>
      <c r="Q311" s="37"/>
      <c r="R311"/>
      <c r="S311"/>
      <c r="T311"/>
      <c r="U311"/>
      <c r="V311" s="39"/>
      <c r="W311"/>
      <c r="X311"/>
      <c r="Y311"/>
      <c r="Z311"/>
      <c r="AA311"/>
    </row>
    <row r="312" spans="1:27" x14ac:dyDescent="0.25">
      <c r="A312"/>
      <c r="B312" s="36"/>
      <c r="C312" s="36"/>
      <c r="D312"/>
      <c r="E312"/>
      <c r="F312"/>
      <c r="G312"/>
      <c r="H312"/>
      <c r="I312"/>
      <c r="J312"/>
      <c r="K312"/>
      <c r="L312"/>
      <c r="M312"/>
      <c r="N312"/>
      <c r="O312"/>
      <c r="P312" s="36"/>
      <c r="Q312" s="37"/>
      <c r="R312"/>
      <c r="S312"/>
      <c r="T312"/>
      <c r="U312"/>
      <c r="V312" s="39"/>
      <c r="W312"/>
      <c r="X312"/>
      <c r="Y312"/>
      <c r="Z312"/>
      <c r="AA312"/>
    </row>
    <row r="313" spans="1:27" x14ac:dyDescent="0.25">
      <c r="A313"/>
      <c r="B313" s="36"/>
      <c r="C313" s="36"/>
      <c r="D313"/>
      <c r="E313"/>
      <c r="F313"/>
      <c r="G313"/>
      <c r="H313"/>
      <c r="I313"/>
      <c r="J313"/>
      <c r="K313"/>
      <c r="L313"/>
      <c r="M313"/>
      <c r="N313"/>
      <c r="O313"/>
      <c r="P313" s="36"/>
      <c r="Q313" s="37"/>
      <c r="R313"/>
      <c r="S313"/>
      <c r="T313"/>
      <c r="U313"/>
      <c r="V313" s="39"/>
      <c r="W313"/>
      <c r="X313"/>
      <c r="Y313"/>
      <c r="Z313"/>
      <c r="AA313"/>
    </row>
    <row r="314" spans="1:27" x14ac:dyDescent="0.25">
      <c r="A314"/>
      <c r="B314" s="36"/>
      <c r="C314" s="36"/>
      <c r="D314"/>
      <c r="E314"/>
      <c r="F314"/>
      <c r="G314"/>
      <c r="H314"/>
      <c r="I314"/>
      <c r="J314"/>
      <c r="K314"/>
      <c r="L314"/>
      <c r="M314"/>
      <c r="N314"/>
      <c r="O314"/>
      <c r="P314" s="36"/>
      <c r="Q314" s="37"/>
      <c r="R314"/>
      <c r="S314"/>
      <c r="T314"/>
      <c r="U314"/>
      <c r="V314" s="39"/>
      <c r="W314"/>
      <c r="X314"/>
      <c r="Y314"/>
      <c r="Z314"/>
      <c r="AA314"/>
    </row>
    <row r="315" spans="1:27" x14ac:dyDescent="0.25">
      <c r="A315"/>
      <c r="B315" s="36"/>
      <c r="C315" s="36"/>
      <c r="D315"/>
      <c r="E315"/>
      <c r="F315"/>
      <c r="G315"/>
      <c r="H315"/>
      <c r="I315"/>
      <c r="J315"/>
      <c r="K315"/>
      <c r="L315"/>
      <c r="M315"/>
      <c r="N315"/>
      <c r="O315"/>
      <c r="P315" s="36"/>
      <c r="Q315" s="37"/>
      <c r="R315"/>
      <c r="S315"/>
      <c r="T315"/>
      <c r="U315"/>
      <c r="V315" s="39"/>
      <c r="W315"/>
      <c r="X315"/>
      <c r="Y315"/>
      <c r="Z315"/>
      <c r="AA315"/>
    </row>
    <row r="316" spans="1:27" x14ac:dyDescent="0.25">
      <c r="A316"/>
      <c r="B316" s="36"/>
      <c r="C316" s="36"/>
      <c r="D316"/>
      <c r="E316"/>
      <c r="F316"/>
      <c r="G316"/>
      <c r="H316"/>
      <c r="I316"/>
      <c r="J316"/>
      <c r="K316"/>
      <c r="L316"/>
      <c r="M316"/>
      <c r="N316"/>
      <c r="O316"/>
      <c r="P316" s="36"/>
      <c r="Q316" s="37"/>
      <c r="R316"/>
      <c r="S316"/>
      <c r="T316"/>
      <c r="U316"/>
      <c r="V316" s="39"/>
      <c r="W316"/>
      <c r="X316"/>
      <c r="Y316"/>
      <c r="Z316"/>
      <c r="AA316"/>
    </row>
    <row r="317" spans="1:27" x14ac:dyDescent="0.25">
      <c r="A317"/>
      <c r="B317" s="36"/>
      <c r="C317" s="36"/>
      <c r="D317"/>
      <c r="E317"/>
      <c r="F317"/>
      <c r="G317"/>
      <c r="H317"/>
      <c r="I317"/>
      <c r="J317"/>
      <c r="K317"/>
      <c r="L317"/>
      <c r="M317"/>
      <c r="N317"/>
      <c r="O317"/>
      <c r="P317" s="36"/>
      <c r="Q317" s="37"/>
      <c r="R317"/>
      <c r="S317"/>
      <c r="T317"/>
      <c r="U317"/>
      <c r="V317" s="39"/>
      <c r="W317"/>
      <c r="X317"/>
      <c r="Y317"/>
      <c r="Z317"/>
      <c r="AA317"/>
    </row>
    <row r="318" spans="1:27" x14ac:dyDescent="0.25">
      <c r="A318"/>
      <c r="B318" s="36"/>
      <c r="C318" s="36"/>
      <c r="D318"/>
      <c r="E318"/>
      <c r="F318"/>
      <c r="G318"/>
      <c r="H318"/>
      <c r="I318"/>
      <c r="J318"/>
      <c r="K318"/>
      <c r="L318"/>
      <c r="M318"/>
      <c r="N318"/>
      <c r="O318"/>
      <c r="P318" s="36"/>
      <c r="Q318" s="37"/>
      <c r="R318"/>
      <c r="S318"/>
      <c r="T318"/>
      <c r="U318"/>
      <c r="V318" s="39"/>
      <c r="W318"/>
      <c r="X318"/>
      <c r="Y318"/>
      <c r="Z318"/>
      <c r="AA318"/>
    </row>
    <row r="319" spans="1:27" x14ac:dyDescent="0.25">
      <c r="A319"/>
      <c r="B319" s="36"/>
      <c r="C319" s="36"/>
      <c r="D319"/>
      <c r="E319"/>
      <c r="F319"/>
      <c r="G319"/>
      <c r="H319"/>
      <c r="I319"/>
      <c r="J319"/>
      <c r="K319"/>
      <c r="L319"/>
      <c r="M319"/>
      <c r="N319"/>
      <c r="O319"/>
      <c r="P319" s="36"/>
      <c r="Q319" s="37"/>
      <c r="R319"/>
      <c r="S319"/>
      <c r="T319"/>
      <c r="U319"/>
      <c r="V319" s="39"/>
      <c r="W319"/>
      <c r="X319"/>
      <c r="Y319"/>
      <c r="Z319"/>
      <c r="AA319"/>
    </row>
    <row r="320" spans="1:27" x14ac:dyDescent="0.25">
      <c r="A320"/>
      <c r="B320" s="36"/>
      <c r="C320" s="36"/>
      <c r="D320"/>
      <c r="E320"/>
      <c r="F320"/>
      <c r="G320"/>
      <c r="H320"/>
      <c r="I320"/>
      <c r="J320"/>
      <c r="K320"/>
      <c r="L320"/>
      <c r="M320"/>
      <c r="N320"/>
      <c r="O320"/>
      <c r="P320" s="36"/>
      <c r="Q320" s="37"/>
      <c r="R320"/>
      <c r="S320"/>
      <c r="T320"/>
      <c r="U320"/>
      <c r="V320" s="39"/>
      <c r="W320"/>
      <c r="X320"/>
      <c r="Y320"/>
      <c r="Z320"/>
      <c r="AA320"/>
    </row>
    <row r="321" spans="1:27" x14ac:dyDescent="0.25">
      <c r="A321"/>
      <c r="B321" s="36"/>
      <c r="C321" s="36"/>
      <c r="D321"/>
      <c r="E321"/>
      <c r="F321"/>
      <c r="G321"/>
      <c r="H321"/>
      <c r="I321"/>
      <c r="J321"/>
      <c r="K321"/>
      <c r="L321"/>
      <c r="M321"/>
      <c r="N321"/>
      <c r="O321"/>
      <c r="P321" s="36"/>
      <c r="Q321" s="37"/>
      <c r="R321"/>
      <c r="S321"/>
      <c r="T321"/>
      <c r="U321"/>
      <c r="V321" s="39"/>
      <c r="W321"/>
      <c r="X321"/>
      <c r="Y321"/>
      <c r="Z321"/>
      <c r="AA321"/>
    </row>
    <row r="322" spans="1:27" x14ac:dyDescent="0.25">
      <c r="A322"/>
      <c r="B322" s="36"/>
      <c r="C322" s="36"/>
      <c r="D322"/>
      <c r="E322"/>
      <c r="F322"/>
      <c r="G322"/>
      <c r="H322"/>
      <c r="I322"/>
      <c r="J322"/>
      <c r="K322"/>
      <c r="L322"/>
      <c r="M322"/>
      <c r="N322"/>
      <c r="O322"/>
      <c r="P322" s="36"/>
      <c r="Q322" s="37"/>
      <c r="R322"/>
      <c r="S322"/>
      <c r="T322"/>
      <c r="U322"/>
      <c r="V322" s="39"/>
      <c r="W322"/>
      <c r="X322"/>
      <c r="Y322"/>
      <c r="Z322"/>
      <c r="AA322"/>
    </row>
    <row r="323" spans="1:27" x14ac:dyDescent="0.25">
      <c r="A323"/>
      <c r="B323" s="36"/>
      <c r="C323" s="36"/>
      <c r="D323"/>
      <c r="E323"/>
      <c r="F323"/>
      <c r="G323"/>
      <c r="H323"/>
      <c r="I323"/>
      <c r="J323"/>
      <c r="K323"/>
      <c r="L323"/>
      <c r="M323"/>
      <c r="N323"/>
      <c r="O323"/>
      <c r="P323" s="36"/>
      <c r="Q323" s="37"/>
      <c r="R323"/>
      <c r="S323"/>
      <c r="T323"/>
      <c r="U323"/>
      <c r="V323" s="39"/>
      <c r="W323"/>
      <c r="X323"/>
      <c r="Y323"/>
      <c r="Z323"/>
      <c r="AA323"/>
    </row>
    <row r="324" spans="1:27" x14ac:dyDescent="0.25">
      <c r="A324"/>
      <c r="B324" s="36"/>
      <c r="C324" s="36"/>
      <c r="D324"/>
      <c r="E324"/>
      <c r="F324"/>
      <c r="G324"/>
      <c r="H324"/>
      <c r="I324"/>
      <c r="J324"/>
      <c r="K324"/>
      <c r="L324"/>
      <c r="M324"/>
      <c r="N324"/>
      <c r="O324"/>
      <c r="P324" s="36"/>
      <c r="Q324" s="37"/>
      <c r="R324"/>
      <c r="S324"/>
      <c r="T324"/>
      <c r="U324"/>
      <c r="V324" s="39"/>
      <c r="W324"/>
      <c r="X324"/>
      <c r="Y324"/>
      <c r="Z324"/>
      <c r="AA324"/>
    </row>
    <row r="325" spans="1:27" x14ac:dyDescent="0.25">
      <c r="A325"/>
      <c r="B325" s="36"/>
      <c r="C325" s="36"/>
      <c r="D325"/>
      <c r="E325"/>
      <c r="F325"/>
      <c r="G325"/>
      <c r="H325"/>
      <c r="I325"/>
      <c r="J325"/>
      <c r="K325"/>
      <c r="L325"/>
      <c r="M325"/>
      <c r="N325"/>
      <c r="O325"/>
      <c r="P325" s="36"/>
      <c r="Q325" s="37"/>
      <c r="R325"/>
      <c r="S325"/>
      <c r="T325"/>
      <c r="U325"/>
      <c r="V325" s="39"/>
      <c r="W325"/>
      <c r="X325"/>
      <c r="Y325"/>
      <c r="Z325"/>
      <c r="AA325"/>
    </row>
    <row r="326" spans="1:27" x14ac:dyDescent="0.25">
      <c r="A326"/>
      <c r="B326" s="36"/>
      <c r="C326" s="36"/>
      <c r="D326"/>
      <c r="E326"/>
      <c r="F326"/>
      <c r="G326"/>
      <c r="H326"/>
      <c r="I326"/>
      <c r="J326"/>
      <c r="K326"/>
      <c r="L326"/>
      <c r="M326"/>
      <c r="N326"/>
      <c r="O326"/>
      <c r="P326" s="36"/>
      <c r="Q326" s="37"/>
      <c r="R326"/>
      <c r="S326"/>
      <c r="T326"/>
      <c r="U326"/>
      <c r="V326" s="39"/>
      <c r="W326"/>
      <c r="X326"/>
      <c r="Y326"/>
      <c r="Z326"/>
      <c r="AA326"/>
    </row>
    <row r="327" spans="1:27" x14ac:dyDescent="0.25">
      <c r="A327"/>
      <c r="B327" s="36"/>
      <c r="C327" s="36"/>
      <c r="D327"/>
      <c r="E327"/>
      <c r="F327"/>
      <c r="G327"/>
      <c r="H327"/>
      <c r="I327"/>
      <c r="J327"/>
      <c r="K327"/>
      <c r="L327"/>
      <c r="M327"/>
      <c r="N327"/>
      <c r="O327"/>
      <c r="P327" s="36"/>
      <c r="Q327" s="37"/>
      <c r="R327"/>
      <c r="S327"/>
      <c r="T327"/>
      <c r="U327"/>
      <c r="V327" s="39"/>
      <c r="W327"/>
      <c r="X327"/>
      <c r="Y327"/>
      <c r="Z327"/>
      <c r="AA327"/>
    </row>
    <row r="328" spans="1:27" x14ac:dyDescent="0.25">
      <c r="A328"/>
      <c r="B328" s="36"/>
      <c r="C328" s="36"/>
      <c r="D328"/>
      <c r="E328"/>
      <c r="F328"/>
      <c r="G328"/>
      <c r="H328"/>
      <c r="I328"/>
      <c r="J328"/>
      <c r="K328"/>
      <c r="L328"/>
      <c r="M328"/>
      <c r="N328"/>
      <c r="O328"/>
      <c r="P328" s="36"/>
      <c r="Q328" s="37"/>
      <c r="R328"/>
      <c r="S328"/>
      <c r="T328"/>
      <c r="U328"/>
      <c r="V328" s="39"/>
      <c r="W328"/>
      <c r="X328"/>
      <c r="Y328"/>
      <c r="Z328"/>
      <c r="AA328"/>
    </row>
    <row r="329" spans="1:27" x14ac:dyDescent="0.25">
      <c r="A329"/>
      <c r="B329" s="36"/>
      <c r="C329" s="36"/>
      <c r="D329"/>
      <c r="E329"/>
      <c r="F329"/>
      <c r="G329"/>
      <c r="H329"/>
      <c r="I329"/>
      <c r="J329"/>
      <c r="K329"/>
      <c r="L329"/>
      <c r="M329"/>
      <c r="N329"/>
      <c r="O329"/>
      <c r="P329" s="36"/>
      <c r="Q329" s="37"/>
      <c r="R329"/>
      <c r="S329"/>
      <c r="T329"/>
      <c r="U329"/>
      <c r="V329" s="39"/>
      <c r="W329"/>
      <c r="X329"/>
      <c r="Y329"/>
      <c r="Z329"/>
      <c r="AA329"/>
    </row>
    <row r="330" spans="1:27" x14ac:dyDescent="0.25">
      <c r="A330"/>
      <c r="B330" s="36"/>
      <c r="C330" s="36"/>
      <c r="D330"/>
      <c r="E330"/>
      <c r="F330"/>
      <c r="G330"/>
      <c r="H330"/>
      <c r="I330"/>
      <c r="J330"/>
      <c r="K330"/>
      <c r="L330"/>
      <c r="M330"/>
      <c r="N330"/>
      <c r="O330"/>
      <c r="P330" s="36"/>
      <c r="Q330" s="37"/>
      <c r="R330"/>
      <c r="S330"/>
      <c r="T330"/>
      <c r="U330"/>
      <c r="V330" s="39"/>
      <c r="W330"/>
      <c r="X330"/>
      <c r="Y330"/>
      <c r="Z330"/>
      <c r="AA330"/>
    </row>
    <row r="331" spans="1:27" x14ac:dyDescent="0.25">
      <c r="A331"/>
      <c r="B331" s="36"/>
      <c r="C331" s="36"/>
      <c r="D331"/>
      <c r="E331"/>
      <c r="F331"/>
      <c r="G331"/>
      <c r="H331"/>
      <c r="I331"/>
      <c r="J331"/>
      <c r="K331"/>
      <c r="L331"/>
      <c r="M331"/>
      <c r="N331"/>
      <c r="O331"/>
      <c r="P331" s="36"/>
      <c r="Q331" s="37"/>
      <c r="R331"/>
      <c r="S331"/>
      <c r="T331"/>
      <c r="U331"/>
      <c r="V331" s="39"/>
      <c r="W331"/>
      <c r="X331"/>
      <c r="Y331"/>
      <c r="Z331"/>
      <c r="AA331"/>
    </row>
    <row r="332" spans="1:27" x14ac:dyDescent="0.25">
      <c r="A332"/>
      <c r="B332" s="36"/>
      <c r="C332" s="36"/>
      <c r="D332"/>
      <c r="E332"/>
      <c r="F332"/>
      <c r="G332"/>
      <c r="H332"/>
      <c r="I332"/>
      <c r="J332"/>
      <c r="K332"/>
      <c r="L332"/>
      <c r="M332"/>
      <c r="N332"/>
      <c r="O332"/>
      <c r="P332" s="36"/>
      <c r="Q332" s="37"/>
      <c r="R332"/>
      <c r="S332"/>
      <c r="T332"/>
      <c r="U332"/>
      <c r="V332" s="39"/>
      <c r="W332"/>
      <c r="X332"/>
      <c r="Y332"/>
      <c r="Z332"/>
      <c r="AA332"/>
    </row>
    <row r="333" spans="1:27" x14ac:dyDescent="0.25">
      <c r="A333"/>
      <c r="B333" s="36"/>
      <c r="C333" s="36"/>
      <c r="D333"/>
      <c r="E333"/>
      <c r="F333"/>
      <c r="G333"/>
      <c r="H333"/>
      <c r="I333"/>
      <c r="J333"/>
      <c r="K333"/>
      <c r="L333"/>
      <c r="M333"/>
      <c r="N333"/>
      <c r="O333"/>
      <c r="P333" s="36"/>
      <c r="Q333" s="37"/>
      <c r="R333"/>
      <c r="S333"/>
      <c r="T333"/>
      <c r="U333"/>
      <c r="V333" s="39"/>
      <c r="W333"/>
      <c r="X333"/>
      <c r="Y333"/>
      <c r="Z333"/>
      <c r="AA333"/>
    </row>
    <row r="334" spans="1:27" x14ac:dyDescent="0.25">
      <c r="A334"/>
      <c r="B334" s="36"/>
      <c r="C334" s="36"/>
      <c r="D334"/>
      <c r="E334"/>
      <c r="F334"/>
      <c r="G334"/>
      <c r="H334"/>
      <c r="I334"/>
      <c r="J334"/>
      <c r="K334"/>
      <c r="L334"/>
      <c r="M334"/>
      <c r="N334"/>
      <c r="O334"/>
      <c r="P334" s="36"/>
      <c r="Q334" s="37"/>
      <c r="R334"/>
      <c r="S334"/>
      <c r="T334"/>
      <c r="U334"/>
      <c r="V334" s="39"/>
      <c r="W334"/>
      <c r="X334"/>
      <c r="Y334"/>
      <c r="Z334"/>
      <c r="AA334"/>
    </row>
    <row r="335" spans="1:27" x14ac:dyDescent="0.25">
      <c r="A335"/>
      <c r="B335" s="36"/>
      <c r="C335" s="36"/>
      <c r="D335"/>
      <c r="E335"/>
      <c r="F335"/>
      <c r="G335"/>
      <c r="H335"/>
      <c r="I335"/>
      <c r="J335"/>
      <c r="K335"/>
      <c r="L335"/>
      <c r="M335"/>
      <c r="N335"/>
      <c r="O335"/>
      <c r="P335" s="36"/>
      <c r="Q335" s="37"/>
      <c r="R335"/>
      <c r="S335"/>
      <c r="T335"/>
      <c r="U335"/>
      <c r="V335" s="39"/>
      <c r="W335"/>
      <c r="X335"/>
      <c r="Y335"/>
      <c r="Z335"/>
      <c r="AA335"/>
    </row>
    <row r="336" spans="1:27" x14ac:dyDescent="0.25">
      <c r="A336"/>
      <c r="B336" s="36"/>
      <c r="C336" s="36"/>
      <c r="D336"/>
      <c r="E336"/>
      <c r="F336"/>
      <c r="G336"/>
      <c r="H336"/>
      <c r="I336"/>
      <c r="J336"/>
      <c r="K336"/>
      <c r="L336"/>
      <c r="M336"/>
      <c r="N336"/>
      <c r="O336"/>
      <c r="P336" s="36"/>
      <c r="Q336" s="37"/>
      <c r="R336"/>
      <c r="S336"/>
      <c r="T336"/>
      <c r="U336"/>
      <c r="V336" s="39"/>
      <c r="W336"/>
      <c r="X336"/>
      <c r="Y336"/>
      <c r="Z336"/>
      <c r="AA336"/>
    </row>
    <row r="337" spans="1:27" x14ac:dyDescent="0.25">
      <c r="A337"/>
      <c r="B337" s="36"/>
      <c r="C337" s="36"/>
      <c r="D337"/>
      <c r="E337"/>
      <c r="F337"/>
      <c r="G337"/>
      <c r="H337"/>
      <c r="I337"/>
      <c r="J337"/>
      <c r="K337"/>
      <c r="L337"/>
      <c r="M337"/>
      <c r="N337"/>
      <c r="O337"/>
      <c r="P337" s="36"/>
      <c r="Q337" s="37"/>
      <c r="R337"/>
      <c r="S337"/>
      <c r="T337"/>
      <c r="U337"/>
      <c r="V337" s="39"/>
      <c r="W337"/>
      <c r="X337"/>
      <c r="Y337"/>
      <c r="Z337"/>
      <c r="AA337"/>
    </row>
    <row r="338" spans="1:27" x14ac:dyDescent="0.25">
      <c r="A338"/>
      <c r="B338" s="36"/>
      <c r="C338" s="36"/>
      <c r="D338"/>
      <c r="E338"/>
      <c r="F338"/>
      <c r="G338"/>
      <c r="H338"/>
      <c r="I338"/>
      <c r="J338"/>
      <c r="K338"/>
      <c r="L338"/>
      <c r="M338"/>
      <c r="N338"/>
      <c r="O338"/>
      <c r="P338" s="36"/>
      <c r="Q338" s="37"/>
      <c r="R338"/>
      <c r="S338"/>
      <c r="T338"/>
      <c r="U338"/>
      <c r="V338" s="39"/>
      <c r="W338"/>
      <c r="X338"/>
      <c r="Y338"/>
      <c r="Z338"/>
      <c r="AA338"/>
    </row>
    <row r="339" spans="1:27" x14ac:dyDescent="0.25">
      <c r="A339"/>
      <c r="B339" s="36"/>
      <c r="C339" s="36"/>
      <c r="D339"/>
      <c r="E339"/>
      <c r="F339"/>
      <c r="G339"/>
      <c r="H339"/>
      <c r="I339"/>
      <c r="J339"/>
      <c r="K339"/>
      <c r="L339"/>
      <c r="M339"/>
      <c r="N339"/>
      <c r="O339"/>
      <c r="P339" s="36"/>
      <c r="Q339" s="37"/>
      <c r="R339"/>
      <c r="S339"/>
      <c r="T339"/>
      <c r="U339"/>
      <c r="V339" s="39"/>
      <c r="W339"/>
      <c r="X339"/>
      <c r="Y339"/>
      <c r="Z339"/>
      <c r="AA339"/>
    </row>
    <row r="340" spans="1:27" x14ac:dyDescent="0.25">
      <c r="A340"/>
      <c r="B340" s="36"/>
      <c r="C340" s="36"/>
      <c r="D340"/>
      <c r="E340"/>
      <c r="F340"/>
      <c r="G340"/>
      <c r="H340"/>
      <c r="I340"/>
      <c r="J340"/>
      <c r="K340"/>
      <c r="L340"/>
      <c r="M340"/>
      <c r="N340"/>
      <c r="O340"/>
      <c r="P340" s="36"/>
      <c r="Q340" s="37"/>
      <c r="R340"/>
      <c r="S340"/>
      <c r="T340"/>
      <c r="U340"/>
      <c r="V340" s="39"/>
      <c r="W340"/>
      <c r="X340"/>
      <c r="Y340"/>
      <c r="Z340"/>
      <c r="AA340"/>
    </row>
    <row r="341" spans="1:27" x14ac:dyDescent="0.25">
      <c r="A341"/>
      <c r="B341" s="36"/>
      <c r="C341" s="36"/>
      <c r="D341"/>
      <c r="E341"/>
      <c r="F341"/>
      <c r="G341"/>
      <c r="H341"/>
      <c r="I341"/>
      <c r="J341"/>
      <c r="K341"/>
      <c r="L341"/>
      <c r="M341"/>
      <c r="N341"/>
      <c r="O341"/>
      <c r="P341" s="36"/>
      <c r="Q341" s="37"/>
      <c r="R341"/>
      <c r="S341"/>
      <c r="T341"/>
      <c r="U341"/>
      <c r="V341" s="39"/>
      <c r="W341"/>
      <c r="X341"/>
      <c r="Y341"/>
      <c r="Z341"/>
      <c r="AA341"/>
    </row>
    <row r="342" spans="1:27" x14ac:dyDescent="0.25">
      <c r="A342"/>
      <c r="B342" s="36"/>
      <c r="C342" s="36"/>
      <c r="D342"/>
      <c r="E342"/>
      <c r="F342"/>
      <c r="G342"/>
      <c r="H342"/>
      <c r="I342"/>
      <c r="J342"/>
      <c r="K342"/>
      <c r="L342"/>
      <c r="M342"/>
      <c r="N342"/>
      <c r="O342"/>
      <c r="P342" s="36"/>
      <c r="Q342" s="37"/>
      <c r="R342"/>
      <c r="S342"/>
      <c r="T342"/>
      <c r="U342"/>
      <c r="V342" s="39"/>
      <c r="W342"/>
      <c r="X342"/>
      <c r="Y342"/>
      <c r="Z342"/>
      <c r="AA342"/>
    </row>
    <row r="343" spans="1:27" x14ac:dyDescent="0.25">
      <c r="A343"/>
      <c r="B343" s="36"/>
      <c r="C343" s="36"/>
      <c r="D343"/>
      <c r="E343"/>
      <c r="F343"/>
      <c r="G343"/>
      <c r="H343"/>
      <c r="I343"/>
      <c r="J343"/>
      <c r="K343"/>
      <c r="L343"/>
      <c r="M343"/>
      <c r="N343"/>
      <c r="O343"/>
      <c r="P343" s="36"/>
      <c r="Q343" s="37"/>
      <c r="R343"/>
      <c r="S343"/>
      <c r="T343"/>
      <c r="U343"/>
      <c r="V343" s="39"/>
      <c r="W343"/>
      <c r="X343"/>
      <c r="Y343"/>
      <c r="Z343"/>
      <c r="AA343"/>
    </row>
    <row r="344" spans="1:27" x14ac:dyDescent="0.25">
      <c r="A344"/>
      <c r="B344" s="36"/>
      <c r="C344" s="36"/>
      <c r="D344"/>
      <c r="E344"/>
      <c r="F344"/>
      <c r="G344"/>
      <c r="H344"/>
      <c r="I344"/>
      <c r="J344"/>
      <c r="K344"/>
      <c r="L344"/>
      <c r="M344"/>
      <c r="N344"/>
      <c r="O344"/>
      <c r="P344" s="36"/>
      <c r="Q344" s="37"/>
      <c r="R344"/>
      <c r="S344"/>
      <c r="T344"/>
      <c r="U344"/>
      <c r="V344" s="39"/>
      <c r="W344"/>
      <c r="X344"/>
      <c r="Y344"/>
      <c r="Z344"/>
      <c r="AA344"/>
    </row>
    <row r="345" spans="1:27" x14ac:dyDescent="0.25">
      <c r="A345"/>
      <c r="B345" s="36"/>
      <c r="C345" s="36"/>
      <c r="D345"/>
      <c r="E345"/>
      <c r="F345"/>
      <c r="G345"/>
      <c r="H345"/>
      <c r="I345"/>
      <c r="J345"/>
      <c r="K345"/>
      <c r="L345"/>
      <c r="M345"/>
      <c r="N345"/>
      <c r="O345"/>
      <c r="P345" s="36"/>
      <c r="Q345" s="37"/>
      <c r="R345"/>
      <c r="S345"/>
      <c r="T345"/>
      <c r="U345"/>
      <c r="V345" s="39"/>
      <c r="W345"/>
      <c r="X345"/>
      <c r="Y345"/>
      <c r="Z345"/>
      <c r="AA345"/>
    </row>
    <row r="346" spans="1:27" x14ac:dyDescent="0.25">
      <c r="A346"/>
      <c r="B346" s="36"/>
      <c r="C346" s="36"/>
      <c r="D346"/>
      <c r="E346"/>
      <c r="F346"/>
      <c r="G346"/>
      <c r="H346"/>
      <c r="I346"/>
      <c r="J346"/>
      <c r="K346"/>
      <c r="L346"/>
      <c r="M346"/>
      <c r="N346"/>
      <c r="O346"/>
      <c r="P346" s="36"/>
      <c r="Q346" s="37"/>
      <c r="R346"/>
      <c r="S346"/>
      <c r="T346"/>
      <c r="U346"/>
      <c r="V346" s="39"/>
      <c r="W346"/>
      <c r="X346"/>
      <c r="Y346"/>
      <c r="Z346"/>
      <c r="AA346"/>
    </row>
    <row r="347" spans="1:27" x14ac:dyDescent="0.25">
      <c r="A347"/>
      <c r="B347" s="36"/>
      <c r="C347" s="36"/>
      <c r="D347"/>
      <c r="E347"/>
      <c r="F347"/>
      <c r="G347"/>
      <c r="H347"/>
      <c r="I347"/>
      <c r="J347"/>
      <c r="K347"/>
      <c r="L347"/>
      <c r="M347"/>
      <c r="N347"/>
      <c r="O347"/>
      <c r="P347" s="36"/>
      <c r="Q347" s="37"/>
      <c r="R347"/>
      <c r="S347"/>
      <c r="T347"/>
      <c r="U347"/>
      <c r="V347" s="39"/>
      <c r="W347"/>
      <c r="X347"/>
      <c r="Y347"/>
      <c r="Z347"/>
      <c r="AA347"/>
    </row>
    <row r="348" spans="1:27" x14ac:dyDescent="0.25">
      <c r="A348"/>
      <c r="B348" s="36"/>
      <c r="C348" s="36"/>
      <c r="D348"/>
      <c r="E348"/>
      <c r="F348"/>
      <c r="G348"/>
      <c r="H348"/>
      <c r="I348"/>
      <c r="J348"/>
      <c r="K348"/>
      <c r="L348"/>
      <c r="M348"/>
      <c r="N348"/>
      <c r="O348"/>
      <c r="P348" s="36"/>
      <c r="Q348" s="37"/>
      <c r="R348"/>
      <c r="S348"/>
      <c r="T348"/>
      <c r="U348"/>
      <c r="V348" s="39"/>
      <c r="W348"/>
      <c r="X348"/>
      <c r="Y348"/>
      <c r="Z348"/>
      <c r="AA348"/>
    </row>
    <row r="349" spans="1:27" x14ac:dyDescent="0.25">
      <c r="A349"/>
      <c r="B349" s="36"/>
      <c r="C349" s="36"/>
      <c r="D349"/>
      <c r="E349"/>
      <c r="F349"/>
      <c r="G349"/>
      <c r="H349"/>
      <c r="I349"/>
      <c r="J349"/>
      <c r="K349"/>
      <c r="L349"/>
      <c r="M349"/>
      <c r="N349"/>
      <c r="O349"/>
      <c r="P349" s="36"/>
      <c r="Q349" s="37"/>
      <c r="R349"/>
      <c r="S349"/>
      <c r="T349"/>
      <c r="U349"/>
      <c r="V349" s="39"/>
      <c r="W349"/>
      <c r="X349"/>
      <c r="Y349"/>
      <c r="Z349"/>
      <c r="AA349"/>
    </row>
    <row r="350" spans="1:27" x14ac:dyDescent="0.25">
      <c r="A350"/>
      <c r="B350" s="36"/>
      <c r="C350" s="36"/>
      <c r="D350"/>
      <c r="E350"/>
      <c r="F350"/>
      <c r="G350"/>
      <c r="H350"/>
      <c r="I350"/>
      <c r="J350"/>
      <c r="K350"/>
      <c r="L350"/>
      <c r="M350"/>
      <c r="N350"/>
      <c r="O350"/>
      <c r="P350" s="36"/>
      <c r="Q350" s="37"/>
      <c r="R350"/>
      <c r="S350"/>
      <c r="T350"/>
      <c r="U350"/>
      <c r="V350" s="39"/>
      <c r="W350"/>
      <c r="X350"/>
      <c r="Y350"/>
      <c r="Z350"/>
      <c r="AA350"/>
    </row>
    <row r="351" spans="1:27" x14ac:dyDescent="0.25">
      <c r="A351"/>
      <c r="B351" s="36"/>
      <c r="C351" s="36"/>
      <c r="D351"/>
      <c r="E351"/>
      <c r="F351"/>
      <c r="G351"/>
      <c r="H351"/>
      <c r="I351"/>
      <c r="J351"/>
      <c r="K351"/>
      <c r="L351"/>
      <c r="M351"/>
      <c r="N351"/>
      <c r="O351"/>
      <c r="P351" s="36"/>
      <c r="Q351" s="37"/>
      <c r="R351"/>
      <c r="S351"/>
      <c r="T351"/>
      <c r="U351"/>
      <c r="V351" s="39"/>
      <c r="W351"/>
      <c r="X351"/>
      <c r="Y351"/>
      <c r="Z351"/>
      <c r="AA351"/>
    </row>
    <row r="352" spans="1:27" x14ac:dyDescent="0.25">
      <c r="A352"/>
      <c r="B352" s="36"/>
      <c r="C352" s="36"/>
      <c r="D352"/>
      <c r="E352"/>
      <c r="F352"/>
      <c r="G352"/>
      <c r="H352"/>
      <c r="I352"/>
      <c r="J352"/>
      <c r="K352"/>
      <c r="L352"/>
      <c r="M352"/>
      <c r="N352"/>
      <c r="O352"/>
      <c r="P352" s="36"/>
      <c r="Q352" s="37"/>
      <c r="R352"/>
      <c r="S352"/>
      <c r="T352"/>
      <c r="U352"/>
      <c r="V352" s="39"/>
      <c r="W352"/>
      <c r="X352"/>
      <c r="Y352"/>
      <c r="Z352"/>
      <c r="AA352"/>
    </row>
    <row r="353" spans="1:27" x14ac:dyDescent="0.25">
      <c r="A353"/>
      <c r="B353" s="36"/>
      <c r="C353" s="36"/>
      <c r="D353"/>
      <c r="E353"/>
      <c r="F353"/>
      <c r="G353"/>
      <c r="H353"/>
      <c r="I353"/>
      <c r="J353"/>
      <c r="K353"/>
      <c r="L353"/>
      <c r="M353"/>
      <c r="N353"/>
      <c r="O353"/>
      <c r="P353" s="36"/>
      <c r="Q353" s="37"/>
      <c r="R353"/>
      <c r="S353"/>
      <c r="T353"/>
      <c r="U353"/>
      <c r="V353" s="39"/>
      <c r="W353"/>
      <c r="X353"/>
      <c r="Y353"/>
      <c r="Z353"/>
      <c r="AA353"/>
    </row>
    <row r="354" spans="1:27" x14ac:dyDescent="0.25">
      <c r="A354"/>
      <c r="B354" s="36"/>
      <c r="C354" s="36"/>
      <c r="D354"/>
      <c r="E354"/>
      <c r="F354"/>
      <c r="G354"/>
      <c r="H354"/>
      <c r="I354"/>
      <c r="J354"/>
      <c r="K354"/>
      <c r="L354"/>
      <c r="M354"/>
      <c r="N354"/>
      <c r="O354"/>
      <c r="P354" s="36"/>
      <c r="Q354" s="37"/>
      <c r="R354"/>
      <c r="S354"/>
      <c r="T354"/>
      <c r="U354"/>
      <c r="V354" s="39"/>
      <c r="W354"/>
      <c r="X354"/>
      <c r="Y354"/>
      <c r="Z354"/>
      <c r="AA354"/>
    </row>
    <row r="355" spans="1:27" x14ac:dyDescent="0.25">
      <c r="A355"/>
      <c r="B355" s="36"/>
      <c r="C355" s="36"/>
      <c r="D355"/>
      <c r="E355"/>
      <c r="F355"/>
      <c r="G355"/>
      <c r="H355"/>
      <c r="I355"/>
      <c r="J355"/>
      <c r="K355"/>
      <c r="L355"/>
      <c r="M355"/>
      <c r="N355"/>
      <c r="O355"/>
      <c r="P355" s="36"/>
      <c r="Q355" s="37"/>
      <c r="R355"/>
      <c r="S355"/>
      <c r="T355"/>
      <c r="U355"/>
      <c r="V355" s="39"/>
      <c r="W355"/>
      <c r="X355"/>
      <c r="Y355"/>
      <c r="Z355"/>
      <c r="AA355"/>
    </row>
    <row r="356" spans="1:27" x14ac:dyDescent="0.25">
      <c r="A356"/>
      <c r="B356" s="36"/>
      <c r="C356" s="36"/>
      <c r="D356"/>
      <c r="E356"/>
      <c r="F356"/>
      <c r="G356"/>
      <c r="H356"/>
      <c r="I356"/>
      <c r="J356"/>
      <c r="K356"/>
      <c r="L356"/>
      <c r="M356"/>
      <c r="N356"/>
      <c r="O356"/>
      <c r="P356" s="36"/>
      <c r="Q356" s="37"/>
      <c r="R356"/>
      <c r="S356"/>
      <c r="T356"/>
      <c r="U356"/>
      <c r="V356" s="39"/>
      <c r="W356"/>
      <c r="X356"/>
      <c r="Y356"/>
      <c r="Z356"/>
      <c r="AA356"/>
    </row>
    <row r="357" spans="1:27" x14ac:dyDescent="0.25">
      <c r="A357"/>
      <c r="B357" s="36"/>
      <c r="C357" s="36"/>
      <c r="D357"/>
      <c r="E357"/>
      <c r="F357"/>
      <c r="G357"/>
      <c r="H357"/>
      <c r="I357"/>
      <c r="J357"/>
      <c r="K357"/>
      <c r="L357"/>
      <c r="M357"/>
      <c r="N357"/>
      <c r="O357"/>
      <c r="P357" s="36"/>
      <c r="Q357" s="37"/>
      <c r="R357"/>
      <c r="S357"/>
      <c r="T357"/>
      <c r="U357"/>
      <c r="V357" s="39"/>
      <c r="W357"/>
      <c r="X357"/>
      <c r="Y357"/>
      <c r="Z357"/>
      <c r="AA357"/>
    </row>
    <row r="358" spans="1:27" x14ac:dyDescent="0.25">
      <c r="A358"/>
      <c r="B358" s="36"/>
      <c r="C358" s="36"/>
      <c r="D358"/>
      <c r="E358"/>
      <c r="F358"/>
      <c r="G358"/>
      <c r="H358"/>
      <c r="I358"/>
      <c r="J358"/>
      <c r="K358"/>
      <c r="L358"/>
      <c r="M358"/>
      <c r="N358"/>
      <c r="O358"/>
      <c r="P358" s="36"/>
      <c r="Q358" s="37"/>
      <c r="R358"/>
      <c r="S358"/>
      <c r="T358"/>
      <c r="U358"/>
      <c r="V358" s="39"/>
      <c r="W358"/>
      <c r="X358"/>
      <c r="Y358"/>
      <c r="Z358"/>
      <c r="AA358"/>
    </row>
    <row r="359" spans="1:27" x14ac:dyDescent="0.25">
      <c r="A359"/>
      <c r="B359" s="36"/>
      <c r="C359" s="36"/>
      <c r="D359"/>
      <c r="E359"/>
      <c r="F359"/>
      <c r="G359"/>
      <c r="H359"/>
      <c r="I359"/>
      <c r="J359"/>
      <c r="K359"/>
      <c r="L359"/>
      <c r="M359"/>
      <c r="N359"/>
      <c r="O359"/>
      <c r="P359" s="36"/>
      <c r="Q359" s="37"/>
      <c r="R359"/>
      <c r="S359"/>
      <c r="T359"/>
      <c r="U359"/>
      <c r="V359" s="39"/>
      <c r="W359"/>
      <c r="X359"/>
      <c r="Y359"/>
      <c r="Z359"/>
      <c r="AA359"/>
    </row>
    <row r="360" spans="1:27" x14ac:dyDescent="0.25">
      <c r="A360"/>
      <c r="B360" s="36"/>
      <c r="C360" s="36"/>
      <c r="D360"/>
      <c r="E360"/>
      <c r="F360"/>
      <c r="G360"/>
      <c r="H360"/>
      <c r="I360"/>
      <c r="J360"/>
      <c r="K360"/>
      <c r="L360"/>
      <c r="M360"/>
      <c r="N360"/>
      <c r="O360"/>
      <c r="P360" s="36"/>
      <c r="Q360" s="37"/>
      <c r="R360"/>
      <c r="S360"/>
      <c r="T360"/>
      <c r="U360"/>
      <c r="V360" s="39"/>
      <c r="W360"/>
      <c r="X360"/>
      <c r="Y360"/>
      <c r="Z360"/>
      <c r="AA360"/>
    </row>
    <row r="361" spans="1:27" x14ac:dyDescent="0.25">
      <c r="A361"/>
      <c r="B361" s="36"/>
      <c r="C361" s="36"/>
      <c r="D361"/>
      <c r="E361"/>
      <c r="F361"/>
      <c r="G361"/>
      <c r="H361"/>
      <c r="I361"/>
      <c r="J361"/>
      <c r="K361"/>
      <c r="L361"/>
      <c r="M361"/>
      <c r="N361"/>
      <c r="O361"/>
      <c r="P361" s="36"/>
      <c r="Q361" s="37"/>
      <c r="R361"/>
      <c r="S361"/>
      <c r="T361"/>
      <c r="U361"/>
      <c r="V361" s="39"/>
      <c r="W361"/>
      <c r="X361"/>
      <c r="Y361"/>
      <c r="Z361"/>
      <c r="AA361"/>
    </row>
    <row r="362" spans="1:27" x14ac:dyDescent="0.25">
      <c r="A362"/>
      <c r="B362" s="36"/>
      <c r="C362" s="36"/>
      <c r="D362"/>
      <c r="E362"/>
      <c r="F362"/>
      <c r="G362"/>
      <c r="H362"/>
      <c r="I362"/>
      <c r="J362"/>
      <c r="K362"/>
      <c r="L362"/>
      <c r="M362"/>
      <c r="N362"/>
      <c r="O362"/>
      <c r="P362" s="36"/>
      <c r="Q362" s="37"/>
      <c r="R362"/>
      <c r="S362"/>
      <c r="T362"/>
      <c r="U362"/>
      <c r="V362" s="39"/>
      <c r="W362"/>
      <c r="X362"/>
      <c r="Y362"/>
      <c r="Z362"/>
      <c r="AA362"/>
    </row>
    <row r="363" spans="1:27" x14ac:dyDescent="0.25">
      <c r="A363"/>
      <c r="B363" s="36"/>
      <c r="C363" s="36"/>
      <c r="D363"/>
      <c r="E363"/>
      <c r="F363"/>
      <c r="G363"/>
      <c r="H363"/>
      <c r="I363"/>
      <c r="J363"/>
      <c r="K363"/>
      <c r="L363"/>
      <c r="M363"/>
      <c r="N363"/>
      <c r="O363"/>
      <c r="P363" s="36"/>
      <c r="Q363" s="37"/>
      <c r="R363"/>
      <c r="S363"/>
      <c r="T363"/>
      <c r="U363"/>
      <c r="V363" s="39"/>
      <c r="W363"/>
      <c r="X363"/>
      <c r="Y363"/>
      <c r="Z363"/>
      <c r="AA363"/>
    </row>
    <row r="364" spans="1:27" x14ac:dyDescent="0.25">
      <c r="A364"/>
      <c r="B364" s="36"/>
      <c r="C364" s="36"/>
      <c r="D364"/>
      <c r="E364"/>
      <c r="F364"/>
      <c r="G364"/>
      <c r="H364"/>
      <c r="I364"/>
      <c r="J364"/>
      <c r="K364"/>
      <c r="L364"/>
      <c r="M364"/>
      <c r="N364"/>
      <c r="O364"/>
      <c r="P364" s="36"/>
      <c r="Q364" s="37"/>
      <c r="R364"/>
      <c r="S364"/>
      <c r="T364"/>
      <c r="U364"/>
      <c r="V364" s="39"/>
      <c r="W364"/>
      <c r="X364"/>
      <c r="Y364"/>
      <c r="Z364"/>
      <c r="AA364"/>
    </row>
    <row r="365" spans="1:27" x14ac:dyDescent="0.25">
      <c r="A365"/>
      <c r="B365" s="36"/>
      <c r="C365" s="36"/>
      <c r="D365"/>
      <c r="E365"/>
      <c r="F365"/>
      <c r="G365"/>
      <c r="H365"/>
      <c r="I365"/>
      <c r="J365"/>
      <c r="K365"/>
      <c r="L365"/>
      <c r="M365"/>
      <c r="N365"/>
      <c r="O365"/>
      <c r="P365" s="36"/>
      <c r="Q365" s="37"/>
      <c r="R365"/>
      <c r="S365"/>
      <c r="T365"/>
      <c r="U365"/>
      <c r="V365" s="39"/>
      <c r="W365"/>
      <c r="X365"/>
      <c r="Y365"/>
      <c r="Z365"/>
      <c r="AA365"/>
    </row>
    <row r="366" spans="1:27" x14ac:dyDescent="0.25">
      <c r="A366"/>
      <c r="B366" s="36"/>
      <c r="C366" s="36"/>
      <c r="D366"/>
      <c r="E366"/>
      <c r="F366"/>
      <c r="G366"/>
      <c r="H366"/>
      <c r="I366"/>
      <c r="J366"/>
      <c r="K366"/>
      <c r="L366"/>
      <c r="M366"/>
      <c r="N366"/>
      <c r="O366"/>
      <c r="P366" s="36"/>
      <c r="Q366" s="37"/>
      <c r="R366"/>
      <c r="S366"/>
      <c r="T366"/>
      <c r="U366"/>
      <c r="V366" s="39"/>
      <c r="W366"/>
      <c r="X366"/>
      <c r="Y366"/>
      <c r="Z366"/>
      <c r="AA366"/>
    </row>
    <row r="367" spans="1:27" x14ac:dyDescent="0.25">
      <c r="A367"/>
      <c r="B367" s="36"/>
      <c r="C367" s="36"/>
      <c r="D367"/>
      <c r="E367"/>
      <c r="F367"/>
      <c r="G367"/>
      <c r="H367"/>
      <c r="I367"/>
      <c r="J367"/>
      <c r="K367"/>
      <c r="L367"/>
      <c r="M367"/>
      <c r="N367"/>
      <c r="O367"/>
      <c r="P367" s="36"/>
      <c r="Q367" s="37"/>
      <c r="R367"/>
      <c r="S367"/>
      <c r="T367"/>
      <c r="U367"/>
      <c r="V367" s="39"/>
      <c r="W367"/>
      <c r="X367"/>
      <c r="Y367"/>
      <c r="Z367"/>
      <c r="AA367"/>
    </row>
    <row r="368" spans="1:27" x14ac:dyDescent="0.25">
      <c r="A368"/>
      <c r="B368" s="36"/>
      <c r="C368" s="36"/>
      <c r="D368"/>
      <c r="E368"/>
      <c r="F368"/>
      <c r="G368"/>
      <c r="H368"/>
      <c r="I368"/>
      <c r="J368"/>
      <c r="K368"/>
      <c r="L368"/>
      <c r="M368"/>
      <c r="N368"/>
      <c r="O368"/>
      <c r="P368" s="36"/>
      <c r="Q368" s="37"/>
      <c r="R368"/>
      <c r="S368"/>
      <c r="T368"/>
      <c r="U368"/>
      <c r="V368" s="39"/>
      <c r="W368"/>
      <c r="X368"/>
      <c r="Y368"/>
      <c r="Z368"/>
      <c r="AA368"/>
    </row>
    <row r="369" spans="1:27" x14ac:dyDescent="0.25">
      <c r="A369"/>
      <c r="B369" s="36"/>
      <c r="C369" s="36"/>
      <c r="D369"/>
      <c r="E369"/>
      <c r="F369"/>
      <c r="G369"/>
      <c r="H369"/>
      <c r="I369"/>
      <c r="J369"/>
      <c r="K369"/>
      <c r="L369"/>
      <c r="M369"/>
      <c r="N369"/>
      <c r="O369"/>
      <c r="P369" s="36"/>
      <c r="Q369" s="37"/>
      <c r="R369"/>
      <c r="S369"/>
      <c r="T369"/>
      <c r="U369"/>
      <c r="V369" s="39"/>
      <c r="W369"/>
      <c r="X369"/>
      <c r="Y369"/>
      <c r="Z369"/>
      <c r="AA369"/>
    </row>
    <row r="370" spans="1:27" x14ac:dyDescent="0.25">
      <c r="A370"/>
      <c r="B370" s="36"/>
      <c r="C370" s="36"/>
      <c r="D370"/>
      <c r="E370"/>
      <c r="F370"/>
      <c r="G370"/>
      <c r="H370"/>
      <c r="I370"/>
      <c r="J370"/>
      <c r="K370"/>
      <c r="L370"/>
      <c r="M370"/>
      <c r="N370"/>
      <c r="O370"/>
      <c r="P370" s="36"/>
      <c r="Q370" s="37"/>
      <c r="R370"/>
      <c r="S370"/>
      <c r="T370"/>
      <c r="U370"/>
      <c r="V370" s="39"/>
      <c r="W370"/>
      <c r="X370"/>
      <c r="Y370"/>
      <c r="Z370"/>
      <c r="AA370"/>
    </row>
    <row r="371" spans="1:27" x14ac:dyDescent="0.25">
      <c r="A371"/>
      <c r="B371" s="36"/>
      <c r="C371" s="36"/>
      <c r="D371"/>
      <c r="E371"/>
      <c r="F371"/>
      <c r="G371"/>
      <c r="H371"/>
      <c r="I371"/>
      <c r="J371"/>
      <c r="K371"/>
      <c r="L371"/>
      <c r="M371"/>
      <c r="N371"/>
      <c r="O371"/>
      <c r="P371" s="36"/>
      <c r="Q371" s="37"/>
      <c r="R371"/>
      <c r="S371"/>
      <c r="T371"/>
      <c r="U371"/>
      <c r="V371" s="39"/>
      <c r="W371"/>
      <c r="X371"/>
      <c r="Y371"/>
      <c r="Z371"/>
      <c r="AA371"/>
    </row>
    <row r="372" spans="1:27" x14ac:dyDescent="0.25">
      <c r="A372"/>
      <c r="B372" s="36"/>
      <c r="C372" s="36"/>
      <c r="D372"/>
      <c r="E372"/>
      <c r="F372"/>
      <c r="G372"/>
      <c r="H372"/>
      <c r="I372"/>
      <c r="J372"/>
      <c r="K372"/>
      <c r="L372"/>
      <c r="M372"/>
      <c r="N372"/>
      <c r="O372"/>
      <c r="P372" s="36"/>
      <c r="Q372" s="37"/>
      <c r="R372"/>
      <c r="S372"/>
      <c r="T372"/>
      <c r="U372"/>
      <c r="V372" s="39"/>
      <c r="W372"/>
      <c r="X372"/>
      <c r="Y372"/>
      <c r="Z372"/>
      <c r="AA372"/>
    </row>
    <row r="373" spans="1:27" x14ac:dyDescent="0.25">
      <c r="A373"/>
      <c r="B373" s="36"/>
      <c r="C373" s="36"/>
      <c r="D373"/>
      <c r="E373"/>
      <c r="F373"/>
      <c r="G373"/>
      <c r="H373"/>
      <c r="I373"/>
      <c r="J373"/>
      <c r="K373"/>
      <c r="L373"/>
      <c r="M373"/>
      <c r="N373"/>
      <c r="O373"/>
      <c r="P373" s="36"/>
      <c r="Q373" s="37"/>
      <c r="R373"/>
      <c r="S373"/>
      <c r="T373"/>
      <c r="U373"/>
      <c r="V373" s="39"/>
      <c r="W373"/>
      <c r="X373"/>
      <c r="Y373"/>
      <c r="Z373"/>
      <c r="AA373"/>
    </row>
    <row r="374" spans="1:27" x14ac:dyDescent="0.25">
      <c r="A374"/>
      <c r="B374" s="36"/>
      <c r="C374" s="36"/>
      <c r="D374"/>
      <c r="E374"/>
      <c r="F374"/>
      <c r="G374"/>
      <c r="H374"/>
      <c r="I374"/>
      <c r="J374"/>
      <c r="K374"/>
      <c r="L374"/>
      <c r="M374"/>
      <c r="N374"/>
      <c r="O374"/>
      <c r="P374" s="36"/>
      <c r="Q374" s="37"/>
      <c r="R374"/>
      <c r="S374"/>
      <c r="T374"/>
      <c r="U374"/>
      <c r="V374" s="39"/>
      <c r="W374"/>
      <c r="X374"/>
      <c r="Y374"/>
      <c r="Z374"/>
      <c r="AA374"/>
    </row>
    <row r="375" spans="1:27" x14ac:dyDescent="0.25">
      <c r="A375"/>
      <c r="B375" s="36"/>
      <c r="C375" s="36"/>
      <c r="D375"/>
      <c r="E375"/>
      <c r="F375"/>
      <c r="G375"/>
      <c r="H375"/>
      <c r="I375"/>
      <c r="J375"/>
      <c r="K375"/>
      <c r="L375"/>
      <c r="M375"/>
      <c r="N375"/>
      <c r="O375"/>
      <c r="P375" s="36"/>
      <c r="Q375" s="37"/>
      <c r="R375"/>
      <c r="S375"/>
      <c r="T375"/>
      <c r="U375"/>
      <c r="V375" s="39"/>
      <c r="W375"/>
      <c r="X375"/>
      <c r="Y375"/>
      <c r="Z375"/>
      <c r="AA375"/>
    </row>
    <row r="376" spans="1:27" x14ac:dyDescent="0.25">
      <c r="A376"/>
      <c r="B376" s="36"/>
      <c r="C376" s="36"/>
      <c r="D376"/>
      <c r="E376"/>
      <c r="F376"/>
      <c r="G376"/>
      <c r="H376"/>
      <c r="I376"/>
      <c r="J376"/>
      <c r="K376"/>
      <c r="L376"/>
      <c r="M376"/>
      <c r="N376"/>
      <c r="O376"/>
      <c r="P376" s="36"/>
      <c r="Q376" s="37"/>
      <c r="R376"/>
      <c r="S376"/>
      <c r="T376"/>
      <c r="U376"/>
      <c r="V376" s="39"/>
      <c r="W376"/>
      <c r="X376"/>
      <c r="Y376"/>
      <c r="Z376"/>
      <c r="AA376"/>
    </row>
    <row r="377" spans="1:27" x14ac:dyDescent="0.25">
      <c r="A377"/>
      <c r="B377" s="36"/>
      <c r="C377" s="36"/>
      <c r="D377"/>
      <c r="E377"/>
      <c r="F377"/>
      <c r="G377"/>
      <c r="H377"/>
      <c r="I377"/>
      <c r="J377"/>
      <c r="K377"/>
      <c r="L377"/>
      <c r="M377"/>
      <c r="N377"/>
      <c r="O377"/>
      <c r="P377" s="36"/>
      <c r="Q377" s="37"/>
      <c r="R377"/>
      <c r="S377"/>
      <c r="T377"/>
      <c r="U377"/>
      <c r="V377" s="39"/>
      <c r="W377"/>
      <c r="X377"/>
      <c r="Y377"/>
      <c r="Z377"/>
      <c r="AA377"/>
    </row>
    <row r="378" spans="1:27" x14ac:dyDescent="0.25">
      <c r="A378"/>
      <c r="B378" s="36"/>
      <c r="C378" s="36"/>
      <c r="D378"/>
      <c r="E378"/>
      <c r="F378"/>
      <c r="G378"/>
      <c r="H378"/>
      <c r="I378"/>
      <c r="J378"/>
      <c r="K378"/>
      <c r="L378"/>
      <c r="M378"/>
      <c r="N378"/>
      <c r="O378"/>
      <c r="P378" s="36"/>
      <c r="Q378" s="37"/>
      <c r="R378"/>
      <c r="S378"/>
      <c r="T378"/>
      <c r="U378"/>
      <c r="V378" s="39"/>
      <c r="W378"/>
      <c r="X378"/>
      <c r="Y378"/>
      <c r="Z378"/>
      <c r="AA378"/>
    </row>
    <row r="379" spans="1:27" x14ac:dyDescent="0.25">
      <c r="A379"/>
      <c r="B379" s="36"/>
      <c r="C379" s="36"/>
      <c r="D379"/>
      <c r="E379"/>
      <c r="F379"/>
      <c r="G379"/>
      <c r="H379"/>
      <c r="I379"/>
      <c r="J379"/>
      <c r="K379"/>
      <c r="L379"/>
      <c r="M379"/>
      <c r="N379"/>
      <c r="O379"/>
      <c r="P379" s="36"/>
      <c r="Q379" s="37"/>
      <c r="R379"/>
      <c r="S379"/>
      <c r="T379"/>
      <c r="U379"/>
      <c r="V379" s="39"/>
      <c r="W379"/>
      <c r="X379"/>
      <c r="Y379"/>
      <c r="Z379"/>
      <c r="AA379"/>
    </row>
    <row r="380" spans="1:27" x14ac:dyDescent="0.25">
      <c r="A380"/>
      <c r="B380" s="36"/>
      <c r="C380" s="36"/>
      <c r="D380"/>
      <c r="E380"/>
      <c r="F380"/>
      <c r="G380"/>
      <c r="H380"/>
      <c r="I380"/>
      <c r="J380"/>
      <c r="K380"/>
      <c r="L380"/>
      <c r="M380"/>
      <c r="N380"/>
      <c r="O380"/>
      <c r="P380" s="36"/>
      <c r="Q380" s="37"/>
      <c r="R380"/>
      <c r="S380"/>
      <c r="T380"/>
      <c r="U380"/>
      <c r="V380" s="39"/>
      <c r="W380"/>
      <c r="X380"/>
      <c r="Y380"/>
      <c r="Z380"/>
      <c r="AA380"/>
    </row>
    <row r="381" spans="1:27" x14ac:dyDescent="0.25">
      <c r="A381"/>
      <c r="B381" s="36"/>
      <c r="C381" s="36"/>
      <c r="D381"/>
      <c r="E381"/>
      <c r="F381"/>
      <c r="G381"/>
      <c r="H381"/>
      <c r="I381"/>
      <c r="J381"/>
      <c r="K381"/>
      <c r="L381"/>
      <c r="M381"/>
      <c r="N381"/>
      <c r="O381"/>
      <c r="P381" s="36"/>
      <c r="Q381" s="37"/>
      <c r="R381"/>
      <c r="S381"/>
      <c r="T381"/>
      <c r="U381"/>
      <c r="V381" s="39"/>
      <c r="W381"/>
      <c r="X381"/>
      <c r="Y381"/>
      <c r="Z381"/>
      <c r="AA381"/>
    </row>
    <row r="382" spans="1:27" x14ac:dyDescent="0.25">
      <c r="A382"/>
      <c r="B382" s="36"/>
      <c r="C382" s="36"/>
      <c r="D382"/>
      <c r="E382"/>
      <c r="F382"/>
      <c r="G382"/>
      <c r="H382"/>
      <c r="I382"/>
      <c r="J382"/>
      <c r="K382"/>
      <c r="L382"/>
      <c r="M382"/>
      <c r="N382"/>
      <c r="O382"/>
      <c r="P382" s="36"/>
      <c r="Q382" s="37"/>
      <c r="R382"/>
      <c r="S382"/>
      <c r="T382"/>
      <c r="U382"/>
      <c r="V382" s="39"/>
      <c r="W382"/>
      <c r="X382"/>
      <c r="Y382"/>
      <c r="Z382"/>
      <c r="AA382"/>
    </row>
    <row r="383" spans="1:27" x14ac:dyDescent="0.25">
      <c r="A383"/>
      <c r="B383" s="36"/>
      <c r="C383" s="36"/>
      <c r="D383"/>
      <c r="E383"/>
      <c r="F383"/>
      <c r="G383"/>
      <c r="H383"/>
      <c r="I383"/>
      <c r="J383"/>
      <c r="K383"/>
      <c r="L383"/>
      <c r="M383"/>
      <c r="N383"/>
      <c r="O383"/>
      <c r="P383" s="36"/>
      <c r="Q383" s="37"/>
      <c r="R383"/>
      <c r="S383"/>
      <c r="T383"/>
      <c r="U383"/>
      <c r="V383" s="39"/>
      <c r="W383"/>
      <c r="X383"/>
      <c r="Y383"/>
      <c r="Z383"/>
      <c r="AA383"/>
    </row>
    <row r="384" spans="1:27" x14ac:dyDescent="0.25">
      <c r="A384"/>
      <c r="B384" s="36"/>
      <c r="C384" s="36"/>
      <c r="D384"/>
      <c r="E384"/>
      <c r="F384"/>
      <c r="G384"/>
      <c r="H384"/>
      <c r="I384"/>
      <c r="J384"/>
      <c r="K384"/>
      <c r="L384"/>
      <c r="M384"/>
      <c r="N384"/>
      <c r="O384"/>
      <c r="P384" s="36"/>
      <c r="Q384" s="37"/>
      <c r="R384"/>
      <c r="S384"/>
      <c r="T384"/>
      <c r="U384"/>
      <c r="V384" s="39"/>
      <c r="W384"/>
      <c r="X384"/>
      <c r="Y384"/>
      <c r="Z384"/>
      <c r="AA384"/>
    </row>
    <row r="385" spans="1:27" x14ac:dyDescent="0.25">
      <c r="A385"/>
      <c r="B385" s="36"/>
      <c r="C385" s="36"/>
      <c r="D385"/>
      <c r="E385"/>
      <c r="F385"/>
      <c r="G385"/>
      <c r="H385"/>
      <c r="I385"/>
      <c r="J385"/>
      <c r="K385"/>
      <c r="L385"/>
      <c r="M385"/>
      <c r="N385"/>
      <c r="O385"/>
      <c r="P385" s="36"/>
      <c r="Q385" s="37"/>
      <c r="R385"/>
      <c r="S385"/>
      <c r="T385"/>
      <c r="U385"/>
      <c r="V385" s="39"/>
      <c r="W385"/>
      <c r="X385"/>
      <c r="Y385"/>
      <c r="Z385"/>
      <c r="AA385"/>
    </row>
    <row r="386" spans="1:27" x14ac:dyDescent="0.25">
      <c r="A386"/>
      <c r="B386" s="36"/>
      <c r="C386" s="36"/>
      <c r="D386"/>
      <c r="E386"/>
      <c r="F386"/>
      <c r="G386"/>
      <c r="H386"/>
      <c r="I386"/>
      <c r="J386"/>
      <c r="K386"/>
      <c r="L386"/>
      <c r="M386"/>
      <c r="N386"/>
      <c r="O386"/>
      <c r="P386" s="36"/>
      <c r="Q386" s="37"/>
      <c r="R386"/>
      <c r="S386"/>
      <c r="T386"/>
      <c r="U386"/>
      <c r="V386" s="39"/>
      <c r="W386"/>
      <c r="X386"/>
      <c r="Y386"/>
      <c r="Z386"/>
      <c r="AA386"/>
    </row>
    <row r="387" spans="1:27" x14ac:dyDescent="0.25">
      <c r="A387"/>
      <c r="B387" s="36"/>
      <c r="C387" s="36"/>
      <c r="D387"/>
      <c r="E387"/>
      <c r="F387"/>
      <c r="G387"/>
      <c r="H387"/>
      <c r="I387"/>
      <c r="J387"/>
      <c r="K387"/>
      <c r="L387"/>
      <c r="M387"/>
      <c r="N387"/>
      <c r="O387"/>
      <c r="P387" s="36"/>
      <c r="Q387" s="37"/>
      <c r="R387"/>
      <c r="S387"/>
      <c r="T387"/>
      <c r="U387"/>
      <c r="V387" s="39"/>
      <c r="W387"/>
      <c r="X387"/>
      <c r="Y387"/>
      <c r="Z387"/>
      <c r="AA387"/>
    </row>
    <row r="388" spans="1:27" x14ac:dyDescent="0.25">
      <c r="A388"/>
      <c r="B388" s="36"/>
      <c r="C388" s="36"/>
      <c r="D388"/>
      <c r="E388"/>
      <c r="F388"/>
      <c r="G388"/>
      <c r="H388"/>
      <c r="I388"/>
      <c r="J388"/>
      <c r="K388"/>
      <c r="L388"/>
      <c r="M388"/>
      <c r="N388"/>
      <c r="O388"/>
      <c r="P388" s="36"/>
      <c r="Q388" s="37"/>
      <c r="R388"/>
      <c r="S388"/>
      <c r="T388"/>
      <c r="U388"/>
      <c r="V388" s="39"/>
      <c r="W388"/>
      <c r="X388"/>
      <c r="Y388"/>
      <c r="Z388"/>
      <c r="AA388"/>
    </row>
    <row r="389" spans="1:27" x14ac:dyDescent="0.25">
      <c r="A389"/>
      <c r="B389" s="36"/>
      <c r="C389" s="36"/>
      <c r="D389"/>
      <c r="E389"/>
      <c r="F389"/>
      <c r="G389"/>
      <c r="H389"/>
      <c r="I389"/>
      <c r="J389"/>
      <c r="K389"/>
      <c r="L389"/>
      <c r="M389"/>
      <c r="N389"/>
      <c r="O389"/>
      <c r="P389" s="36"/>
      <c r="Q389" s="37"/>
      <c r="R389"/>
      <c r="S389"/>
      <c r="T389"/>
      <c r="U389"/>
      <c r="V389" s="39"/>
      <c r="W389"/>
      <c r="X389"/>
      <c r="Y389"/>
      <c r="Z389"/>
      <c r="AA389"/>
    </row>
    <row r="390" spans="1:27" x14ac:dyDescent="0.25">
      <c r="A390"/>
      <c r="B390" s="36"/>
      <c r="C390" s="36"/>
      <c r="D390"/>
      <c r="E390"/>
      <c r="F390"/>
      <c r="G390"/>
      <c r="H390"/>
      <c r="I390"/>
      <c r="J390"/>
      <c r="K390"/>
      <c r="L390"/>
      <c r="M390"/>
      <c r="N390"/>
      <c r="O390"/>
      <c r="P390" s="36"/>
      <c r="Q390" s="37"/>
      <c r="R390"/>
      <c r="S390"/>
      <c r="T390"/>
      <c r="U390"/>
      <c r="V390" s="39"/>
      <c r="W390"/>
      <c r="X390"/>
      <c r="Y390"/>
      <c r="Z390"/>
      <c r="AA390"/>
    </row>
    <row r="391" spans="1:27" x14ac:dyDescent="0.25">
      <c r="A391"/>
      <c r="B391" s="36"/>
      <c r="C391" s="36"/>
      <c r="D391"/>
      <c r="E391"/>
      <c r="F391"/>
      <c r="G391"/>
      <c r="H391"/>
      <c r="I391"/>
      <c r="J391"/>
      <c r="K391"/>
      <c r="L391"/>
      <c r="M391"/>
      <c r="N391"/>
      <c r="O391"/>
      <c r="P391" s="36"/>
      <c r="Q391" s="37"/>
      <c r="R391"/>
      <c r="S391"/>
      <c r="T391"/>
      <c r="U391"/>
      <c r="V391" s="39"/>
      <c r="W391"/>
      <c r="X391"/>
      <c r="Y391"/>
      <c r="Z391"/>
      <c r="AA391"/>
    </row>
    <row r="392" spans="1:27" x14ac:dyDescent="0.25">
      <c r="A392"/>
      <c r="B392" s="36"/>
      <c r="C392" s="36"/>
      <c r="D392"/>
      <c r="E392"/>
      <c r="F392"/>
      <c r="G392"/>
      <c r="H392"/>
      <c r="I392"/>
      <c r="J392"/>
      <c r="K392"/>
      <c r="L392"/>
      <c r="M392"/>
      <c r="N392"/>
      <c r="O392"/>
      <c r="P392" s="36"/>
      <c r="Q392" s="37"/>
      <c r="R392"/>
      <c r="S392"/>
      <c r="T392"/>
      <c r="U392"/>
      <c r="V392" s="39"/>
      <c r="W392"/>
      <c r="X392"/>
      <c r="Y392"/>
      <c r="Z392"/>
      <c r="AA392"/>
    </row>
    <row r="393" spans="1:27" x14ac:dyDescent="0.25">
      <c r="A393"/>
      <c r="B393" s="36"/>
      <c r="C393" s="36"/>
      <c r="D393"/>
      <c r="E393"/>
      <c r="F393"/>
      <c r="G393"/>
      <c r="H393"/>
      <c r="I393"/>
      <c r="J393"/>
      <c r="K393"/>
      <c r="L393"/>
      <c r="M393"/>
      <c r="N393"/>
      <c r="O393"/>
      <c r="P393" s="36"/>
      <c r="Q393" s="37"/>
      <c r="R393"/>
      <c r="S393"/>
      <c r="T393"/>
      <c r="U393"/>
      <c r="V393" s="39"/>
      <c r="W393"/>
      <c r="X393"/>
      <c r="Y393"/>
      <c r="Z393"/>
      <c r="AA393"/>
    </row>
    <row r="394" spans="1:27" x14ac:dyDescent="0.25">
      <c r="A394"/>
      <c r="B394" s="36"/>
      <c r="C394" s="36"/>
      <c r="D394"/>
      <c r="E394"/>
      <c r="F394"/>
      <c r="G394"/>
      <c r="H394"/>
      <c r="I394"/>
      <c r="J394"/>
      <c r="K394"/>
      <c r="L394"/>
      <c r="M394"/>
      <c r="N394"/>
      <c r="O394"/>
      <c r="P394" s="36"/>
      <c r="Q394" s="37"/>
      <c r="R394"/>
      <c r="S394"/>
      <c r="T394"/>
      <c r="U394"/>
      <c r="V394" s="39"/>
      <c r="W394"/>
      <c r="X394"/>
      <c r="Y394"/>
      <c r="Z394"/>
      <c r="AA394"/>
    </row>
    <row r="395" spans="1:27" x14ac:dyDescent="0.25">
      <c r="A395"/>
      <c r="B395" s="36"/>
      <c r="C395" s="36"/>
      <c r="D395"/>
      <c r="E395"/>
      <c r="F395"/>
      <c r="G395"/>
      <c r="H395"/>
      <c r="I395"/>
      <c r="J395"/>
      <c r="K395"/>
      <c r="L395"/>
      <c r="M395"/>
      <c r="N395"/>
      <c r="O395"/>
      <c r="P395" s="36"/>
      <c r="Q395" s="37"/>
      <c r="R395"/>
      <c r="S395"/>
      <c r="T395"/>
      <c r="U395"/>
      <c r="V395" s="39"/>
      <c r="W395"/>
      <c r="X395"/>
      <c r="Y395"/>
      <c r="Z395"/>
      <c r="AA395"/>
    </row>
    <row r="396" spans="1:27" x14ac:dyDescent="0.25">
      <c r="A396"/>
      <c r="B396" s="36"/>
      <c r="C396" s="36"/>
      <c r="D396"/>
      <c r="E396"/>
      <c r="F396"/>
      <c r="G396"/>
      <c r="H396"/>
      <c r="I396"/>
      <c r="J396"/>
      <c r="K396"/>
      <c r="L396"/>
      <c r="M396"/>
      <c r="N396"/>
      <c r="O396"/>
      <c r="P396" s="36"/>
      <c r="Q396" s="37"/>
      <c r="R396"/>
      <c r="S396"/>
      <c r="T396"/>
      <c r="U396"/>
      <c r="V396" s="39"/>
      <c r="W396"/>
      <c r="X396"/>
      <c r="Y396"/>
      <c r="Z396"/>
      <c r="AA396"/>
    </row>
    <row r="397" spans="1:27" x14ac:dyDescent="0.25">
      <c r="A397"/>
      <c r="B397" s="36"/>
      <c r="C397" s="36"/>
      <c r="D397"/>
      <c r="E397"/>
      <c r="F397"/>
      <c r="G397"/>
      <c r="H397"/>
      <c r="I397"/>
      <c r="J397"/>
      <c r="K397"/>
      <c r="L397"/>
      <c r="M397"/>
      <c r="N397"/>
      <c r="O397"/>
      <c r="P397" s="36"/>
      <c r="Q397" s="37"/>
      <c r="R397" s="44"/>
      <c r="S397"/>
      <c r="T397"/>
      <c r="U397"/>
      <c r="V397" s="39"/>
      <c r="W397"/>
      <c r="X397"/>
      <c r="Y397"/>
      <c r="Z397"/>
      <c r="AA397"/>
    </row>
    <row r="398" spans="1:27" x14ac:dyDescent="0.25">
      <c r="A398"/>
      <c r="B398" s="36"/>
      <c r="C398" s="36"/>
      <c r="D398"/>
      <c r="E398"/>
      <c r="F398"/>
      <c r="G398"/>
      <c r="H398"/>
      <c r="I398"/>
      <c r="J398"/>
      <c r="K398"/>
      <c r="L398"/>
      <c r="M398"/>
      <c r="N398"/>
      <c r="O398"/>
      <c r="P398" s="36"/>
      <c r="Q398" s="37"/>
      <c r="R398"/>
      <c r="S398"/>
      <c r="T398"/>
      <c r="U398"/>
      <c r="V398" s="39"/>
      <c r="W398"/>
      <c r="X398"/>
      <c r="Y398"/>
      <c r="Z398"/>
      <c r="AA398"/>
    </row>
    <row r="399" spans="1:27" x14ac:dyDescent="0.25">
      <c r="A399"/>
      <c r="B399" s="36"/>
      <c r="C399" s="36"/>
      <c r="D399"/>
      <c r="E399"/>
      <c r="F399"/>
      <c r="G399"/>
      <c r="H399"/>
      <c r="I399"/>
      <c r="J399"/>
      <c r="K399"/>
      <c r="L399"/>
      <c r="M399"/>
      <c r="N399"/>
      <c r="O399"/>
      <c r="P399" s="36"/>
      <c r="Q399" s="37"/>
      <c r="R399"/>
      <c r="S399"/>
      <c r="T399"/>
      <c r="U399"/>
      <c r="V399" s="39"/>
      <c r="W399"/>
      <c r="X399"/>
      <c r="Y399"/>
      <c r="Z399"/>
      <c r="AA399"/>
    </row>
    <row r="400" spans="1:27" x14ac:dyDescent="0.25">
      <c r="A400"/>
      <c r="B400" s="36"/>
      <c r="C400" s="36"/>
      <c r="D400"/>
      <c r="E400"/>
      <c r="F400"/>
      <c r="G400"/>
      <c r="H400"/>
      <c r="I400"/>
      <c r="J400"/>
      <c r="K400"/>
      <c r="L400"/>
      <c r="M400"/>
      <c r="N400"/>
      <c r="O400"/>
      <c r="P400" s="36"/>
      <c r="Q400" s="37"/>
      <c r="R400"/>
      <c r="S400"/>
      <c r="T400"/>
      <c r="U400"/>
      <c r="V400" s="39"/>
      <c r="W400"/>
      <c r="X400"/>
      <c r="Y400"/>
      <c r="Z400"/>
      <c r="AA400"/>
    </row>
    <row r="401" spans="1:27" x14ac:dyDescent="0.25">
      <c r="A401"/>
      <c r="B401" s="36"/>
      <c r="C401" s="36"/>
      <c r="D401"/>
      <c r="E401"/>
      <c r="F401"/>
      <c r="G401"/>
      <c r="H401"/>
      <c r="I401"/>
      <c r="J401"/>
      <c r="K401"/>
      <c r="L401"/>
      <c r="M401"/>
      <c r="N401"/>
      <c r="O401"/>
      <c r="P401" s="36"/>
      <c r="Q401" s="37"/>
      <c r="R401"/>
      <c r="S401"/>
      <c r="T401"/>
      <c r="U401"/>
      <c r="V401" s="39"/>
      <c r="W401"/>
      <c r="X401"/>
      <c r="Y401"/>
      <c r="Z401"/>
      <c r="AA401"/>
    </row>
    <row r="402" spans="1:27" x14ac:dyDescent="0.25">
      <c r="A402"/>
      <c r="B402" s="36"/>
      <c r="C402" s="36"/>
      <c r="D402"/>
      <c r="E402"/>
      <c r="F402"/>
      <c r="G402"/>
      <c r="H402"/>
      <c r="I402"/>
      <c r="J402"/>
      <c r="K402"/>
      <c r="L402"/>
      <c r="M402"/>
      <c r="N402"/>
      <c r="O402"/>
      <c r="P402" s="36"/>
      <c r="Q402" s="37"/>
      <c r="R402"/>
      <c r="S402"/>
      <c r="T402"/>
      <c r="U402"/>
      <c r="V402" s="39"/>
      <c r="W402"/>
      <c r="X402"/>
      <c r="Y402"/>
      <c r="Z402"/>
      <c r="AA402"/>
    </row>
    <row r="403" spans="1:27" x14ac:dyDescent="0.25">
      <c r="A403"/>
      <c r="B403" s="36"/>
      <c r="C403" s="36"/>
      <c r="D403"/>
      <c r="E403"/>
      <c r="F403"/>
      <c r="G403"/>
      <c r="H403"/>
      <c r="I403"/>
      <c r="J403"/>
      <c r="K403"/>
      <c r="L403"/>
      <c r="M403"/>
      <c r="N403"/>
      <c r="O403"/>
      <c r="P403" s="36"/>
      <c r="Q403" s="37"/>
      <c r="R403"/>
      <c r="S403"/>
      <c r="T403"/>
      <c r="U403"/>
      <c r="V403" s="39"/>
      <c r="W403"/>
      <c r="X403"/>
      <c r="Y403"/>
      <c r="Z403"/>
      <c r="AA403"/>
    </row>
    <row r="404" spans="1:27" x14ac:dyDescent="0.25">
      <c r="A404"/>
      <c r="B404" s="36"/>
      <c r="C404" s="36"/>
      <c r="D404"/>
      <c r="E404"/>
      <c r="F404"/>
      <c r="G404"/>
      <c r="H404"/>
      <c r="I404"/>
      <c r="J404"/>
      <c r="K404"/>
      <c r="L404"/>
      <c r="M404"/>
      <c r="N404"/>
      <c r="O404"/>
      <c r="P404" s="36"/>
      <c r="Q404" s="37"/>
      <c r="R404"/>
      <c r="S404"/>
      <c r="T404"/>
      <c r="U404"/>
      <c r="V404" s="39"/>
      <c r="W404"/>
      <c r="X404"/>
      <c r="Y404"/>
      <c r="Z404"/>
      <c r="AA404"/>
    </row>
    <row r="405" spans="1:27" x14ac:dyDescent="0.25">
      <c r="A405"/>
      <c r="B405" s="36"/>
      <c r="C405" s="36"/>
      <c r="D405"/>
      <c r="E405"/>
      <c r="F405"/>
      <c r="G405"/>
      <c r="H405"/>
      <c r="I405"/>
      <c r="J405"/>
      <c r="K405"/>
      <c r="L405"/>
      <c r="M405"/>
      <c r="N405"/>
      <c r="O405"/>
      <c r="P405" s="36"/>
      <c r="Q405" s="37"/>
      <c r="R405"/>
      <c r="S405"/>
      <c r="T405"/>
      <c r="U405"/>
      <c r="V405" s="39"/>
      <c r="W405"/>
      <c r="X405"/>
      <c r="Y405"/>
      <c r="Z405"/>
      <c r="AA405"/>
    </row>
    <row r="406" spans="1:27" x14ac:dyDescent="0.25">
      <c r="A406"/>
      <c r="B406" s="36"/>
      <c r="C406" s="36"/>
      <c r="D406"/>
      <c r="E406"/>
      <c r="F406"/>
      <c r="G406"/>
      <c r="H406"/>
      <c r="I406"/>
      <c r="J406"/>
      <c r="K406"/>
      <c r="L406"/>
      <c r="M406"/>
      <c r="N406"/>
      <c r="O406"/>
      <c r="P406" s="36"/>
      <c r="Q406" s="37"/>
      <c r="R406"/>
      <c r="S406"/>
      <c r="T406"/>
      <c r="U406"/>
      <c r="V406" s="39"/>
      <c r="W406"/>
      <c r="X406"/>
      <c r="Y406"/>
      <c r="Z406"/>
      <c r="AA406"/>
    </row>
    <row r="407" spans="1:27" x14ac:dyDescent="0.25">
      <c r="A407"/>
      <c r="B407" s="36"/>
      <c r="C407" s="36"/>
      <c r="D407"/>
      <c r="E407"/>
      <c r="F407"/>
      <c r="G407"/>
      <c r="H407"/>
      <c r="I407"/>
      <c r="J407"/>
      <c r="K407"/>
      <c r="L407"/>
      <c r="M407"/>
      <c r="N407"/>
      <c r="O407"/>
      <c r="P407" s="36"/>
      <c r="Q407" s="37"/>
      <c r="R407"/>
      <c r="S407"/>
      <c r="T407"/>
      <c r="U407"/>
      <c r="V407" s="39"/>
      <c r="W407"/>
      <c r="X407"/>
      <c r="Y407"/>
      <c r="Z407"/>
      <c r="AA407"/>
    </row>
    <row r="408" spans="1:27" x14ac:dyDescent="0.25">
      <c r="A408"/>
      <c r="B408" s="36"/>
      <c r="C408" s="36"/>
      <c r="D408"/>
      <c r="E408"/>
      <c r="F408"/>
      <c r="G408"/>
      <c r="H408"/>
      <c r="I408"/>
      <c r="J408"/>
      <c r="K408"/>
      <c r="L408"/>
      <c r="M408"/>
      <c r="N408"/>
      <c r="O408"/>
      <c r="P408" s="36"/>
      <c r="Q408" s="37"/>
      <c r="R408"/>
      <c r="S408"/>
      <c r="T408"/>
      <c r="U408"/>
      <c r="V408" s="39"/>
      <c r="W408"/>
      <c r="X408"/>
      <c r="Y408"/>
      <c r="Z408"/>
      <c r="AA408"/>
    </row>
    <row r="409" spans="1:27" x14ac:dyDescent="0.25">
      <c r="A409"/>
      <c r="B409" s="36"/>
      <c r="C409" s="36"/>
      <c r="D409"/>
      <c r="E409"/>
      <c r="F409"/>
      <c r="G409"/>
      <c r="H409"/>
      <c r="I409"/>
      <c r="J409"/>
      <c r="K409"/>
      <c r="L409"/>
      <c r="M409"/>
      <c r="N409"/>
      <c r="O409"/>
      <c r="P409" s="36"/>
      <c r="Q409" s="37"/>
      <c r="R409"/>
      <c r="S409"/>
      <c r="T409"/>
      <c r="U409"/>
      <c r="V409" s="39"/>
      <c r="W409"/>
      <c r="X409"/>
      <c r="Y409"/>
      <c r="Z409"/>
      <c r="AA409"/>
    </row>
    <row r="410" spans="1:27" x14ac:dyDescent="0.25">
      <c r="A410"/>
      <c r="B410" s="36"/>
      <c r="C410" s="36"/>
      <c r="D410"/>
      <c r="E410"/>
      <c r="F410"/>
      <c r="G410"/>
      <c r="H410"/>
      <c r="I410"/>
      <c r="J410"/>
      <c r="K410"/>
      <c r="L410"/>
      <c r="M410"/>
      <c r="N410"/>
      <c r="O410"/>
      <c r="P410" s="36"/>
      <c r="Q410" s="37"/>
      <c r="R410"/>
      <c r="S410"/>
      <c r="T410"/>
      <c r="U410"/>
      <c r="V410" s="39"/>
      <c r="W410"/>
      <c r="X410"/>
      <c r="Y410"/>
      <c r="Z410"/>
      <c r="AA410"/>
    </row>
    <row r="411" spans="1:27" x14ac:dyDescent="0.25">
      <c r="A411"/>
      <c r="B411" s="36"/>
      <c r="C411" s="36"/>
      <c r="D411"/>
      <c r="E411"/>
      <c r="F411"/>
      <c r="G411"/>
      <c r="H411"/>
      <c r="I411"/>
      <c r="J411"/>
      <c r="K411"/>
      <c r="L411"/>
      <c r="M411"/>
      <c r="N411"/>
      <c r="O411"/>
      <c r="P411" s="36"/>
      <c r="Q411" s="37"/>
      <c r="R411"/>
      <c r="S411"/>
      <c r="T411"/>
      <c r="U411"/>
      <c r="V411" s="39"/>
      <c r="W411"/>
      <c r="X411"/>
      <c r="Y411"/>
      <c r="Z411"/>
      <c r="AA411"/>
    </row>
    <row r="412" spans="1:27" x14ac:dyDescent="0.25">
      <c r="A412"/>
      <c r="B412" s="36"/>
      <c r="C412" s="36"/>
      <c r="D412"/>
      <c r="E412"/>
      <c r="F412"/>
      <c r="G412"/>
      <c r="H412"/>
      <c r="I412"/>
      <c r="J412"/>
      <c r="K412"/>
      <c r="L412"/>
      <c r="M412"/>
      <c r="N412"/>
      <c r="O412"/>
      <c r="P412" s="36"/>
      <c r="Q412" s="37"/>
      <c r="R412"/>
      <c r="S412"/>
      <c r="T412"/>
      <c r="U412"/>
      <c r="V412" s="39"/>
      <c r="W412"/>
      <c r="X412"/>
      <c r="Y412"/>
      <c r="Z412"/>
      <c r="AA412"/>
    </row>
    <row r="413" spans="1:27" x14ac:dyDescent="0.25">
      <c r="A413"/>
      <c r="B413" s="36"/>
      <c r="C413" s="36"/>
      <c r="D413"/>
      <c r="E413"/>
      <c r="F413"/>
      <c r="G413"/>
      <c r="H413"/>
      <c r="I413"/>
      <c r="J413"/>
      <c r="K413"/>
      <c r="L413"/>
      <c r="M413"/>
      <c r="N413"/>
      <c r="O413"/>
      <c r="P413" s="36"/>
      <c r="Q413" s="37"/>
      <c r="R413"/>
      <c r="S413"/>
      <c r="T413"/>
      <c r="U413"/>
      <c r="V413" s="39"/>
      <c r="W413"/>
      <c r="X413"/>
      <c r="Y413"/>
      <c r="Z413"/>
      <c r="AA413"/>
    </row>
    <row r="414" spans="1:27" x14ac:dyDescent="0.25">
      <c r="A414"/>
      <c r="B414" s="36"/>
      <c r="C414" s="36"/>
      <c r="D414"/>
      <c r="E414"/>
      <c r="F414"/>
      <c r="G414"/>
      <c r="H414"/>
      <c r="I414"/>
      <c r="J414"/>
      <c r="K414"/>
      <c r="L414"/>
      <c r="M414"/>
      <c r="N414"/>
      <c r="O414"/>
      <c r="P414" s="36"/>
      <c r="Q414" s="37"/>
      <c r="R414"/>
      <c r="S414"/>
      <c r="T414"/>
      <c r="U414"/>
      <c r="V414" s="39"/>
      <c r="W414"/>
      <c r="X414"/>
      <c r="Y414"/>
      <c r="Z414"/>
      <c r="AA414"/>
    </row>
    <row r="415" spans="1:27" x14ac:dyDescent="0.25">
      <c r="A415"/>
      <c r="B415" s="36"/>
      <c r="C415" s="36"/>
      <c r="D415"/>
      <c r="E415"/>
      <c r="F415"/>
      <c r="G415"/>
      <c r="H415"/>
      <c r="I415"/>
      <c r="J415"/>
      <c r="K415"/>
      <c r="L415"/>
      <c r="M415"/>
      <c r="N415"/>
      <c r="O415"/>
      <c r="P415" s="36"/>
      <c r="Q415" s="37"/>
      <c r="R415"/>
      <c r="S415"/>
      <c r="T415"/>
      <c r="U415"/>
      <c r="V415" s="39"/>
      <c r="W415"/>
      <c r="X415"/>
      <c r="Y415"/>
      <c r="Z415"/>
      <c r="AA415"/>
    </row>
    <row r="416" spans="1:27" x14ac:dyDescent="0.25">
      <c r="A416"/>
      <c r="B416" s="36"/>
      <c r="C416" s="36"/>
      <c r="D416"/>
      <c r="E416"/>
      <c r="F416"/>
      <c r="G416"/>
      <c r="H416"/>
      <c r="I416"/>
      <c r="J416"/>
      <c r="K416"/>
      <c r="L416"/>
      <c r="M416"/>
      <c r="N416"/>
      <c r="O416"/>
      <c r="P416" s="36"/>
      <c r="Q416" s="37"/>
      <c r="R416"/>
      <c r="S416"/>
      <c r="T416"/>
      <c r="U416"/>
      <c r="V416" s="39"/>
      <c r="W416"/>
      <c r="X416"/>
      <c r="Y416"/>
      <c r="Z416"/>
      <c r="AA416"/>
    </row>
    <row r="417" spans="1:27" x14ac:dyDescent="0.25">
      <c r="A417"/>
      <c r="B417" s="36"/>
      <c r="C417" s="36"/>
      <c r="D417"/>
      <c r="E417"/>
      <c r="F417"/>
      <c r="G417"/>
      <c r="H417"/>
      <c r="I417"/>
      <c r="J417"/>
      <c r="K417"/>
      <c r="L417"/>
      <c r="M417"/>
      <c r="N417"/>
      <c r="O417"/>
      <c r="P417" s="36"/>
      <c r="Q417" s="37"/>
      <c r="R417"/>
      <c r="S417"/>
      <c r="T417"/>
      <c r="U417"/>
      <c r="V417" s="39"/>
      <c r="W417"/>
      <c r="X417"/>
      <c r="Y417"/>
      <c r="Z417"/>
      <c r="AA417"/>
    </row>
    <row r="418" spans="1:27" x14ac:dyDescent="0.25">
      <c r="A418"/>
      <c r="B418" s="36"/>
      <c r="C418" s="36"/>
      <c r="D418"/>
      <c r="E418"/>
      <c r="F418"/>
      <c r="G418"/>
      <c r="H418"/>
      <c r="I418"/>
      <c r="J418"/>
      <c r="K418"/>
      <c r="L418"/>
      <c r="M418"/>
      <c r="N418"/>
      <c r="O418"/>
      <c r="P418" s="36"/>
      <c r="Q418" s="37"/>
      <c r="R418" s="44"/>
      <c r="S418"/>
      <c r="T418"/>
      <c r="U418"/>
      <c r="V418" s="39"/>
      <c r="W418"/>
      <c r="X418"/>
      <c r="Y418"/>
      <c r="Z418"/>
      <c r="AA418"/>
    </row>
    <row r="419" spans="1:27" x14ac:dyDescent="0.25">
      <c r="A419"/>
      <c r="B419" s="36"/>
      <c r="C419" s="36"/>
      <c r="D419"/>
      <c r="E419"/>
      <c r="F419"/>
      <c r="G419"/>
      <c r="H419"/>
      <c r="I419"/>
      <c r="J419"/>
      <c r="K419"/>
      <c r="L419"/>
      <c r="M419"/>
      <c r="N419"/>
      <c r="O419"/>
      <c r="P419" s="36"/>
      <c r="Q419" s="37"/>
      <c r="R419"/>
      <c r="S419"/>
      <c r="T419"/>
      <c r="U419"/>
      <c r="V419" s="39"/>
      <c r="W419"/>
      <c r="X419"/>
      <c r="Y419"/>
      <c r="Z419"/>
      <c r="AA419"/>
    </row>
    <row r="420" spans="1:27" x14ac:dyDescent="0.25">
      <c r="A420"/>
      <c r="B420" s="36"/>
      <c r="C420" s="36"/>
      <c r="D420"/>
      <c r="E420"/>
      <c r="F420"/>
      <c r="G420"/>
      <c r="H420"/>
      <c r="I420"/>
      <c r="J420"/>
      <c r="K420"/>
      <c r="L420"/>
      <c r="M420"/>
      <c r="N420"/>
      <c r="O420"/>
      <c r="P420" s="36"/>
      <c r="Q420" s="37"/>
      <c r="R420"/>
      <c r="S420"/>
      <c r="T420"/>
      <c r="U420"/>
      <c r="V420" s="39"/>
      <c r="W420"/>
      <c r="X420"/>
      <c r="Y420"/>
      <c r="Z420"/>
      <c r="AA420"/>
    </row>
    <row r="421" spans="1:27" x14ac:dyDescent="0.25">
      <c r="A421"/>
      <c r="B421" s="36"/>
      <c r="C421" s="36"/>
      <c r="D421"/>
      <c r="E421"/>
      <c r="F421"/>
      <c r="G421"/>
      <c r="H421"/>
      <c r="I421"/>
      <c r="J421"/>
      <c r="K421"/>
      <c r="L421"/>
      <c r="M421"/>
      <c r="N421"/>
      <c r="O421"/>
      <c r="P421" s="36"/>
      <c r="Q421" s="37"/>
      <c r="R421"/>
      <c r="S421"/>
      <c r="T421"/>
      <c r="U421"/>
      <c r="V421" s="39"/>
      <c r="W421"/>
      <c r="X421"/>
      <c r="Y421"/>
      <c r="Z421"/>
      <c r="AA421"/>
    </row>
    <row r="422" spans="1:27" x14ac:dyDescent="0.25">
      <c r="A422"/>
      <c r="B422" s="36"/>
      <c r="C422" s="36"/>
      <c r="D422"/>
      <c r="E422"/>
      <c r="F422"/>
      <c r="G422"/>
      <c r="H422"/>
      <c r="I422"/>
      <c r="J422"/>
      <c r="K422"/>
      <c r="L422"/>
      <c r="M422"/>
      <c r="N422"/>
      <c r="O422"/>
      <c r="P422" s="36"/>
      <c r="Q422" s="37"/>
      <c r="R422"/>
      <c r="S422"/>
      <c r="T422"/>
      <c r="U422"/>
      <c r="V422" s="39"/>
      <c r="W422"/>
      <c r="X422"/>
      <c r="Y422"/>
      <c r="Z422"/>
      <c r="AA422"/>
    </row>
    <row r="423" spans="1:27" x14ac:dyDescent="0.25">
      <c r="A423"/>
      <c r="B423" s="36"/>
      <c r="C423" s="36"/>
      <c r="D423"/>
      <c r="E423"/>
      <c r="F423"/>
      <c r="G423"/>
      <c r="H423"/>
      <c r="I423"/>
      <c r="J423"/>
      <c r="K423"/>
      <c r="L423"/>
      <c r="M423"/>
      <c r="N423"/>
      <c r="O423"/>
      <c r="P423" s="36"/>
      <c r="Q423" s="37"/>
      <c r="R423"/>
      <c r="S423"/>
      <c r="T423"/>
      <c r="U423"/>
      <c r="V423" s="39"/>
      <c r="W423"/>
      <c r="X423"/>
      <c r="Y423"/>
      <c r="Z423"/>
      <c r="AA423"/>
    </row>
    <row r="424" spans="1:27" x14ac:dyDescent="0.25">
      <c r="A424"/>
      <c r="B424" s="36"/>
      <c r="C424" s="36"/>
      <c r="D424"/>
      <c r="E424"/>
      <c r="F424"/>
      <c r="G424"/>
      <c r="H424"/>
      <c r="I424"/>
      <c r="J424"/>
      <c r="K424"/>
      <c r="L424"/>
      <c r="M424"/>
      <c r="N424"/>
      <c r="O424"/>
      <c r="P424" s="36"/>
      <c r="Q424" s="37"/>
      <c r="R424"/>
      <c r="S424"/>
      <c r="T424"/>
      <c r="U424"/>
      <c r="V424" s="39"/>
      <c r="W424"/>
      <c r="X424"/>
      <c r="Y424"/>
      <c r="Z424"/>
      <c r="AA424"/>
    </row>
    <row r="425" spans="1:27" x14ac:dyDescent="0.25">
      <c r="A425"/>
      <c r="B425" s="36"/>
      <c r="C425" s="36"/>
      <c r="D425"/>
      <c r="E425"/>
      <c r="F425"/>
      <c r="G425"/>
      <c r="H425"/>
      <c r="I425"/>
      <c r="J425"/>
      <c r="K425"/>
      <c r="L425"/>
      <c r="M425"/>
      <c r="N425"/>
      <c r="O425"/>
      <c r="P425" s="36"/>
      <c r="Q425" s="37"/>
      <c r="R425"/>
      <c r="S425"/>
      <c r="T425"/>
      <c r="U425"/>
      <c r="V425" s="39"/>
      <c r="W425"/>
      <c r="X425"/>
      <c r="Y425"/>
      <c r="Z425"/>
      <c r="AA425"/>
    </row>
    <row r="426" spans="1:27" x14ac:dyDescent="0.25">
      <c r="A426"/>
      <c r="B426" s="36"/>
      <c r="C426" s="36"/>
      <c r="D426"/>
      <c r="E426"/>
      <c r="F426"/>
      <c r="G426"/>
      <c r="H426"/>
      <c r="I426"/>
      <c r="J426"/>
      <c r="K426"/>
      <c r="L426"/>
      <c r="M426"/>
      <c r="N426"/>
      <c r="O426"/>
      <c r="P426" s="36"/>
      <c r="Q426" s="37"/>
      <c r="R426"/>
      <c r="S426"/>
      <c r="T426"/>
      <c r="U426"/>
      <c r="V426" s="39"/>
      <c r="W426"/>
      <c r="X426"/>
      <c r="Y426"/>
      <c r="Z426"/>
      <c r="AA426"/>
    </row>
    <row r="427" spans="1:27" x14ac:dyDescent="0.25">
      <c r="A427"/>
      <c r="B427" s="36"/>
      <c r="C427" s="36"/>
      <c r="D427"/>
      <c r="E427"/>
      <c r="F427"/>
      <c r="G427"/>
      <c r="H427"/>
      <c r="I427"/>
      <c r="J427"/>
      <c r="K427"/>
      <c r="L427"/>
      <c r="M427"/>
      <c r="N427"/>
      <c r="O427"/>
      <c r="P427" s="36"/>
      <c r="Q427" s="37"/>
      <c r="R427"/>
      <c r="S427"/>
      <c r="T427"/>
      <c r="U427"/>
      <c r="V427" s="39"/>
      <c r="W427"/>
      <c r="X427"/>
      <c r="Y427"/>
      <c r="Z427"/>
      <c r="AA427"/>
    </row>
    <row r="428" spans="1:27" x14ac:dyDescent="0.25">
      <c r="A428"/>
      <c r="B428" s="36"/>
      <c r="C428" s="36"/>
      <c r="D428"/>
      <c r="E428"/>
      <c r="F428"/>
      <c r="G428"/>
      <c r="H428"/>
      <c r="I428"/>
      <c r="J428"/>
      <c r="K428"/>
      <c r="L428"/>
      <c r="M428"/>
      <c r="N428"/>
      <c r="O428"/>
      <c r="P428" s="36"/>
      <c r="Q428" s="37"/>
      <c r="R428"/>
      <c r="S428"/>
      <c r="T428"/>
      <c r="U428"/>
      <c r="V428" s="39"/>
      <c r="W428"/>
      <c r="X428"/>
      <c r="Y428"/>
      <c r="Z428"/>
      <c r="AA428"/>
    </row>
    <row r="429" spans="1:27" x14ac:dyDescent="0.25">
      <c r="A429"/>
      <c r="B429" s="36"/>
      <c r="C429" s="36"/>
      <c r="D429"/>
      <c r="E429"/>
      <c r="F429"/>
      <c r="G429"/>
      <c r="H429"/>
      <c r="I429"/>
      <c r="J429"/>
      <c r="K429"/>
      <c r="L429"/>
      <c r="M429"/>
      <c r="N429"/>
      <c r="O429"/>
      <c r="P429" s="36"/>
      <c r="Q429" s="37"/>
      <c r="R429"/>
      <c r="S429"/>
      <c r="T429"/>
      <c r="U429"/>
      <c r="V429" s="39"/>
      <c r="W429"/>
      <c r="X429"/>
      <c r="Y429"/>
      <c r="Z429"/>
      <c r="AA429"/>
    </row>
    <row r="430" spans="1:27" x14ac:dyDescent="0.25">
      <c r="A430"/>
      <c r="B430" s="36"/>
      <c r="C430" s="36"/>
      <c r="D430"/>
      <c r="E430"/>
      <c r="F430"/>
      <c r="G430"/>
      <c r="H430"/>
      <c r="I430"/>
      <c r="J430"/>
      <c r="K430"/>
      <c r="L430"/>
      <c r="M430"/>
      <c r="N430"/>
      <c r="O430"/>
      <c r="P430" s="36"/>
      <c r="Q430" s="37"/>
      <c r="R430"/>
      <c r="S430"/>
      <c r="T430"/>
      <c r="U430"/>
      <c r="V430" s="39"/>
      <c r="W430"/>
      <c r="X430"/>
      <c r="Y430"/>
      <c r="Z430"/>
      <c r="AA430"/>
    </row>
    <row r="431" spans="1:27" x14ac:dyDescent="0.25">
      <c r="A431"/>
      <c r="B431" s="36"/>
      <c r="C431" s="36"/>
      <c r="D431"/>
      <c r="E431"/>
      <c r="F431"/>
      <c r="G431"/>
      <c r="H431"/>
      <c r="I431"/>
      <c r="J431"/>
      <c r="K431"/>
      <c r="L431"/>
      <c r="M431"/>
      <c r="N431"/>
      <c r="O431"/>
      <c r="P431" s="36"/>
      <c r="Q431" s="37"/>
      <c r="R431"/>
      <c r="S431"/>
      <c r="T431"/>
      <c r="U431"/>
      <c r="V431" s="39"/>
      <c r="W431"/>
      <c r="X431"/>
      <c r="Y431"/>
      <c r="Z431"/>
      <c r="AA431"/>
    </row>
    <row r="432" spans="1:27" x14ac:dyDescent="0.25">
      <c r="A432"/>
      <c r="B432" s="36"/>
      <c r="C432" s="36"/>
      <c r="D432"/>
      <c r="E432"/>
      <c r="F432"/>
      <c r="G432"/>
      <c r="H432"/>
      <c r="I432"/>
      <c r="J432"/>
      <c r="K432"/>
      <c r="L432"/>
      <c r="M432"/>
      <c r="N432"/>
      <c r="O432"/>
      <c r="P432" s="36"/>
      <c r="Q432" s="37"/>
      <c r="R432"/>
      <c r="S432"/>
      <c r="T432"/>
      <c r="U432"/>
      <c r="V432" s="39"/>
      <c r="W432"/>
      <c r="X432"/>
      <c r="Y432"/>
      <c r="Z432"/>
      <c r="AA432"/>
    </row>
    <row r="433" spans="1:27" x14ac:dyDescent="0.25">
      <c r="A433"/>
      <c r="B433" s="36"/>
      <c r="C433" s="36"/>
      <c r="D433"/>
      <c r="E433"/>
      <c r="F433"/>
      <c r="G433"/>
      <c r="H433"/>
      <c r="I433"/>
      <c r="J433"/>
      <c r="K433"/>
      <c r="L433"/>
      <c r="M433"/>
      <c r="N433"/>
      <c r="O433"/>
      <c r="P433" s="36"/>
      <c r="Q433" s="37"/>
      <c r="R433"/>
      <c r="S433"/>
      <c r="T433"/>
      <c r="U433"/>
      <c r="V433" s="39"/>
      <c r="W433"/>
      <c r="X433"/>
      <c r="Y433"/>
      <c r="Z433"/>
      <c r="AA433"/>
    </row>
    <row r="434" spans="1:27" x14ac:dyDescent="0.25">
      <c r="A434"/>
      <c r="B434" s="36"/>
      <c r="C434" s="36"/>
      <c r="D434"/>
      <c r="E434"/>
      <c r="F434"/>
      <c r="G434"/>
      <c r="H434"/>
      <c r="I434"/>
      <c r="J434"/>
      <c r="K434"/>
      <c r="L434"/>
      <c r="M434"/>
      <c r="N434"/>
      <c r="O434"/>
      <c r="P434" s="36"/>
      <c r="Q434" s="37"/>
      <c r="R434"/>
      <c r="S434"/>
      <c r="T434"/>
      <c r="U434"/>
      <c r="V434" s="39"/>
      <c r="W434"/>
      <c r="X434"/>
      <c r="Y434"/>
      <c r="Z434"/>
      <c r="AA434"/>
    </row>
    <row r="435" spans="1:27" x14ac:dyDescent="0.25">
      <c r="A435"/>
      <c r="B435" s="36"/>
      <c r="C435" s="36"/>
      <c r="D435"/>
      <c r="E435"/>
      <c r="F435"/>
      <c r="G435"/>
      <c r="H435"/>
      <c r="I435"/>
      <c r="J435"/>
      <c r="K435"/>
      <c r="L435"/>
      <c r="M435"/>
      <c r="N435"/>
      <c r="O435"/>
      <c r="P435" s="36"/>
      <c r="Q435" s="37"/>
      <c r="R435"/>
      <c r="S435"/>
      <c r="T435"/>
      <c r="U435"/>
      <c r="V435" s="39"/>
      <c r="W435"/>
      <c r="X435"/>
      <c r="Y435"/>
      <c r="Z435"/>
      <c r="AA435"/>
    </row>
    <row r="436" spans="1:27" x14ac:dyDescent="0.25">
      <c r="A436"/>
      <c r="B436" s="36"/>
      <c r="C436" s="36"/>
      <c r="D436"/>
      <c r="E436"/>
      <c r="F436"/>
      <c r="G436"/>
      <c r="H436"/>
      <c r="I436"/>
      <c r="J436"/>
      <c r="K436"/>
      <c r="L436"/>
      <c r="M436"/>
      <c r="N436"/>
      <c r="O436"/>
      <c r="P436" s="36"/>
      <c r="Q436" s="37"/>
      <c r="R436"/>
      <c r="S436"/>
      <c r="T436"/>
      <c r="U436"/>
      <c r="V436" s="39"/>
      <c r="W436"/>
      <c r="X436"/>
      <c r="Y436"/>
      <c r="Z436"/>
      <c r="AA436"/>
    </row>
    <row r="437" spans="1:27" x14ac:dyDescent="0.25">
      <c r="A437"/>
      <c r="B437" s="36"/>
      <c r="C437" s="36"/>
      <c r="D437"/>
      <c r="E437"/>
      <c r="F437"/>
      <c r="G437"/>
      <c r="H437"/>
      <c r="I437"/>
      <c r="J437"/>
      <c r="K437"/>
      <c r="L437"/>
      <c r="M437"/>
      <c r="N437"/>
      <c r="O437"/>
      <c r="P437" s="36"/>
      <c r="Q437" s="37"/>
      <c r="R437"/>
      <c r="S437"/>
      <c r="T437"/>
      <c r="U437"/>
      <c r="V437" s="39"/>
      <c r="W437"/>
      <c r="X437"/>
      <c r="Y437"/>
      <c r="Z437"/>
      <c r="AA437"/>
    </row>
    <row r="438" spans="1:27" x14ac:dyDescent="0.25">
      <c r="A438"/>
      <c r="B438" s="36"/>
      <c r="C438" s="36"/>
      <c r="D438"/>
      <c r="E438"/>
      <c r="F438"/>
      <c r="G438"/>
      <c r="H438"/>
      <c r="I438"/>
      <c r="J438"/>
      <c r="K438"/>
      <c r="L438"/>
      <c r="M438"/>
      <c r="N438"/>
      <c r="O438"/>
      <c r="P438" s="36"/>
      <c r="Q438" s="37"/>
      <c r="R438"/>
      <c r="S438"/>
      <c r="T438"/>
      <c r="U438"/>
      <c r="V438" s="39"/>
      <c r="W438"/>
      <c r="X438"/>
      <c r="Y438"/>
      <c r="Z438"/>
      <c r="AA438"/>
    </row>
    <row r="439" spans="1:27" x14ac:dyDescent="0.25">
      <c r="A439"/>
      <c r="B439" s="36"/>
      <c r="C439" s="36"/>
      <c r="D439"/>
      <c r="E439"/>
      <c r="F439"/>
      <c r="G439"/>
      <c r="H439"/>
      <c r="I439"/>
      <c r="J439"/>
      <c r="K439"/>
      <c r="L439"/>
      <c r="M439"/>
      <c r="N439"/>
      <c r="O439"/>
      <c r="P439" s="36"/>
      <c r="Q439" s="37"/>
      <c r="R439"/>
      <c r="S439"/>
      <c r="T439"/>
      <c r="U439"/>
      <c r="V439" s="39"/>
      <c r="W439"/>
      <c r="X439"/>
      <c r="Y439"/>
      <c r="Z439"/>
      <c r="AA439"/>
    </row>
    <row r="440" spans="1:27" x14ac:dyDescent="0.25">
      <c r="A440"/>
      <c r="B440" s="36"/>
      <c r="C440" s="36"/>
      <c r="D440"/>
      <c r="E440"/>
      <c r="F440"/>
      <c r="G440"/>
      <c r="H440"/>
      <c r="I440"/>
      <c r="J440"/>
      <c r="K440"/>
      <c r="L440"/>
      <c r="M440"/>
      <c r="N440"/>
      <c r="O440"/>
      <c r="P440" s="36"/>
      <c r="Q440" s="37"/>
      <c r="R440"/>
      <c r="S440"/>
      <c r="T440"/>
      <c r="U440"/>
      <c r="V440" s="39"/>
      <c r="W440"/>
      <c r="X440"/>
      <c r="Y440"/>
      <c r="Z440"/>
      <c r="AA440"/>
    </row>
    <row r="441" spans="1:27" x14ac:dyDescent="0.25">
      <c r="A441"/>
      <c r="B441" s="36"/>
      <c r="C441" s="36"/>
      <c r="D441"/>
      <c r="E441"/>
      <c r="F441"/>
      <c r="G441"/>
      <c r="H441"/>
      <c r="I441"/>
      <c r="J441"/>
      <c r="K441"/>
      <c r="L441"/>
      <c r="M441"/>
      <c r="N441"/>
      <c r="O441"/>
      <c r="P441" s="36"/>
      <c r="Q441" s="37"/>
      <c r="R441"/>
      <c r="S441"/>
      <c r="T441"/>
      <c r="U441"/>
      <c r="V441" s="39"/>
      <c r="W441"/>
      <c r="X441"/>
      <c r="Y441"/>
      <c r="Z441"/>
      <c r="AA441"/>
    </row>
    <row r="442" spans="1:27" x14ac:dyDescent="0.25">
      <c r="A442"/>
      <c r="B442" s="36"/>
      <c r="C442" s="36"/>
      <c r="D442"/>
      <c r="E442"/>
      <c r="F442"/>
      <c r="G442"/>
      <c r="H442"/>
      <c r="I442"/>
      <c r="J442"/>
      <c r="K442"/>
      <c r="L442"/>
      <c r="M442"/>
      <c r="N442"/>
      <c r="O442"/>
      <c r="P442" s="36"/>
      <c r="Q442" s="37"/>
      <c r="R442"/>
      <c r="S442"/>
      <c r="T442"/>
      <c r="U442"/>
      <c r="V442" s="39"/>
      <c r="W442"/>
      <c r="X442"/>
      <c r="Y442"/>
      <c r="Z442"/>
      <c r="AA442"/>
    </row>
    <row r="443" spans="1:27" x14ac:dyDescent="0.25">
      <c r="A443"/>
      <c r="B443" s="36"/>
      <c r="C443" s="36"/>
      <c r="D443"/>
      <c r="E443"/>
      <c r="F443"/>
      <c r="G443"/>
      <c r="H443"/>
      <c r="I443"/>
      <c r="J443"/>
      <c r="K443"/>
      <c r="L443"/>
      <c r="M443"/>
      <c r="N443"/>
      <c r="O443"/>
      <c r="P443" s="36"/>
      <c r="Q443" s="37"/>
      <c r="R443"/>
      <c r="S443"/>
      <c r="T443"/>
      <c r="U443"/>
      <c r="V443" s="39"/>
      <c r="W443"/>
      <c r="X443"/>
      <c r="Y443"/>
      <c r="Z443"/>
      <c r="AA443"/>
    </row>
    <row r="444" spans="1:27" x14ac:dyDescent="0.25">
      <c r="A444"/>
      <c r="B444" s="36"/>
      <c r="C444" s="36"/>
      <c r="D444"/>
      <c r="E444"/>
      <c r="F444"/>
      <c r="G444"/>
      <c r="H444"/>
      <c r="I444"/>
      <c r="J444"/>
      <c r="K444"/>
      <c r="L444"/>
      <c r="M444"/>
      <c r="N444"/>
      <c r="O444"/>
      <c r="P444" s="36"/>
      <c r="Q444" s="37"/>
      <c r="R444"/>
      <c r="S444"/>
      <c r="T444"/>
      <c r="U444"/>
      <c r="V444" s="39"/>
      <c r="W444"/>
      <c r="X444"/>
      <c r="Y444"/>
      <c r="Z444"/>
      <c r="AA444"/>
    </row>
    <row r="445" spans="1:27" x14ac:dyDescent="0.25">
      <c r="A445"/>
      <c r="B445" s="36"/>
      <c r="C445" s="36"/>
      <c r="D445"/>
      <c r="E445"/>
      <c r="F445"/>
      <c r="G445"/>
      <c r="H445"/>
      <c r="I445"/>
      <c r="J445"/>
      <c r="K445"/>
      <c r="L445"/>
      <c r="M445"/>
      <c r="N445"/>
      <c r="O445"/>
      <c r="P445" s="36"/>
      <c r="Q445" s="37"/>
      <c r="R445"/>
      <c r="S445"/>
      <c r="T445"/>
      <c r="U445"/>
      <c r="V445" s="39"/>
      <c r="W445"/>
      <c r="X445"/>
      <c r="Y445"/>
      <c r="Z445"/>
      <c r="AA445"/>
    </row>
    <row r="446" spans="1:27" x14ac:dyDescent="0.25">
      <c r="A446"/>
      <c r="B446" s="36"/>
      <c r="C446" s="36"/>
      <c r="D446"/>
      <c r="E446"/>
      <c r="F446"/>
      <c r="G446"/>
      <c r="H446"/>
      <c r="I446"/>
      <c r="J446"/>
      <c r="K446"/>
      <c r="L446"/>
      <c r="M446"/>
      <c r="N446"/>
      <c r="O446"/>
      <c r="P446" s="36"/>
      <c r="Q446" s="37"/>
      <c r="R446"/>
      <c r="S446"/>
      <c r="T446"/>
      <c r="U446"/>
      <c r="V446" s="39"/>
      <c r="W446"/>
      <c r="X446"/>
      <c r="Y446"/>
      <c r="Z446"/>
      <c r="AA446"/>
    </row>
    <row r="447" spans="1:27" x14ac:dyDescent="0.25">
      <c r="A447"/>
      <c r="B447" s="36"/>
      <c r="C447" s="36"/>
      <c r="D447"/>
      <c r="E447"/>
      <c r="F447"/>
      <c r="G447"/>
      <c r="H447"/>
      <c r="I447"/>
      <c r="J447"/>
      <c r="K447"/>
      <c r="L447"/>
      <c r="M447"/>
      <c r="N447"/>
      <c r="O447"/>
      <c r="P447" s="36"/>
      <c r="Q447" s="37"/>
      <c r="R447"/>
      <c r="S447"/>
      <c r="T447"/>
      <c r="U447"/>
      <c r="V447" s="39"/>
      <c r="W447"/>
      <c r="X447"/>
      <c r="Y447"/>
      <c r="Z447"/>
      <c r="AA447"/>
    </row>
    <row r="448" spans="1:27" x14ac:dyDescent="0.25">
      <c r="A448"/>
      <c r="B448" s="36"/>
      <c r="C448" s="36"/>
      <c r="D448"/>
      <c r="E448"/>
      <c r="F448"/>
      <c r="G448"/>
      <c r="H448"/>
      <c r="I448"/>
      <c r="J448"/>
      <c r="K448"/>
      <c r="L448"/>
      <c r="M448"/>
      <c r="N448"/>
      <c r="O448"/>
      <c r="P448" s="36"/>
      <c r="Q448" s="37"/>
      <c r="R448"/>
      <c r="S448"/>
      <c r="T448"/>
      <c r="U448"/>
      <c r="V448" s="39"/>
      <c r="W448"/>
      <c r="X448"/>
      <c r="Y448"/>
      <c r="Z448"/>
      <c r="AA448"/>
    </row>
    <row r="449" spans="1:27" x14ac:dyDescent="0.25">
      <c r="A449"/>
      <c r="B449" s="36"/>
      <c r="C449" s="36"/>
      <c r="D449"/>
      <c r="E449"/>
      <c r="F449"/>
      <c r="G449"/>
      <c r="H449"/>
      <c r="I449"/>
      <c r="J449"/>
      <c r="K449"/>
      <c r="L449"/>
      <c r="M449"/>
      <c r="N449"/>
      <c r="O449"/>
      <c r="P449" s="36"/>
      <c r="Q449" s="37"/>
      <c r="R449"/>
      <c r="S449"/>
      <c r="T449"/>
      <c r="U449"/>
      <c r="V449" s="39"/>
      <c r="W449"/>
      <c r="X449"/>
      <c r="Y449"/>
      <c r="Z449"/>
      <c r="AA449"/>
    </row>
    <row r="450" spans="1:27" x14ac:dyDescent="0.25">
      <c r="A450"/>
      <c r="B450" s="36"/>
      <c r="C450" s="36"/>
      <c r="D450"/>
      <c r="E450"/>
      <c r="F450"/>
      <c r="G450"/>
      <c r="H450"/>
      <c r="I450"/>
      <c r="J450"/>
      <c r="K450"/>
      <c r="L450"/>
      <c r="M450"/>
      <c r="N450"/>
      <c r="O450"/>
      <c r="P450" s="36"/>
      <c r="Q450" s="37"/>
      <c r="R450"/>
      <c r="S450"/>
      <c r="T450"/>
      <c r="U450"/>
      <c r="V450" s="39"/>
      <c r="W450"/>
      <c r="X450"/>
      <c r="Y450"/>
      <c r="Z450"/>
      <c r="AA450"/>
    </row>
    <row r="451" spans="1:27" x14ac:dyDescent="0.25">
      <c r="A451"/>
      <c r="B451" s="36"/>
      <c r="C451" s="36"/>
      <c r="D451"/>
      <c r="E451"/>
      <c r="F451"/>
      <c r="G451"/>
      <c r="H451"/>
      <c r="I451"/>
      <c r="J451"/>
      <c r="K451"/>
      <c r="L451"/>
      <c r="M451"/>
      <c r="N451"/>
      <c r="O451"/>
      <c r="P451" s="36"/>
      <c r="Q451" s="37"/>
      <c r="R451"/>
      <c r="S451"/>
      <c r="T451"/>
      <c r="U451"/>
      <c r="V451" s="39"/>
      <c r="W451"/>
      <c r="X451"/>
      <c r="Y451"/>
      <c r="Z451"/>
      <c r="AA451"/>
    </row>
    <row r="452" spans="1:27" x14ac:dyDescent="0.25">
      <c r="A452"/>
      <c r="B452" s="36"/>
      <c r="C452" s="36"/>
      <c r="D452"/>
      <c r="E452"/>
      <c r="F452"/>
      <c r="G452"/>
      <c r="H452"/>
      <c r="I452"/>
      <c r="J452"/>
      <c r="K452"/>
      <c r="L452"/>
      <c r="M452"/>
      <c r="N452"/>
      <c r="O452"/>
      <c r="P452" s="36"/>
      <c r="Q452" s="37"/>
      <c r="R452"/>
      <c r="S452"/>
      <c r="T452"/>
      <c r="U452"/>
      <c r="V452" s="39"/>
      <c r="W452"/>
      <c r="X452"/>
      <c r="Y452"/>
      <c r="Z452"/>
      <c r="AA452"/>
    </row>
    <row r="453" spans="1:27" x14ac:dyDescent="0.25">
      <c r="A453"/>
      <c r="B453" s="36"/>
      <c r="C453" s="36"/>
      <c r="D453"/>
      <c r="E453"/>
      <c r="F453"/>
      <c r="G453"/>
      <c r="H453"/>
      <c r="I453"/>
      <c r="J453"/>
      <c r="K453"/>
      <c r="L453"/>
      <c r="M453"/>
      <c r="N453"/>
      <c r="O453"/>
      <c r="P453" s="36"/>
      <c r="Q453" s="37"/>
      <c r="R453"/>
      <c r="S453"/>
      <c r="T453"/>
      <c r="U453"/>
      <c r="V453" s="39"/>
      <c r="W453"/>
      <c r="X453"/>
      <c r="Y453"/>
      <c r="Z453"/>
      <c r="AA453"/>
    </row>
    <row r="454" spans="1:27" x14ac:dyDescent="0.25">
      <c r="A454"/>
      <c r="B454" s="36"/>
      <c r="C454" s="36"/>
      <c r="D454"/>
      <c r="E454"/>
      <c r="F454"/>
      <c r="G454"/>
      <c r="H454"/>
      <c r="I454"/>
      <c r="J454"/>
      <c r="K454"/>
      <c r="L454"/>
      <c r="M454"/>
      <c r="N454"/>
      <c r="O454"/>
      <c r="P454" s="36"/>
      <c r="Q454" s="37"/>
      <c r="R454"/>
      <c r="S454"/>
      <c r="T454"/>
      <c r="U454"/>
      <c r="V454" s="39"/>
      <c r="W454"/>
      <c r="X454"/>
      <c r="Y454"/>
      <c r="Z454"/>
      <c r="AA454"/>
    </row>
    <row r="455" spans="1:27" x14ac:dyDescent="0.25">
      <c r="A455"/>
      <c r="B455" s="36"/>
      <c r="C455" s="36"/>
      <c r="D455"/>
      <c r="E455"/>
      <c r="F455"/>
      <c r="G455"/>
      <c r="H455"/>
      <c r="I455"/>
      <c r="J455"/>
      <c r="K455"/>
      <c r="L455"/>
      <c r="M455"/>
      <c r="N455"/>
      <c r="O455"/>
      <c r="P455" s="36"/>
      <c r="Q455" s="37"/>
      <c r="R455"/>
      <c r="S455"/>
      <c r="T455"/>
      <c r="U455"/>
      <c r="V455" s="39"/>
      <c r="W455"/>
      <c r="X455"/>
      <c r="Y455"/>
      <c r="Z455"/>
      <c r="AA455"/>
    </row>
    <row r="456" spans="1:27" x14ac:dyDescent="0.25">
      <c r="A456"/>
      <c r="B456" s="36"/>
      <c r="C456" s="36"/>
      <c r="D456"/>
      <c r="E456"/>
      <c r="F456"/>
      <c r="G456"/>
      <c r="H456"/>
      <c r="I456"/>
      <c r="J456"/>
      <c r="K456"/>
      <c r="L456"/>
      <c r="M456"/>
      <c r="N456"/>
      <c r="O456"/>
      <c r="P456" s="36"/>
      <c r="Q456" s="37"/>
      <c r="R456"/>
      <c r="S456"/>
      <c r="T456"/>
      <c r="U456"/>
      <c r="V456" s="39"/>
      <c r="W456"/>
      <c r="X456"/>
      <c r="Y456"/>
      <c r="Z456"/>
      <c r="AA456"/>
    </row>
    <row r="457" spans="1:27" x14ac:dyDescent="0.25">
      <c r="A457"/>
      <c r="B457" s="36"/>
      <c r="C457" s="36"/>
      <c r="D457"/>
      <c r="E457"/>
      <c r="F457"/>
      <c r="G457"/>
      <c r="H457"/>
      <c r="I457"/>
      <c r="J457"/>
      <c r="K457"/>
      <c r="L457"/>
      <c r="M457"/>
      <c r="N457"/>
      <c r="O457"/>
      <c r="P457" s="36"/>
      <c r="Q457" s="37"/>
      <c r="R457"/>
      <c r="S457"/>
      <c r="T457"/>
      <c r="U457"/>
      <c r="V457" s="39"/>
      <c r="W457"/>
      <c r="X457"/>
      <c r="Y457"/>
      <c r="Z457"/>
      <c r="AA457"/>
    </row>
    <row r="458" spans="1:27" x14ac:dyDescent="0.25">
      <c r="A458"/>
      <c r="B458" s="36"/>
      <c r="C458" s="36"/>
      <c r="D458"/>
      <c r="E458"/>
      <c r="F458"/>
      <c r="G458"/>
      <c r="H458"/>
      <c r="I458"/>
      <c r="J458"/>
      <c r="K458"/>
      <c r="L458"/>
      <c r="M458"/>
      <c r="N458"/>
      <c r="O458"/>
      <c r="P458" s="36"/>
      <c r="Q458" s="37"/>
      <c r="R458"/>
      <c r="S458"/>
      <c r="T458"/>
      <c r="U458"/>
      <c r="V458" s="39"/>
      <c r="W458"/>
      <c r="X458"/>
      <c r="Y458"/>
      <c r="Z458"/>
      <c r="AA458"/>
    </row>
    <row r="459" spans="1:27" x14ac:dyDescent="0.25">
      <c r="A459"/>
      <c r="B459" s="36"/>
      <c r="C459" s="36"/>
      <c r="D459"/>
      <c r="E459"/>
      <c r="F459"/>
      <c r="G459"/>
      <c r="H459"/>
      <c r="I459"/>
      <c r="J459"/>
      <c r="K459"/>
      <c r="L459"/>
      <c r="M459"/>
      <c r="N459"/>
      <c r="O459"/>
      <c r="P459" s="36"/>
      <c r="Q459" s="37"/>
      <c r="R459"/>
      <c r="S459"/>
      <c r="T459"/>
      <c r="U459"/>
      <c r="V459" s="39"/>
      <c r="W459"/>
      <c r="X459"/>
      <c r="Y459"/>
      <c r="Z459"/>
      <c r="AA459"/>
    </row>
    <row r="460" spans="1:27" x14ac:dyDescent="0.25">
      <c r="A460"/>
      <c r="B460" s="36"/>
      <c r="C460" s="36"/>
      <c r="D460"/>
      <c r="E460"/>
      <c r="F460"/>
      <c r="G460"/>
      <c r="H460"/>
      <c r="I460"/>
      <c r="J460"/>
      <c r="K460"/>
      <c r="L460"/>
      <c r="M460"/>
      <c r="N460"/>
      <c r="O460"/>
      <c r="P460" s="36"/>
      <c r="Q460" s="37"/>
      <c r="R460"/>
      <c r="S460"/>
      <c r="T460"/>
      <c r="U460"/>
      <c r="V460" s="39"/>
      <c r="W460"/>
      <c r="X460"/>
      <c r="Y460"/>
      <c r="Z460"/>
      <c r="AA460"/>
    </row>
    <row r="461" spans="1:27" x14ac:dyDescent="0.25">
      <c r="A461"/>
      <c r="B461" s="36"/>
      <c r="C461" s="36"/>
      <c r="D461"/>
      <c r="E461"/>
      <c r="F461"/>
      <c r="G461"/>
      <c r="H461"/>
      <c r="I461"/>
      <c r="J461"/>
      <c r="K461"/>
      <c r="L461"/>
      <c r="M461"/>
      <c r="N461"/>
      <c r="O461"/>
      <c r="P461" s="36"/>
      <c r="Q461" s="37"/>
      <c r="R461"/>
      <c r="S461"/>
      <c r="T461"/>
      <c r="U461"/>
      <c r="V461" s="39"/>
      <c r="W461"/>
      <c r="X461"/>
      <c r="Y461"/>
      <c r="Z461"/>
      <c r="AA461"/>
    </row>
    <row r="462" spans="1:27" x14ac:dyDescent="0.25">
      <c r="A462"/>
      <c r="B462" s="36"/>
      <c r="C462" s="36"/>
      <c r="D462"/>
      <c r="E462"/>
      <c r="F462"/>
      <c r="G462"/>
      <c r="H462"/>
      <c r="I462"/>
      <c r="J462"/>
      <c r="K462"/>
      <c r="L462"/>
      <c r="M462"/>
      <c r="N462"/>
      <c r="O462"/>
      <c r="P462" s="36"/>
      <c r="Q462" s="37"/>
      <c r="R462"/>
      <c r="S462"/>
      <c r="T462"/>
      <c r="U462"/>
      <c r="V462" s="39"/>
      <c r="W462"/>
      <c r="X462"/>
      <c r="Y462"/>
      <c r="Z462"/>
      <c r="AA462"/>
    </row>
    <row r="463" spans="1:27" x14ac:dyDescent="0.25">
      <c r="A463"/>
      <c r="B463" s="36"/>
      <c r="C463" s="36"/>
      <c r="D463"/>
      <c r="E463"/>
      <c r="F463"/>
      <c r="G463"/>
      <c r="H463"/>
      <c r="I463"/>
      <c r="J463"/>
      <c r="K463"/>
      <c r="L463"/>
      <c r="M463"/>
      <c r="N463"/>
      <c r="O463"/>
      <c r="P463" s="36"/>
      <c r="Q463" s="37"/>
      <c r="R463"/>
      <c r="S463"/>
      <c r="T463"/>
      <c r="U463"/>
      <c r="V463" s="39"/>
      <c r="W463"/>
      <c r="X463"/>
      <c r="Y463"/>
      <c r="Z463"/>
      <c r="AA463"/>
    </row>
    <row r="464" spans="1:27" x14ac:dyDescent="0.25">
      <c r="A464"/>
      <c r="B464" s="36"/>
      <c r="C464" s="36"/>
      <c r="D464"/>
      <c r="E464"/>
      <c r="F464"/>
      <c r="G464"/>
      <c r="H464"/>
      <c r="I464"/>
      <c r="J464"/>
      <c r="K464"/>
      <c r="L464"/>
      <c r="M464"/>
      <c r="N464"/>
      <c r="O464"/>
      <c r="P464" s="36"/>
      <c r="Q464" s="37"/>
      <c r="R464"/>
      <c r="S464"/>
      <c r="T464"/>
      <c r="U464"/>
      <c r="V464" s="39"/>
      <c r="W464"/>
      <c r="X464"/>
      <c r="Y464"/>
      <c r="Z464"/>
      <c r="AA464"/>
    </row>
    <row r="465" spans="1:27" x14ac:dyDescent="0.25">
      <c r="A465"/>
      <c r="B465" s="36"/>
      <c r="C465" s="36"/>
      <c r="D465"/>
      <c r="E465"/>
      <c r="F465"/>
      <c r="G465"/>
      <c r="H465"/>
      <c r="I465"/>
      <c r="J465"/>
      <c r="K465"/>
      <c r="L465"/>
      <c r="M465"/>
      <c r="N465"/>
      <c r="O465"/>
      <c r="P465" s="36"/>
      <c r="Q465" s="37"/>
      <c r="R465"/>
      <c r="S465"/>
      <c r="T465"/>
      <c r="U465"/>
      <c r="V465" s="39"/>
      <c r="W465"/>
      <c r="X465"/>
      <c r="Y465"/>
      <c r="Z465"/>
      <c r="AA465"/>
    </row>
    <row r="466" spans="1:27" x14ac:dyDescent="0.25">
      <c r="A466"/>
      <c r="B466" s="36"/>
      <c r="C466" s="36"/>
      <c r="D466"/>
      <c r="E466"/>
      <c r="F466"/>
      <c r="G466"/>
      <c r="H466"/>
      <c r="I466"/>
      <c r="J466"/>
      <c r="K466"/>
      <c r="L466"/>
      <c r="M466"/>
      <c r="N466"/>
      <c r="O466"/>
      <c r="P466" s="36"/>
      <c r="Q466" s="37"/>
      <c r="R466"/>
      <c r="S466"/>
      <c r="T466"/>
      <c r="U466"/>
      <c r="V466" s="39"/>
      <c r="W466"/>
      <c r="X466"/>
      <c r="Y466"/>
      <c r="Z466"/>
      <c r="AA466"/>
    </row>
    <row r="467" spans="1:27" x14ac:dyDescent="0.25">
      <c r="A467"/>
      <c r="B467" s="36"/>
      <c r="C467" s="36"/>
      <c r="D467"/>
      <c r="E467"/>
      <c r="F467"/>
      <c r="G467"/>
      <c r="H467"/>
      <c r="I467"/>
      <c r="J467"/>
      <c r="K467"/>
      <c r="L467"/>
      <c r="M467"/>
      <c r="N467"/>
      <c r="O467"/>
      <c r="P467" s="36"/>
      <c r="Q467" s="37"/>
      <c r="R467"/>
      <c r="S467"/>
      <c r="T467"/>
      <c r="U467"/>
      <c r="V467" s="39"/>
      <c r="W467"/>
      <c r="X467"/>
      <c r="Y467"/>
      <c r="Z467"/>
      <c r="AA467"/>
    </row>
    <row r="468" spans="1:27" x14ac:dyDescent="0.25">
      <c r="A468"/>
      <c r="B468" s="36"/>
      <c r="C468" s="36"/>
      <c r="D468"/>
      <c r="E468"/>
      <c r="F468"/>
      <c r="G468"/>
      <c r="H468"/>
      <c r="I468"/>
      <c r="J468"/>
      <c r="K468"/>
      <c r="L468"/>
      <c r="M468"/>
      <c r="N468"/>
      <c r="O468"/>
      <c r="P468" s="36"/>
      <c r="Q468" s="37"/>
      <c r="R468" s="44"/>
      <c r="S468"/>
      <c r="T468"/>
      <c r="U468"/>
      <c r="V468" s="39"/>
      <c r="W468"/>
      <c r="X468"/>
      <c r="Y468"/>
      <c r="Z468"/>
      <c r="AA468"/>
    </row>
    <row r="469" spans="1:27" x14ac:dyDescent="0.25">
      <c r="A469"/>
      <c r="B469" s="36"/>
      <c r="C469" s="36"/>
      <c r="D469"/>
      <c r="E469"/>
      <c r="F469"/>
      <c r="G469"/>
      <c r="H469"/>
      <c r="I469"/>
      <c r="J469"/>
      <c r="K469"/>
      <c r="L469"/>
      <c r="M469"/>
      <c r="N469"/>
      <c r="O469"/>
      <c r="P469" s="36"/>
      <c r="Q469" s="37"/>
      <c r="R469"/>
      <c r="S469"/>
      <c r="T469"/>
      <c r="U469"/>
      <c r="V469" s="39"/>
      <c r="W469"/>
      <c r="X469"/>
      <c r="Y469"/>
      <c r="Z469"/>
      <c r="AA469"/>
    </row>
    <row r="470" spans="1:27" x14ac:dyDescent="0.25">
      <c r="A470"/>
      <c r="B470" s="36"/>
      <c r="C470" s="36"/>
      <c r="D470"/>
      <c r="E470"/>
      <c r="F470"/>
      <c r="G470"/>
      <c r="H470"/>
      <c r="I470"/>
      <c r="J470"/>
      <c r="K470"/>
      <c r="L470"/>
      <c r="M470"/>
      <c r="N470"/>
      <c r="O470"/>
      <c r="P470" s="36"/>
      <c r="Q470" s="37"/>
      <c r="R470"/>
      <c r="S470"/>
      <c r="T470"/>
      <c r="U470"/>
      <c r="V470" s="39"/>
      <c r="W470"/>
      <c r="X470"/>
      <c r="Y470"/>
      <c r="Z470"/>
      <c r="AA470"/>
    </row>
    <row r="471" spans="1:27" x14ac:dyDescent="0.25">
      <c r="A471"/>
      <c r="B471" s="36"/>
      <c r="C471" s="36"/>
      <c r="D471"/>
      <c r="E471"/>
      <c r="F471"/>
      <c r="G471"/>
      <c r="H471"/>
      <c r="I471"/>
      <c r="J471"/>
      <c r="K471"/>
      <c r="L471"/>
      <c r="M471"/>
      <c r="N471"/>
      <c r="O471"/>
      <c r="P471" s="36"/>
      <c r="Q471" s="37"/>
      <c r="R471"/>
      <c r="S471"/>
      <c r="T471"/>
      <c r="U471"/>
      <c r="V471" s="39"/>
      <c r="W471"/>
      <c r="X471"/>
      <c r="Y471"/>
      <c r="Z471"/>
      <c r="AA471"/>
    </row>
    <row r="472" spans="1:27" x14ac:dyDescent="0.25">
      <c r="A472"/>
      <c r="B472" s="36"/>
      <c r="C472" s="36"/>
      <c r="D472"/>
      <c r="E472"/>
      <c r="F472"/>
      <c r="G472"/>
      <c r="H472"/>
      <c r="I472"/>
      <c r="J472"/>
      <c r="K472"/>
      <c r="L472"/>
      <c r="M472"/>
      <c r="N472"/>
      <c r="O472"/>
      <c r="P472" s="36"/>
      <c r="Q472" s="37"/>
      <c r="R472"/>
      <c r="S472"/>
      <c r="T472"/>
      <c r="U472"/>
      <c r="V472" s="39"/>
      <c r="W472"/>
      <c r="X472"/>
      <c r="Y472"/>
      <c r="Z472"/>
      <c r="AA472"/>
    </row>
    <row r="473" spans="1:27" x14ac:dyDescent="0.25">
      <c r="A473"/>
      <c r="B473" s="36"/>
      <c r="C473" s="36"/>
      <c r="D473"/>
      <c r="E473"/>
      <c r="F473"/>
      <c r="G473"/>
      <c r="H473"/>
      <c r="I473"/>
      <c r="J473"/>
      <c r="K473"/>
      <c r="L473"/>
      <c r="M473"/>
      <c r="N473"/>
      <c r="O473"/>
      <c r="P473" s="36"/>
      <c r="Q473" s="37"/>
      <c r="R473"/>
      <c r="S473"/>
      <c r="T473"/>
      <c r="U473"/>
      <c r="V473" s="39"/>
      <c r="W473"/>
      <c r="X473"/>
      <c r="Y473"/>
      <c r="Z473"/>
      <c r="AA473"/>
    </row>
    <row r="474" spans="1:27" x14ac:dyDescent="0.25">
      <c r="A474"/>
      <c r="B474" s="36"/>
      <c r="C474" s="36"/>
      <c r="D474"/>
      <c r="E474"/>
      <c r="F474"/>
      <c r="G474"/>
      <c r="H474"/>
      <c r="I474"/>
      <c r="J474"/>
      <c r="K474"/>
      <c r="L474"/>
      <c r="M474"/>
      <c r="N474"/>
      <c r="O474"/>
      <c r="P474" s="36"/>
      <c r="Q474" s="37"/>
      <c r="R474"/>
      <c r="S474"/>
      <c r="T474"/>
      <c r="U474"/>
      <c r="V474" s="39"/>
      <c r="W474"/>
      <c r="X474"/>
      <c r="Y474"/>
      <c r="Z474"/>
      <c r="AA474"/>
    </row>
    <row r="475" spans="1:27" x14ac:dyDescent="0.25">
      <c r="A475"/>
      <c r="B475" s="36"/>
      <c r="C475" s="36"/>
      <c r="D475"/>
      <c r="E475"/>
      <c r="F475"/>
      <c r="G475"/>
      <c r="H475"/>
      <c r="I475"/>
      <c r="J475"/>
      <c r="K475"/>
      <c r="L475"/>
      <c r="M475"/>
      <c r="N475"/>
      <c r="O475"/>
      <c r="P475" s="36"/>
      <c r="Q475" s="37"/>
      <c r="R475"/>
      <c r="S475"/>
      <c r="T475"/>
      <c r="U475"/>
      <c r="V475" s="39"/>
      <c r="W475"/>
      <c r="X475"/>
      <c r="Y475"/>
      <c r="Z475"/>
      <c r="AA475"/>
    </row>
    <row r="476" spans="1:27" x14ac:dyDescent="0.25">
      <c r="A476"/>
      <c r="B476" s="36"/>
      <c r="C476" s="36"/>
      <c r="D476"/>
      <c r="E476"/>
      <c r="F476"/>
      <c r="G476"/>
      <c r="H476"/>
      <c r="I476"/>
      <c r="J476"/>
      <c r="K476"/>
      <c r="L476"/>
      <c r="M476"/>
      <c r="N476"/>
      <c r="O476"/>
      <c r="P476" s="36"/>
      <c r="Q476" s="37"/>
      <c r="R476"/>
      <c r="S476"/>
      <c r="T476"/>
      <c r="U476"/>
      <c r="V476" s="39"/>
      <c r="W476"/>
      <c r="X476"/>
      <c r="Y476"/>
      <c r="Z476"/>
      <c r="AA476"/>
    </row>
    <row r="477" spans="1:27" x14ac:dyDescent="0.25">
      <c r="A477"/>
      <c r="B477" s="36"/>
      <c r="C477" s="36"/>
      <c r="D477"/>
      <c r="E477"/>
      <c r="F477"/>
      <c r="G477"/>
      <c r="H477"/>
      <c r="I477"/>
      <c r="J477"/>
      <c r="K477"/>
      <c r="L477"/>
      <c r="M477"/>
      <c r="N477"/>
      <c r="O477"/>
      <c r="P477" s="36"/>
      <c r="Q477" s="37"/>
      <c r="R477"/>
      <c r="S477"/>
      <c r="T477"/>
      <c r="U477"/>
      <c r="V477" s="39"/>
      <c r="W477"/>
      <c r="X477"/>
      <c r="Y477"/>
      <c r="Z477"/>
      <c r="AA477"/>
    </row>
    <row r="478" spans="1:27" x14ac:dyDescent="0.25">
      <c r="A478"/>
      <c r="B478" s="36"/>
      <c r="C478" s="36"/>
      <c r="D478"/>
      <c r="E478"/>
      <c r="F478"/>
      <c r="G478"/>
      <c r="H478"/>
      <c r="I478"/>
      <c r="J478"/>
      <c r="K478"/>
      <c r="L478"/>
      <c r="M478"/>
      <c r="N478"/>
      <c r="O478"/>
      <c r="P478" s="36"/>
      <c r="Q478" s="37"/>
      <c r="R478"/>
      <c r="S478"/>
      <c r="T478"/>
      <c r="U478"/>
      <c r="V478" s="39"/>
      <c r="W478"/>
      <c r="X478"/>
      <c r="Y478"/>
      <c r="Z478"/>
      <c r="AA478"/>
    </row>
    <row r="479" spans="1:27" x14ac:dyDescent="0.25">
      <c r="A479"/>
      <c r="B479" s="36"/>
      <c r="C479" s="36"/>
      <c r="D479"/>
      <c r="E479"/>
      <c r="F479"/>
      <c r="G479"/>
      <c r="H479"/>
      <c r="I479"/>
      <c r="J479"/>
      <c r="K479"/>
      <c r="L479"/>
      <c r="M479"/>
      <c r="N479"/>
      <c r="O479"/>
      <c r="P479" s="36"/>
      <c r="Q479" s="37"/>
      <c r="R479"/>
      <c r="S479"/>
      <c r="T479"/>
      <c r="U479"/>
      <c r="V479" s="39"/>
      <c r="W479"/>
      <c r="X479"/>
      <c r="Y479"/>
      <c r="Z479"/>
      <c r="AA479"/>
    </row>
    <row r="480" spans="1:27" x14ac:dyDescent="0.25">
      <c r="A480"/>
      <c r="B480" s="36"/>
      <c r="C480" s="36"/>
      <c r="D480"/>
      <c r="E480"/>
      <c r="F480"/>
      <c r="G480"/>
      <c r="H480"/>
      <c r="I480"/>
      <c r="J480"/>
      <c r="K480"/>
      <c r="L480"/>
      <c r="M480"/>
      <c r="N480"/>
      <c r="O480"/>
      <c r="P480" s="36"/>
      <c r="Q480" s="37"/>
      <c r="R480"/>
      <c r="S480"/>
      <c r="T480"/>
      <c r="U480"/>
      <c r="V480" s="39"/>
      <c r="W480"/>
      <c r="X480"/>
      <c r="Y480"/>
      <c r="Z480"/>
      <c r="AA480"/>
    </row>
    <row r="481" spans="1:27" x14ac:dyDescent="0.25">
      <c r="A481"/>
      <c r="B481" s="36"/>
      <c r="C481" s="36"/>
      <c r="D481"/>
      <c r="E481"/>
      <c r="F481"/>
      <c r="G481"/>
      <c r="H481"/>
      <c r="I481"/>
      <c r="J481"/>
      <c r="K481"/>
      <c r="L481"/>
      <c r="M481"/>
      <c r="N481"/>
      <c r="O481"/>
      <c r="P481" s="36"/>
      <c r="Q481" s="37"/>
      <c r="R481"/>
      <c r="S481"/>
      <c r="T481"/>
      <c r="U481"/>
      <c r="V481" s="39"/>
      <c r="W481"/>
      <c r="X481"/>
      <c r="Y481"/>
      <c r="Z481"/>
      <c r="AA481"/>
    </row>
    <row r="482" spans="1:27" x14ac:dyDescent="0.25">
      <c r="A482"/>
      <c r="B482" s="36"/>
      <c r="C482" s="36"/>
      <c r="D482"/>
      <c r="E482"/>
      <c r="F482"/>
      <c r="G482"/>
      <c r="H482"/>
      <c r="I482"/>
      <c r="J482"/>
      <c r="K482"/>
      <c r="L482"/>
      <c r="M482"/>
      <c r="N482"/>
      <c r="O482"/>
      <c r="P482" s="36"/>
      <c r="Q482" s="37"/>
      <c r="R482"/>
      <c r="S482"/>
      <c r="T482"/>
      <c r="U482"/>
      <c r="V482" s="39"/>
      <c r="W482"/>
      <c r="X482"/>
      <c r="Y482"/>
      <c r="Z482"/>
      <c r="AA482"/>
    </row>
    <row r="483" spans="1:27" x14ac:dyDescent="0.25">
      <c r="A483"/>
      <c r="B483" s="36"/>
      <c r="C483" s="36"/>
      <c r="D483"/>
      <c r="E483"/>
      <c r="F483"/>
      <c r="G483"/>
      <c r="H483"/>
      <c r="I483"/>
      <c r="J483"/>
      <c r="K483"/>
      <c r="L483"/>
      <c r="M483"/>
      <c r="N483"/>
      <c r="O483"/>
      <c r="P483" s="36"/>
      <c r="Q483" s="37"/>
      <c r="R483"/>
      <c r="S483"/>
      <c r="T483"/>
      <c r="U483"/>
      <c r="V483" s="39"/>
      <c r="W483"/>
      <c r="X483"/>
      <c r="Y483"/>
      <c r="Z483"/>
      <c r="AA483"/>
    </row>
    <row r="484" spans="1:27" x14ac:dyDescent="0.25">
      <c r="A484"/>
      <c r="B484" s="36"/>
      <c r="C484" s="36"/>
      <c r="D484"/>
      <c r="E484"/>
      <c r="F484"/>
      <c r="G484"/>
      <c r="H484"/>
      <c r="I484"/>
      <c r="J484"/>
      <c r="K484"/>
      <c r="L484"/>
      <c r="M484"/>
      <c r="N484"/>
      <c r="O484"/>
      <c r="P484" s="36"/>
      <c r="Q484" s="37"/>
      <c r="R484"/>
      <c r="S484"/>
      <c r="T484"/>
      <c r="U484"/>
      <c r="V484" s="39"/>
      <c r="W484"/>
      <c r="X484"/>
      <c r="Y484"/>
      <c r="Z484"/>
      <c r="AA484"/>
    </row>
    <row r="485" spans="1:27" x14ac:dyDescent="0.25">
      <c r="A485"/>
      <c r="B485" s="36"/>
      <c r="C485" s="36"/>
      <c r="D485"/>
      <c r="E485"/>
      <c r="F485"/>
      <c r="G485"/>
      <c r="H485"/>
      <c r="I485"/>
      <c r="J485"/>
      <c r="K485"/>
      <c r="L485"/>
      <c r="M485"/>
      <c r="N485"/>
      <c r="O485"/>
      <c r="P485" s="36"/>
      <c r="Q485" s="37"/>
      <c r="R485"/>
      <c r="S485"/>
      <c r="T485"/>
      <c r="U485"/>
      <c r="V485" s="39"/>
      <c r="W485"/>
      <c r="X485"/>
      <c r="Y485"/>
      <c r="Z485"/>
      <c r="AA485"/>
    </row>
    <row r="486" spans="1:27" x14ac:dyDescent="0.25">
      <c r="A486"/>
      <c r="B486" s="36"/>
      <c r="C486" s="36"/>
      <c r="D486"/>
      <c r="E486"/>
      <c r="F486"/>
      <c r="G486"/>
      <c r="H486"/>
      <c r="I486"/>
      <c r="J486"/>
      <c r="K486"/>
      <c r="L486"/>
      <c r="M486"/>
      <c r="N486"/>
      <c r="O486"/>
      <c r="P486" s="36"/>
      <c r="Q486" s="37"/>
      <c r="R486"/>
      <c r="S486"/>
      <c r="T486"/>
      <c r="U486"/>
      <c r="V486" s="39"/>
      <c r="W486"/>
      <c r="X486"/>
      <c r="Y486"/>
      <c r="Z486"/>
      <c r="AA486"/>
    </row>
    <row r="487" spans="1:27" x14ac:dyDescent="0.25">
      <c r="A487"/>
      <c r="B487" s="36"/>
      <c r="C487" s="36"/>
      <c r="D487"/>
      <c r="E487"/>
      <c r="F487"/>
      <c r="G487"/>
      <c r="H487"/>
      <c r="I487"/>
      <c r="J487"/>
      <c r="K487"/>
      <c r="L487"/>
      <c r="M487"/>
      <c r="N487"/>
      <c r="O487"/>
      <c r="P487" s="36"/>
      <c r="Q487" s="37"/>
      <c r="R487"/>
      <c r="S487"/>
      <c r="T487"/>
      <c r="U487"/>
      <c r="V487" s="39"/>
      <c r="W487"/>
      <c r="X487"/>
      <c r="Y487"/>
      <c r="Z487"/>
      <c r="AA487"/>
    </row>
    <row r="488" spans="1:27" x14ac:dyDescent="0.25">
      <c r="A488"/>
      <c r="B488" s="36"/>
      <c r="C488" s="36"/>
      <c r="D488"/>
      <c r="E488"/>
      <c r="F488"/>
      <c r="G488"/>
      <c r="H488"/>
      <c r="I488"/>
      <c r="J488"/>
      <c r="K488"/>
      <c r="L488"/>
      <c r="M488"/>
      <c r="N488"/>
      <c r="O488"/>
      <c r="P488" s="36"/>
      <c r="Q488" s="37"/>
      <c r="R488"/>
      <c r="S488"/>
      <c r="T488"/>
      <c r="U488"/>
      <c r="V488" s="39"/>
      <c r="W488"/>
      <c r="X488"/>
      <c r="Y488"/>
      <c r="Z488"/>
      <c r="AA488"/>
    </row>
    <row r="489" spans="1:27" x14ac:dyDescent="0.25">
      <c r="A489"/>
      <c r="B489" s="36"/>
      <c r="C489" s="36"/>
      <c r="D489"/>
      <c r="E489"/>
      <c r="F489"/>
      <c r="G489"/>
      <c r="H489"/>
      <c r="I489"/>
      <c r="J489"/>
      <c r="K489"/>
      <c r="L489"/>
      <c r="M489"/>
      <c r="N489"/>
      <c r="O489"/>
      <c r="P489" s="36"/>
      <c r="Q489" s="37"/>
      <c r="R489"/>
      <c r="S489"/>
      <c r="T489"/>
      <c r="U489"/>
      <c r="V489" s="39"/>
      <c r="W489"/>
      <c r="X489"/>
      <c r="Y489"/>
      <c r="Z489"/>
      <c r="AA489"/>
    </row>
    <row r="490" spans="1:27" x14ac:dyDescent="0.25">
      <c r="A490"/>
      <c r="B490" s="36"/>
      <c r="C490" s="36"/>
      <c r="D490"/>
      <c r="E490"/>
      <c r="F490"/>
      <c r="G490"/>
      <c r="H490"/>
      <c r="I490"/>
      <c r="J490"/>
      <c r="K490"/>
      <c r="L490"/>
      <c r="M490"/>
      <c r="N490"/>
      <c r="O490"/>
      <c r="P490" s="36"/>
      <c r="Q490" s="37"/>
      <c r="R490"/>
      <c r="S490"/>
      <c r="T490"/>
      <c r="U490"/>
      <c r="V490" s="39"/>
      <c r="W490"/>
      <c r="X490"/>
      <c r="Y490"/>
      <c r="Z490"/>
      <c r="AA490"/>
    </row>
    <row r="491" spans="1:27" x14ac:dyDescent="0.25">
      <c r="A491"/>
      <c r="B491" s="36"/>
      <c r="C491" s="36"/>
      <c r="D491"/>
      <c r="E491"/>
      <c r="F491"/>
      <c r="G491"/>
      <c r="H491"/>
      <c r="I491"/>
      <c r="J491"/>
      <c r="K491"/>
      <c r="L491"/>
      <c r="M491"/>
      <c r="N491"/>
      <c r="O491"/>
      <c r="P491" s="36"/>
      <c r="Q491" s="37"/>
      <c r="R491"/>
      <c r="S491"/>
      <c r="T491"/>
      <c r="U491"/>
      <c r="V491" s="39"/>
      <c r="W491"/>
      <c r="X491"/>
      <c r="Y491"/>
      <c r="Z491"/>
      <c r="AA491"/>
    </row>
    <row r="492" spans="1:27" x14ac:dyDescent="0.25">
      <c r="A492"/>
      <c r="B492" s="36"/>
      <c r="C492" s="36"/>
      <c r="D492"/>
      <c r="E492"/>
      <c r="F492"/>
      <c r="G492"/>
      <c r="H492"/>
      <c r="I492"/>
      <c r="J492"/>
      <c r="K492"/>
      <c r="L492"/>
      <c r="M492"/>
      <c r="N492"/>
      <c r="O492"/>
      <c r="P492" s="36"/>
      <c r="Q492" s="37"/>
      <c r="R492"/>
      <c r="S492"/>
      <c r="T492"/>
      <c r="U492"/>
      <c r="V492" s="39"/>
      <c r="W492"/>
      <c r="X492"/>
      <c r="Y492"/>
      <c r="Z492"/>
      <c r="AA492"/>
    </row>
    <row r="493" spans="1:27" x14ac:dyDescent="0.25">
      <c r="A493"/>
      <c r="B493" s="36"/>
      <c r="C493" s="36"/>
      <c r="D493"/>
      <c r="E493"/>
      <c r="F493"/>
      <c r="G493"/>
      <c r="H493"/>
      <c r="I493"/>
      <c r="J493"/>
      <c r="K493"/>
      <c r="L493"/>
      <c r="M493"/>
      <c r="N493"/>
      <c r="O493"/>
      <c r="P493" s="36"/>
      <c r="Q493" s="37"/>
      <c r="R493"/>
      <c r="S493"/>
      <c r="T493"/>
      <c r="U493"/>
      <c r="V493" s="39"/>
      <c r="W493"/>
      <c r="X493"/>
      <c r="Y493"/>
      <c r="Z493"/>
      <c r="AA493"/>
    </row>
    <row r="494" spans="1:27" x14ac:dyDescent="0.25">
      <c r="A494"/>
      <c r="B494" s="36"/>
      <c r="C494" s="36"/>
      <c r="D494"/>
      <c r="E494"/>
      <c r="F494"/>
      <c r="G494"/>
      <c r="H494"/>
      <c r="I494"/>
      <c r="J494"/>
      <c r="K494"/>
      <c r="L494"/>
      <c r="M494"/>
      <c r="N494"/>
      <c r="O494"/>
      <c r="P494" s="36"/>
      <c r="Q494" s="37"/>
      <c r="R494"/>
      <c r="S494"/>
      <c r="T494"/>
      <c r="U494"/>
      <c r="V494" s="39"/>
      <c r="W494"/>
      <c r="X494"/>
      <c r="Y494"/>
      <c r="Z494"/>
      <c r="AA494"/>
    </row>
    <row r="495" spans="1:27" x14ac:dyDescent="0.25">
      <c r="A495"/>
      <c r="B495" s="36"/>
      <c r="C495" s="36"/>
      <c r="D495"/>
      <c r="E495"/>
      <c r="F495"/>
      <c r="G495"/>
      <c r="H495"/>
      <c r="I495"/>
      <c r="J495"/>
      <c r="K495"/>
      <c r="L495"/>
      <c r="M495"/>
      <c r="N495"/>
      <c r="O495"/>
      <c r="P495" s="36"/>
      <c r="Q495" s="37"/>
      <c r="R495"/>
      <c r="S495"/>
      <c r="T495"/>
      <c r="U495"/>
      <c r="V495" s="39"/>
      <c r="W495"/>
      <c r="X495"/>
      <c r="Y495"/>
      <c r="Z495"/>
      <c r="AA495"/>
    </row>
    <row r="496" spans="1:27" x14ac:dyDescent="0.25">
      <c r="A496"/>
      <c r="B496" s="36"/>
      <c r="C496" s="36"/>
      <c r="D496"/>
      <c r="E496"/>
      <c r="F496"/>
      <c r="G496"/>
      <c r="H496"/>
      <c r="I496"/>
      <c r="J496"/>
      <c r="K496"/>
      <c r="L496"/>
      <c r="M496"/>
      <c r="N496"/>
      <c r="O496"/>
      <c r="P496" s="36"/>
      <c r="Q496" s="37"/>
      <c r="R496"/>
      <c r="S496"/>
      <c r="T496"/>
      <c r="U496"/>
      <c r="V496" s="39"/>
      <c r="W496"/>
      <c r="X496"/>
      <c r="Y496"/>
      <c r="Z496"/>
      <c r="AA496"/>
    </row>
    <row r="497" spans="1:27" x14ac:dyDescent="0.25">
      <c r="A497"/>
      <c r="B497" s="36"/>
      <c r="C497" s="36"/>
      <c r="D497"/>
      <c r="E497"/>
      <c r="F497"/>
      <c r="G497"/>
      <c r="H497"/>
      <c r="I497"/>
      <c r="J497"/>
      <c r="K497"/>
      <c r="L497"/>
      <c r="M497"/>
      <c r="N497"/>
      <c r="O497"/>
      <c r="P497" s="36"/>
      <c r="Q497" s="37"/>
      <c r="R497"/>
      <c r="S497"/>
      <c r="T497"/>
      <c r="U497"/>
      <c r="V497" s="39"/>
      <c r="W497"/>
      <c r="X497"/>
      <c r="Y497"/>
      <c r="Z497"/>
      <c r="AA497"/>
    </row>
    <row r="498" spans="1:27" x14ac:dyDescent="0.25">
      <c r="A498"/>
      <c r="B498" s="36"/>
      <c r="C498" s="36"/>
      <c r="D498"/>
      <c r="E498"/>
      <c r="F498"/>
      <c r="G498"/>
      <c r="H498"/>
      <c r="I498"/>
      <c r="J498"/>
      <c r="K498"/>
      <c r="L498"/>
      <c r="M498"/>
      <c r="N498"/>
      <c r="O498"/>
      <c r="P498" s="36"/>
      <c r="Q498" s="37"/>
      <c r="R498"/>
      <c r="S498"/>
      <c r="T498"/>
      <c r="U498"/>
      <c r="V498" s="39"/>
      <c r="W498"/>
      <c r="X498"/>
      <c r="Y498"/>
      <c r="Z498"/>
      <c r="AA498"/>
    </row>
    <row r="499" spans="1:27" x14ac:dyDescent="0.25">
      <c r="A499"/>
      <c r="B499" s="36"/>
      <c r="C499" s="36"/>
      <c r="D499"/>
      <c r="E499"/>
      <c r="F499"/>
      <c r="G499"/>
      <c r="H499"/>
      <c r="I499"/>
      <c r="J499"/>
      <c r="K499"/>
      <c r="L499"/>
      <c r="M499"/>
      <c r="N499"/>
      <c r="O499"/>
      <c r="P499" s="36"/>
      <c r="Q499" s="37"/>
      <c r="R499"/>
      <c r="S499"/>
      <c r="T499"/>
      <c r="U499"/>
      <c r="V499" s="39"/>
      <c r="W499"/>
      <c r="X499"/>
      <c r="Y499"/>
      <c r="Z499"/>
      <c r="AA499"/>
    </row>
    <row r="500" spans="1:27" x14ac:dyDescent="0.25">
      <c r="A500"/>
      <c r="B500" s="36"/>
      <c r="C500" s="36"/>
      <c r="D500"/>
      <c r="E500"/>
      <c r="F500"/>
      <c r="G500"/>
      <c r="H500"/>
      <c r="I500"/>
      <c r="J500"/>
      <c r="K500"/>
      <c r="L500"/>
      <c r="M500"/>
      <c r="N500"/>
      <c r="O500"/>
      <c r="P500" s="36"/>
      <c r="Q500" s="37"/>
      <c r="R500"/>
      <c r="S500"/>
      <c r="T500"/>
      <c r="U500"/>
      <c r="V500" s="39"/>
      <c r="W500"/>
      <c r="X500"/>
      <c r="Y500"/>
      <c r="Z500"/>
      <c r="AA500"/>
    </row>
    <row r="501" spans="1:27" x14ac:dyDescent="0.25">
      <c r="A501"/>
      <c r="B501" s="36"/>
      <c r="C501" s="36"/>
      <c r="D501"/>
      <c r="E501"/>
      <c r="F501"/>
      <c r="G501"/>
      <c r="H501"/>
      <c r="I501"/>
      <c r="J501"/>
      <c r="K501"/>
      <c r="L501"/>
      <c r="M501"/>
      <c r="N501"/>
      <c r="O501"/>
      <c r="P501" s="36"/>
      <c r="Q501" s="37"/>
      <c r="R501"/>
      <c r="S501"/>
      <c r="T501"/>
      <c r="U501"/>
      <c r="V501" s="39"/>
      <c r="W501"/>
      <c r="X501"/>
      <c r="Y501"/>
      <c r="Z501"/>
      <c r="AA501"/>
    </row>
    <row r="502" spans="1:27" x14ac:dyDescent="0.25">
      <c r="A502"/>
      <c r="B502" s="36"/>
      <c r="C502" s="36"/>
      <c r="D502"/>
      <c r="E502"/>
      <c r="F502"/>
      <c r="G502"/>
      <c r="H502"/>
      <c r="I502"/>
      <c r="J502"/>
      <c r="K502"/>
      <c r="L502"/>
      <c r="M502"/>
      <c r="N502"/>
      <c r="O502"/>
      <c r="P502" s="36"/>
      <c r="Q502" s="37"/>
      <c r="R502"/>
      <c r="S502"/>
      <c r="T502"/>
      <c r="U502"/>
      <c r="V502" s="39"/>
      <c r="W502"/>
      <c r="X502"/>
      <c r="Y502"/>
      <c r="Z502"/>
      <c r="AA502"/>
    </row>
    <row r="503" spans="1:27" x14ac:dyDescent="0.25">
      <c r="A503"/>
      <c r="B503" s="36"/>
      <c r="C503" s="36"/>
      <c r="D503"/>
      <c r="E503"/>
      <c r="F503"/>
      <c r="G503"/>
      <c r="H503"/>
      <c r="I503"/>
      <c r="J503"/>
      <c r="K503"/>
      <c r="L503"/>
      <c r="M503"/>
      <c r="N503"/>
      <c r="O503"/>
      <c r="P503" s="36"/>
      <c r="Q503" s="37"/>
      <c r="R503"/>
      <c r="S503"/>
      <c r="T503"/>
      <c r="U503"/>
      <c r="V503" s="39"/>
      <c r="W503"/>
      <c r="X503"/>
      <c r="Y503"/>
      <c r="Z503"/>
      <c r="AA503"/>
    </row>
    <row r="504" spans="1:27" x14ac:dyDescent="0.25">
      <c r="A504"/>
      <c r="B504" s="36"/>
      <c r="C504" s="36"/>
      <c r="D504"/>
      <c r="E504"/>
      <c r="F504"/>
      <c r="G504"/>
      <c r="H504"/>
      <c r="I504"/>
      <c r="J504"/>
      <c r="K504"/>
      <c r="L504"/>
      <c r="M504"/>
      <c r="N504"/>
      <c r="O504"/>
      <c r="P504" s="36"/>
      <c r="Q504" s="37"/>
      <c r="R504"/>
      <c r="S504"/>
      <c r="T504"/>
      <c r="U504"/>
      <c r="V504" s="39"/>
      <c r="W504"/>
      <c r="X504"/>
      <c r="Y504"/>
      <c r="Z504"/>
      <c r="AA504"/>
    </row>
    <row r="505" spans="1:27" x14ac:dyDescent="0.25">
      <c r="A505"/>
      <c r="B505" s="36"/>
      <c r="C505" s="36"/>
      <c r="D505"/>
      <c r="E505"/>
      <c r="F505"/>
      <c r="G505"/>
      <c r="H505"/>
      <c r="I505"/>
      <c r="J505"/>
      <c r="K505"/>
      <c r="L505"/>
      <c r="M505"/>
      <c r="N505"/>
      <c r="O505"/>
      <c r="P505" s="36"/>
      <c r="Q505" s="37"/>
      <c r="R505"/>
      <c r="S505"/>
      <c r="T505"/>
      <c r="U505"/>
      <c r="V505" s="39"/>
      <c r="W505"/>
      <c r="X505"/>
      <c r="Y505"/>
      <c r="Z505"/>
      <c r="AA505"/>
    </row>
    <row r="506" spans="1:27" x14ac:dyDescent="0.25">
      <c r="A506"/>
      <c r="B506" s="36"/>
      <c r="C506" s="36"/>
      <c r="D506"/>
      <c r="E506"/>
      <c r="F506"/>
      <c r="G506"/>
      <c r="H506"/>
      <c r="I506"/>
      <c r="J506"/>
      <c r="K506"/>
      <c r="L506"/>
      <c r="M506"/>
      <c r="N506"/>
      <c r="O506"/>
      <c r="P506" s="36"/>
      <c r="Q506" s="37"/>
      <c r="R506"/>
      <c r="S506"/>
      <c r="T506"/>
      <c r="U506"/>
      <c r="V506" s="39"/>
      <c r="W506"/>
      <c r="X506"/>
      <c r="Y506"/>
      <c r="Z506"/>
      <c r="AA506"/>
    </row>
    <row r="507" spans="1:27" x14ac:dyDescent="0.25">
      <c r="A507"/>
      <c r="B507" s="36"/>
      <c r="C507" s="36"/>
      <c r="D507"/>
      <c r="E507"/>
      <c r="F507"/>
      <c r="G507"/>
      <c r="H507"/>
      <c r="I507"/>
      <c r="J507"/>
      <c r="K507"/>
      <c r="L507"/>
      <c r="M507"/>
      <c r="N507"/>
      <c r="O507"/>
      <c r="P507" s="36"/>
      <c r="Q507" s="37"/>
      <c r="R507"/>
      <c r="S507"/>
      <c r="T507"/>
      <c r="U507"/>
      <c r="V507" s="39"/>
      <c r="W507"/>
      <c r="X507"/>
      <c r="Y507"/>
      <c r="Z507"/>
      <c r="AA507"/>
    </row>
    <row r="508" spans="1:27" x14ac:dyDescent="0.25">
      <c r="A508"/>
      <c r="B508" s="36"/>
      <c r="C508" s="36"/>
      <c r="D508"/>
      <c r="E508"/>
      <c r="F508"/>
      <c r="G508"/>
      <c r="H508"/>
      <c r="I508"/>
      <c r="J508"/>
      <c r="K508"/>
      <c r="L508"/>
      <c r="M508"/>
      <c r="N508"/>
      <c r="O508"/>
      <c r="P508" s="36"/>
      <c r="Q508" s="37"/>
      <c r="R508"/>
      <c r="S508"/>
      <c r="T508"/>
      <c r="U508"/>
      <c r="V508" s="39"/>
      <c r="W508"/>
      <c r="X508"/>
      <c r="Y508"/>
      <c r="Z508"/>
      <c r="AA508"/>
    </row>
    <row r="509" spans="1:27" x14ac:dyDescent="0.25">
      <c r="A509"/>
      <c r="B509" s="36"/>
      <c r="C509" s="36"/>
      <c r="D509"/>
      <c r="E509"/>
      <c r="F509"/>
      <c r="G509"/>
      <c r="H509"/>
      <c r="I509"/>
      <c r="J509"/>
      <c r="K509"/>
      <c r="L509"/>
      <c r="M509"/>
      <c r="N509"/>
      <c r="O509"/>
      <c r="P509" s="36"/>
      <c r="Q509" s="37"/>
      <c r="R509"/>
      <c r="S509"/>
      <c r="T509"/>
      <c r="U509"/>
      <c r="V509" s="39"/>
      <c r="W509"/>
      <c r="X509"/>
      <c r="Y509"/>
      <c r="Z509"/>
      <c r="AA509"/>
    </row>
    <row r="510" spans="1:27" x14ac:dyDescent="0.25">
      <c r="A510"/>
      <c r="B510" s="36"/>
      <c r="C510" s="36"/>
      <c r="D510"/>
      <c r="E510"/>
      <c r="F510"/>
      <c r="G510"/>
      <c r="H510"/>
      <c r="I510"/>
      <c r="J510"/>
      <c r="K510"/>
      <c r="L510"/>
      <c r="M510"/>
      <c r="N510"/>
      <c r="O510"/>
      <c r="P510" s="36"/>
      <c r="Q510" s="37"/>
      <c r="R510"/>
      <c r="S510"/>
      <c r="T510"/>
      <c r="U510"/>
      <c r="V510" s="39"/>
      <c r="W510"/>
      <c r="X510"/>
      <c r="Y510"/>
      <c r="Z510"/>
      <c r="AA510"/>
    </row>
    <row r="511" spans="1:27" x14ac:dyDescent="0.25">
      <c r="A511"/>
      <c r="B511" s="36"/>
      <c r="C511" s="36"/>
      <c r="D511"/>
      <c r="E511"/>
      <c r="F511"/>
      <c r="G511"/>
      <c r="H511"/>
      <c r="I511"/>
      <c r="J511"/>
      <c r="K511"/>
      <c r="L511"/>
      <c r="M511"/>
      <c r="N511"/>
      <c r="O511"/>
      <c r="P511" s="36"/>
      <c r="Q511" s="37"/>
      <c r="R511"/>
      <c r="S511"/>
      <c r="T511"/>
      <c r="U511"/>
      <c r="V511" s="39"/>
      <c r="W511"/>
      <c r="X511"/>
      <c r="Y511"/>
      <c r="Z511"/>
      <c r="AA511"/>
    </row>
    <row r="512" spans="1:27" x14ac:dyDescent="0.25">
      <c r="A512"/>
      <c r="B512" s="36"/>
      <c r="C512" s="36"/>
      <c r="D512"/>
      <c r="E512"/>
      <c r="F512"/>
      <c r="G512"/>
      <c r="H512"/>
      <c r="I512"/>
      <c r="J512"/>
      <c r="K512"/>
      <c r="L512"/>
      <c r="M512"/>
      <c r="N512"/>
      <c r="O512"/>
      <c r="P512" s="36"/>
      <c r="Q512" s="37"/>
      <c r="R512"/>
      <c r="S512"/>
      <c r="T512"/>
      <c r="U512"/>
      <c r="V512" s="39"/>
      <c r="W512"/>
      <c r="X512"/>
      <c r="Y512"/>
      <c r="Z512"/>
      <c r="AA512"/>
    </row>
    <row r="513" spans="1:27" x14ac:dyDescent="0.25">
      <c r="A513"/>
      <c r="B513" s="36"/>
      <c r="C513" s="36"/>
      <c r="D513"/>
      <c r="E513"/>
      <c r="F513"/>
      <c r="G513"/>
      <c r="H513"/>
      <c r="I513"/>
      <c r="J513"/>
      <c r="K513"/>
      <c r="L513"/>
      <c r="M513"/>
      <c r="N513"/>
      <c r="O513"/>
      <c r="P513" s="36"/>
      <c r="Q513" s="37"/>
      <c r="R513"/>
      <c r="S513"/>
      <c r="T513"/>
      <c r="U513"/>
      <c r="V513" s="39"/>
      <c r="W513"/>
      <c r="X513"/>
      <c r="Y513"/>
      <c r="Z513"/>
      <c r="AA513"/>
    </row>
    <row r="514" spans="1:27" x14ac:dyDescent="0.25">
      <c r="A514"/>
      <c r="B514" s="36"/>
      <c r="C514" s="36"/>
      <c r="D514"/>
      <c r="E514"/>
      <c r="F514"/>
      <c r="G514"/>
      <c r="H514"/>
      <c r="I514"/>
      <c r="J514"/>
      <c r="K514"/>
      <c r="L514"/>
      <c r="M514"/>
      <c r="N514"/>
      <c r="O514"/>
      <c r="P514" s="36"/>
      <c r="Q514" s="37"/>
      <c r="R514"/>
      <c r="S514"/>
      <c r="T514"/>
      <c r="U514"/>
      <c r="V514" s="39"/>
      <c r="W514"/>
      <c r="X514"/>
      <c r="Y514"/>
      <c r="Z514"/>
      <c r="AA514"/>
    </row>
    <row r="515" spans="1:27" x14ac:dyDescent="0.25">
      <c r="A515"/>
      <c r="B515" s="36"/>
      <c r="C515" s="36"/>
      <c r="D515"/>
      <c r="E515"/>
      <c r="F515"/>
      <c r="G515"/>
      <c r="H515"/>
      <c r="I515"/>
      <c r="J515"/>
      <c r="K515"/>
      <c r="L515"/>
      <c r="M515"/>
      <c r="N515"/>
      <c r="O515"/>
      <c r="P515" s="36"/>
      <c r="Q515" s="37"/>
      <c r="R515"/>
      <c r="S515"/>
      <c r="T515"/>
      <c r="U515"/>
      <c r="V515" s="39"/>
      <c r="W515"/>
      <c r="X515"/>
      <c r="Y515"/>
      <c r="Z515"/>
      <c r="AA515"/>
    </row>
    <row r="516" spans="1:27" x14ac:dyDescent="0.25">
      <c r="A516"/>
      <c r="B516" s="36"/>
      <c r="C516" s="36"/>
      <c r="D516"/>
      <c r="E516"/>
      <c r="F516"/>
      <c r="G516"/>
      <c r="H516"/>
      <c r="I516"/>
      <c r="J516"/>
      <c r="K516"/>
      <c r="L516"/>
      <c r="M516"/>
      <c r="N516"/>
      <c r="O516"/>
      <c r="P516" s="36"/>
      <c r="Q516" s="37"/>
      <c r="R516"/>
      <c r="S516"/>
      <c r="T516"/>
      <c r="U516"/>
      <c r="V516" s="39"/>
      <c r="W516"/>
      <c r="X516"/>
      <c r="Y516"/>
      <c r="Z516"/>
      <c r="AA516"/>
    </row>
    <row r="517" spans="1:27" x14ac:dyDescent="0.25">
      <c r="A517"/>
      <c r="B517" s="36"/>
      <c r="C517" s="36"/>
      <c r="D517"/>
      <c r="E517"/>
      <c r="F517"/>
      <c r="G517"/>
      <c r="H517"/>
      <c r="I517"/>
      <c r="J517"/>
      <c r="K517"/>
      <c r="L517"/>
      <c r="M517"/>
      <c r="N517"/>
      <c r="O517"/>
      <c r="P517" s="36"/>
      <c r="Q517" s="37"/>
      <c r="R517"/>
      <c r="S517"/>
      <c r="T517"/>
      <c r="U517"/>
      <c r="V517" s="39"/>
      <c r="W517"/>
      <c r="X517"/>
      <c r="Y517"/>
      <c r="Z517"/>
      <c r="AA517"/>
    </row>
    <row r="518" spans="1:27" x14ac:dyDescent="0.25">
      <c r="A518"/>
      <c r="B518" s="36"/>
      <c r="C518" s="36"/>
      <c r="D518"/>
      <c r="E518"/>
      <c r="F518"/>
      <c r="G518"/>
      <c r="H518"/>
      <c r="I518"/>
      <c r="J518"/>
      <c r="K518"/>
      <c r="L518"/>
      <c r="M518"/>
      <c r="N518"/>
      <c r="O518"/>
      <c r="P518" s="36"/>
      <c r="Q518" s="37"/>
      <c r="R518"/>
      <c r="S518"/>
      <c r="T518"/>
      <c r="U518"/>
      <c r="V518" s="39"/>
      <c r="W518"/>
      <c r="X518"/>
      <c r="Y518"/>
      <c r="Z518"/>
      <c r="AA518"/>
    </row>
    <row r="519" spans="1:27" x14ac:dyDescent="0.25">
      <c r="A519"/>
      <c r="B519" s="36"/>
      <c r="C519" s="36"/>
      <c r="D519"/>
      <c r="E519"/>
      <c r="F519"/>
      <c r="G519"/>
      <c r="H519"/>
      <c r="I519"/>
      <c r="J519"/>
      <c r="K519"/>
      <c r="L519"/>
      <c r="M519"/>
      <c r="N519"/>
      <c r="O519"/>
      <c r="P519" s="36"/>
      <c r="Q519" s="37"/>
      <c r="R519"/>
      <c r="S519"/>
      <c r="T519"/>
      <c r="U519"/>
      <c r="V519" s="39"/>
      <c r="W519"/>
      <c r="X519"/>
      <c r="Y519"/>
      <c r="Z519"/>
      <c r="AA519"/>
    </row>
    <row r="520" spans="1:27" x14ac:dyDescent="0.25">
      <c r="A520"/>
      <c r="B520" s="36"/>
      <c r="C520" s="36"/>
      <c r="D520"/>
      <c r="E520"/>
      <c r="F520"/>
      <c r="G520"/>
      <c r="H520"/>
      <c r="I520"/>
      <c r="J520"/>
      <c r="K520"/>
      <c r="L520"/>
      <c r="M520"/>
      <c r="N520"/>
      <c r="O520"/>
      <c r="P520" s="36"/>
      <c r="Q520" s="37"/>
      <c r="R520"/>
      <c r="S520"/>
      <c r="T520"/>
      <c r="U520"/>
      <c r="V520" s="39"/>
      <c r="W520"/>
      <c r="X520"/>
      <c r="Y520"/>
      <c r="Z520"/>
      <c r="AA520"/>
    </row>
    <row r="521" spans="1:27" x14ac:dyDescent="0.25">
      <c r="A521"/>
      <c r="B521" s="36"/>
      <c r="C521" s="36"/>
      <c r="D521"/>
      <c r="E521"/>
      <c r="F521"/>
      <c r="G521"/>
      <c r="H521"/>
      <c r="I521"/>
      <c r="J521"/>
      <c r="K521"/>
      <c r="L521"/>
      <c r="M521"/>
      <c r="N521"/>
      <c r="O521"/>
      <c r="P521" s="36"/>
      <c r="Q521" s="37"/>
      <c r="R521"/>
      <c r="S521"/>
      <c r="T521"/>
      <c r="U521"/>
      <c r="V521" s="39"/>
      <c r="W521"/>
      <c r="X521"/>
      <c r="Y521"/>
      <c r="Z521"/>
      <c r="AA521"/>
    </row>
    <row r="522" spans="1:27" x14ac:dyDescent="0.25">
      <c r="A522"/>
      <c r="B522" s="36"/>
      <c r="C522" s="36"/>
      <c r="D522"/>
      <c r="E522"/>
      <c r="F522"/>
      <c r="G522"/>
      <c r="H522"/>
      <c r="I522"/>
      <c r="J522"/>
      <c r="K522"/>
      <c r="L522"/>
      <c r="M522"/>
      <c r="N522"/>
      <c r="O522"/>
      <c r="P522" s="36"/>
      <c r="Q522" s="37"/>
      <c r="R522"/>
      <c r="S522"/>
      <c r="T522"/>
      <c r="U522"/>
      <c r="V522" s="39"/>
      <c r="W522"/>
      <c r="X522"/>
      <c r="Y522"/>
      <c r="Z522"/>
      <c r="AA522"/>
    </row>
    <row r="523" spans="1:27" x14ac:dyDescent="0.25">
      <c r="A523"/>
      <c r="B523" s="36"/>
      <c r="C523" s="36"/>
      <c r="D523"/>
      <c r="E523"/>
      <c r="F523"/>
      <c r="G523"/>
      <c r="H523"/>
      <c r="I523"/>
      <c r="J523"/>
      <c r="K523"/>
      <c r="L523"/>
      <c r="M523"/>
      <c r="N523"/>
      <c r="O523"/>
      <c r="P523" s="36"/>
      <c r="Q523" s="37"/>
      <c r="R523"/>
      <c r="S523"/>
      <c r="T523"/>
      <c r="U523"/>
      <c r="V523" s="39"/>
      <c r="W523"/>
      <c r="X523"/>
      <c r="Y523"/>
      <c r="Z523"/>
      <c r="AA523"/>
    </row>
    <row r="524" spans="1:27" x14ac:dyDescent="0.25">
      <c r="A524"/>
      <c r="B524" s="36"/>
      <c r="C524" s="36"/>
      <c r="D524"/>
      <c r="E524"/>
      <c r="F524"/>
      <c r="G524"/>
      <c r="H524"/>
      <c r="I524"/>
      <c r="J524"/>
      <c r="K524"/>
      <c r="L524"/>
      <c r="M524"/>
      <c r="N524"/>
      <c r="O524"/>
      <c r="P524" s="36"/>
      <c r="Q524" s="37"/>
      <c r="R524"/>
      <c r="S524"/>
      <c r="T524"/>
      <c r="U524"/>
      <c r="V524" s="39"/>
      <c r="W524"/>
      <c r="X524"/>
      <c r="Y524"/>
      <c r="Z524"/>
      <c r="AA524"/>
    </row>
    <row r="525" spans="1:27" x14ac:dyDescent="0.25">
      <c r="A525"/>
      <c r="B525" s="36"/>
      <c r="C525" s="36"/>
      <c r="D525"/>
      <c r="E525"/>
      <c r="F525"/>
      <c r="G525"/>
      <c r="H525"/>
      <c r="I525"/>
      <c r="J525"/>
      <c r="K525"/>
      <c r="L525"/>
      <c r="M525"/>
      <c r="N525"/>
      <c r="O525"/>
      <c r="P525" s="36"/>
      <c r="Q525" s="37"/>
      <c r="R525"/>
      <c r="S525"/>
      <c r="T525"/>
      <c r="U525"/>
      <c r="V525" s="39"/>
      <c r="W525"/>
      <c r="X525"/>
      <c r="Y525"/>
      <c r="Z525"/>
      <c r="AA525"/>
    </row>
    <row r="526" spans="1:27" x14ac:dyDescent="0.25">
      <c r="A526"/>
      <c r="B526" s="36"/>
      <c r="C526" s="36"/>
      <c r="D526"/>
      <c r="E526"/>
      <c r="F526"/>
      <c r="G526"/>
      <c r="H526"/>
      <c r="I526"/>
      <c r="J526"/>
      <c r="K526"/>
      <c r="L526"/>
      <c r="M526"/>
      <c r="N526"/>
      <c r="O526"/>
      <c r="P526" s="36"/>
      <c r="Q526" s="37"/>
      <c r="R526"/>
      <c r="S526"/>
      <c r="T526"/>
      <c r="U526"/>
      <c r="V526" s="39"/>
      <c r="W526"/>
      <c r="X526"/>
      <c r="Y526"/>
      <c r="Z526"/>
      <c r="AA526"/>
    </row>
    <row r="527" spans="1:27" x14ac:dyDescent="0.25">
      <c r="A527"/>
      <c r="B527" s="36"/>
      <c r="C527" s="36"/>
      <c r="D527"/>
      <c r="E527"/>
      <c r="F527"/>
      <c r="G527"/>
      <c r="H527"/>
      <c r="I527"/>
      <c r="J527"/>
      <c r="K527"/>
      <c r="L527"/>
      <c r="M527"/>
      <c r="N527"/>
      <c r="O527"/>
      <c r="P527" s="36"/>
      <c r="Q527" s="37"/>
      <c r="R527"/>
      <c r="S527"/>
      <c r="T527"/>
      <c r="U527"/>
      <c r="V527" s="39"/>
      <c r="W527"/>
      <c r="X527"/>
      <c r="Y527"/>
      <c r="Z527"/>
      <c r="AA527"/>
    </row>
    <row r="528" spans="1:27" x14ac:dyDescent="0.25">
      <c r="A528"/>
      <c r="B528" s="36"/>
      <c r="C528" s="36"/>
      <c r="D528"/>
      <c r="E528"/>
      <c r="F528"/>
      <c r="G528"/>
      <c r="H528"/>
      <c r="I528"/>
      <c r="J528"/>
      <c r="K528"/>
      <c r="L528"/>
      <c r="M528"/>
      <c r="N528"/>
      <c r="O528"/>
      <c r="P528" s="36"/>
      <c r="Q528" s="37"/>
      <c r="R528"/>
      <c r="S528"/>
      <c r="T528"/>
      <c r="U528"/>
      <c r="V528" s="39"/>
      <c r="W528"/>
      <c r="X528"/>
      <c r="Y528"/>
      <c r="Z528"/>
      <c r="AA528"/>
    </row>
    <row r="529" spans="1:27" x14ac:dyDescent="0.25">
      <c r="A529"/>
      <c r="B529" s="36"/>
      <c r="C529" s="36"/>
      <c r="D529"/>
      <c r="E529"/>
      <c r="F529"/>
      <c r="G529"/>
      <c r="H529"/>
      <c r="I529"/>
      <c r="J529"/>
      <c r="K529"/>
      <c r="L529"/>
      <c r="M529"/>
      <c r="N529"/>
      <c r="O529"/>
      <c r="P529" s="36"/>
      <c r="Q529" s="37"/>
      <c r="R529"/>
      <c r="S529"/>
      <c r="T529"/>
      <c r="U529"/>
      <c r="V529" s="39"/>
      <c r="W529"/>
      <c r="X529"/>
      <c r="Y529"/>
      <c r="Z529"/>
      <c r="AA529"/>
    </row>
    <row r="530" spans="1:27" x14ac:dyDescent="0.25">
      <c r="A530"/>
      <c r="B530" s="36"/>
      <c r="C530" s="36"/>
      <c r="D530"/>
      <c r="E530"/>
      <c r="F530"/>
      <c r="G530"/>
      <c r="H530"/>
      <c r="I530"/>
      <c r="J530"/>
      <c r="K530"/>
      <c r="L530"/>
      <c r="M530"/>
      <c r="N530"/>
      <c r="O530"/>
      <c r="P530" s="36"/>
      <c r="Q530" s="37"/>
      <c r="R530"/>
      <c r="S530"/>
      <c r="T530"/>
      <c r="U530"/>
      <c r="V530" s="39"/>
      <c r="W530"/>
      <c r="X530"/>
      <c r="Y530"/>
      <c r="Z530"/>
      <c r="AA530"/>
    </row>
    <row r="531" spans="1:27" x14ac:dyDescent="0.25">
      <c r="A531"/>
      <c r="B531" s="36"/>
      <c r="C531" s="36"/>
      <c r="D531"/>
      <c r="E531"/>
      <c r="F531"/>
      <c r="G531"/>
      <c r="H531"/>
      <c r="I531"/>
      <c r="J531"/>
      <c r="K531"/>
      <c r="L531"/>
      <c r="M531"/>
      <c r="N531"/>
      <c r="O531"/>
      <c r="P531" s="36"/>
      <c r="Q531" s="37"/>
      <c r="R531"/>
      <c r="S531"/>
      <c r="T531"/>
      <c r="U531"/>
      <c r="V531" s="39"/>
      <c r="W531"/>
      <c r="X531"/>
      <c r="Y531"/>
      <c r="Z531"/>
      <c r="AA531"/>
    </row>
    <row r="532" spans="1:27" x14ac:dyDescent="0.25">
      <c r="A532"/>
      <c r="B532" s="36"/>
      <c r="C532" s="36"/>
      <c r="D532"/>
      <c r="E532"/>
      <c r="F532"/>
      <c r="G532"/>
      <c r="H532"/>
      <c r="I532"/>
      <c r="J532"/>
      <c r="K532"/>
      <c r="L532"/>
      <c r="M532"/>
      <c r="N532"/>
      <c r="O532"/>
      <c r="P532" s="36"/>
      <c r="Q532" s="37"/>
      <c r="R532"/>
      <c r="S532"/>
      <c r="T532"/>
      <c r="U532"/>
      <c r="V532" s="39"/>
      <c r="W532"/>
      <c r="X532"/>
      <c r="Y532"/>
      <c r="Z532"/>
      <c r="AA532"/>
    </row>
    <row r="533" spans="1:27" x14ac:dyDescent="0.25">
      <c r="A533"/>
      <c r="B533" s="36"/>
      <c r="C533" s="36"/>
      <c r="D533"/>
      <c r="E533"/>
      <c r="F533"/>
      <c r="G533"/>
      <c r="H533"/>
      <c r="I533"/>
      <c r="J533"/>
      <c r="K533"/>
      <c r="L533"/>
      <c r="M533"/>
      <c r="N533"/>
      <c r="O533"/>
      <c r="P533" s="36"/>
      <c r="Q533" s="37"/>
      <c r="R533"/>
      <c r="S533"/>
      <c r="T533"/>
      <c r="U533"/>
      <c r="V533" s="39"/>
      <c r="W533"/>
      <c r="X533"/>
      <c r="Y533"/>
      <c r="Z533"/>
      <c r="AA533"/>
    </row>
    <row r="534" spans="1:27" x14ac:dyDescent="0.25">
      <c r="A534"/>
      <c r="B534" s="36"/>
      <c r="C534" s="36"/>
      <c r="D534"/>
      <c r="E534"/>
      <c r="F534"/>
      <c r="G534"/>
      <c r="H534"/>
      <c r="I534"/>
      <c r="J534"/>
      <c r="K534"/>
      <c r="L534"/>
      <c r="M534"/>
      <c r="N534"/>
      <c r="O534"/>
      <c r="P534" s="36"/>
      <c r="Q534" s="37"/>
      <c r="R534"/>
      <c r="S534"/>
      <c r="T534"/>
      <c r="U534"/>
      <c r="V534" s="39"/>
      <c r="W534"/>
      <c r="X534"/>
      <c r="Y534"/>
      <c r="Z534"/>
      <c r="AA534"/>
    </row>
    <row r="535" spans="1:27" x14ac:dyDescent="0.25">
      <c r="A535"/>
      <c r="B535" s="36"/>
      <c r="C535" s="36"/>
      <c r="D535"/>
      <c r="E535"/>
      <c r="F535"/>
      <c r="G535"/>
      <c r="H535"/>
      <c r="I535"/>
      <c r="J535"/>
      <c r="K535"/>
      <c r="L535"/>
      <c r="M535"/>
      <c r="N535"/>
      <c r="O535"/>
      <c r="P535" s="36"/>
      <c r="Q535" s="37"/>
      <c r="R535"/>
      <c r="S535"/>
      <c r="T535"/>
      <c r="U535"/>
      <c r="V535" s="39"/>
      <c r="W535"/>
      <c r="X535"/>
      <c r="Y535"/>
      <c r="Z535"/>
      <c r="AA535"/>
    </row>
    <row r="536" spans="1:27" x14ac:dyDescent="0.25">
      <c r="A536"/>
      <c r="B536" s="36"/>
      <c r="C536" s="36"/>
      <c r="D536"/>
      <c r="E536"/>
      <c r="F536"/>
      <c r="G536"/>
      <c r="H536"/>
      <c r="I536"/>
      <c r="J536"/>
      <c r="K536"/>
      <c r="L536"/>
      <c r="M536"/>
      <c r="N536"/>
      <c r="O536"/>
      <c r="P536" s="36"/>
      <c r="Q536" s="37"/>
      <c r="R536"/>
      <c r="S536"/>
      <c r="T536"/>
      <c r="U536"/>
      <c r="V536" s="39"/>
      <c r="W536"/>
      <c r="X536"/>
      <c r="Y536"/>
      <c r="Z536"/>
      <c r="AA536"/>
    </row>
    <row r="537" spans="1:27" x14ac:dyDescent="0.25">
      <c r="A537"/>
      <c r="B537" s="36"/>
      <c r="C537" s="36"/>
      <c r="D537"/>
      <c r="E537"/>
      <c r="F537"/>
      <c r="G537"/>
      <c r="H537"/>
      <c r="I537"/>
      <c r="J537"/>
      <c r="K537"/>
      <c r="L537"/>
      <c r="M537"/>
      <c r="N537"/>
      <c r="O537"/>
      <c r="P537" s="36"/>
      <c r="Q537" s="37"/>
      <c r="R537"/>
      <c r="S537"/>
      <c r="T537"/>
      <c r="U537"/>
      <c r="V537" s="39"/>
      <c r="W537"/>
      <c r="X537"/>
      <c r="Y537"/>
      <c r="Z537"/>
      <c r="AA537"/>
    </row>
    <row r="538" spans="1:27" x14ac:dyDescent="0.25">
      <c r="A538"/>
      <c r="B538" s="36"/>
      <c r="C538" s="36"/>
      <c r="D538"/>
      <c r="E538"/>
      <c r="F538"/>
      <c r="G538"/>
      <c r="H538"/>
      <c r="I538"/>
      <c r="J538"/>
      <c r="K538"/>
      <c r="L538"/>
      <c r="M538"/>
      <c r="N538"/>
      <c r="O538"/>
      <c r="P538" s="36"/>
      <c r="Q538" s="37"/>
      <c r="R538"/>
      <c r="S538"/>
      <c r="T538"/>
      <c r="U538"/>
      <c r="V538" s="39"/>
      <c r="W538"/>
      <c r="X538"/>
      <c r="Y538"/>
      <c r="Z538"/>
      <c r="AA538"/>
    </row>
    <row r="539" spans="1:27" x14ac:dyDescent="0.25">
      <c r="A539"/>
      <c r="B539" s="36"/>
      <c r="C539" s="36"/>
      <c r="D539"/>
      <c r="E539"/>
      <c r="F539"/>
      <c r="G539"/>
      <c r="H539"/>
      <c r="I539"/>
      <c r="J539"/>
      <c r="K539"/>
      <c r="L539"/>
      <c r="M539"/>
      <c r="N539"/>
      <c r="O539"/>
      <c r="P539" s="36"/>
      <c r="Q539" s="37"/>
      <c r="R539"/>
      <c r="S539"/>
      <c r="T539"/>
      <c r="U539"/>
      <c r="V539" s="39"/>
      <c r="W539"/>
      <c r="X539"/>
      <c r="Y539"/>
      <c r="Z539"/>
      <c r="AA539"/>
    </row>
    <row r="540" spans="1:27" x14ac:dyDescent="0.25">
      <c r="A540"/>
      <c r="B540" s="36"/>
      <c r="C540" s="36"/>
      <c r="D540"/>
      <c r="E540"/>
      <c r="F540"/>
      <c r="G540"/>
      <c r="H540"/>
      <c r="I540"/>
      <c r="J540"/>
      <c r="K540"/>
      <c r="L540"/>
      <c r="M540"/>
      <c r="N540"/>
      <c r="O540"/>
      <c r="P540" s="36"/>
      <c r="Q540" s="37"/>
      <c r="R540"/>
      <c r="S540"/>
      <c r="T540"/>
      <c r="U540"/>
      <c r="V540" s="39"/>
      <c r="W540"/>
      <c r="X540"/>
      <c r="Y540"/>
      <c r="Z540"/>
      <c r="AA540"/>
    </row>
    <row r="541" spans="1:27" x14ac:dyDescent="0.25">
      <c r="A541"/>
      <c r="B541" s="36"/>
      <c r="C541" s="36"/>
      <c r="D541"/>
      <c r="E541"/>
      <c r="F541"/>
      <c r="G541"/>
      <c r="H541"/>
      <c r="I541"/>
      <c r="J541"/>
      <c r="K541"/>
      <c r="L541"/>
      <c r="M541"/>
      <c r="N541"/>
      <c r="O541"/>
      <c r="P541" s="36"/>
      <c r="Q541" s="37"/>
      <c r="R541"/>
      <c r="S541"/>
      <c r="T541"/>
      <c r="U541"/>
      <c r="V541" s="39"/>
      <c r="W541"/>
      <c r="X541"/>
      <c r="Y541"/>
      <c r="Z541"/>
      <c r="AA541"/>
    </row>
    <row r="542" spans="1:27" x14ac:dyDescent="0.25">
      <c r="A542"/>
      <c r="B542" s="36"/>
      <c r="C542" s="36"/>
      <c r="D542"/>
      <c r="E542"/>
      <c r="F542"/>
      <c r="G542"/>
      <c r="H542"/>
      <c r="I542"/>
      <c r="J542"/>
      <c r="K542"/>
      <c r="L542"/>
      <c r="M542"/>
      <c r="N542"/>
      <c r="O542"/>
      <c r="P542" s="36"/>
      <c r="Q542" s="37"/>
      <c r="R542"/>
      <c r="S542"/>
      <c r="T542"/>
      <c r="U542"/>
      <c r="V542" s="39"/>
      <c r="W542"/>
      <c r="X542"/>
      <c r="Y542"/>
      <c r="Z542"/>
      <c r="AA542"/>
    </row>
    <row r="543" spans="1:27" x14ac:dyDescent="0.25">
      <c r="A543"/>
      <c r="B543" s="36"/>
      <c r="C543" s="36"/>
      <c r="D543"/>
      <c r="E543"/>
      <c r="F543"/>
      <c r="G543"/>
      <c r="H543"/>
      <c r="I543"/>
      <c r="J543"/>
      <c r="K543"/>
      <c r="L543"/>
      <c r="M543"/>
      <c r="N543"/>
      <c r="O543"/>
      <c r="P543" s="36"/>
      <c r="Q543" s="37"/>
      <c r="R543"/>
      <c r="S543"/>
      <c r="T543"/>
      <c r="U543"/>
      <c r="V543" s="39"/>
      <c r="W543"/>
      <c r="X543"/>
      <c r="Y543"/>
      <c r="Z543"/>
      <c r="AA543"/>
    </row>
    <row r="544" spans="1:27" x14ac:dyDescent="0.25">
      <c r="A544"/>
      <c r="B544" s="36"/>
      <c r="C544" s="36"/>
      <c r="D544"/>
      <c r="E544"/>
      <c r="F544"/>
      <c r="G544"/>
      <c r="H544"/>
      <c r="I544"/>
      <c r="J544"/>
      <c r="K544"/>
      <c r="L544"/>
      <c r="M544"/>
      <c r="N544"/>
      <c r="O544"/>
      <c r="P544" s="36"/>
      <c r="Q544" s="37"/>
      <c r="R544"/>
      <c r="S544"/>
      <c r="T544"/>
      <c r="U544"/>
      <c r="V544" s="39"/>
      <c r="W544"/>
      <c r="X544"/>
      <c r="Y544"/>
      <c r="Z544"/>
      <c r="AA544"/>
    </row>
    <row r="545" spans="1:27" x14ac:dyDescent="0.25">
      <c r="A545"/>
      <c r="B545" s="36"/>
      <c r="C545" s="36"/>
      <c r="D545"/>
      <c r="E545"/>
      <c r="F545"/>
      <c r="G545"/>
      <c r="H545"/>
      <c r="I545"/>
      <c r="J545"/>
      <c r="K545"/>
      <c r="L545"/>
      <c r="M545"/>
      <c r="N545"/>
      <c r="O545"/>
      <c r="P545" s="36"/>
      <c r="Q545" s="37"/>
      <c r="R545"/>
      <c r="S545"/>
      <c r="T545"/>
      <c r="U545"/>
      <c r="V545" s="39"/>
      <c r="W545"/>
      <c r="X545"/>
      <c r="Y545"/>
      <c r="Z545"/>
      <c r="AA545"/>
    </row>
    <row r="546" spans="1:27" x14ac:dyDescent="0.25">
      <c r="A546"/>
      <c r="B546" s="36"/>
      <c r="C546" s="36"/>
      <c r="D546"/>
      <c r="E546"/>
      <c r="F546"/>
      <c r="G546"/>
      <c r="H546"/>
      <c r="I546"/>
      <c r="J546"/>
      <c r="K546"/>
      <c r="L546"/>
      <c r="M546"/>
      <c r="N546"/>
      <c r="O546"/>
      <c r="P546" s="36"/>
      <c r="Q546" s="37"/>
      <c r="R546"/>
      <c r="S546"/>
      <c r="T546"/>
      <c r="U546"/>
      <c r="V546" s="39"/>
      <c r="W546"/>
      <c r="X546"/>
      <c r="Y546"/>
      <c r="Z546"/>
      <c r="AA546"/>
    </row>
    <row r="547" spans="1:27" x14ac:dyDescent="0.25">
      <c r="A547"/>
      <c r="B547" s="36"/>
      <c r="C547" s="36"/>
      <c r="D547"/>
      <c r="E547"/>
      <c r="F547"/>
      <c r="G547"/>
      <c r="H547"/>
      <c r="I547"/>
      <c r="J547"/>
      <c r="K547"/>
      <c r="L547"/>
      <c r="M547"/>
      <c r="N547"/>
      <c r="O547"/>
      <c r="P547" s="36"/>
      <c r="Q547" s="37"/>
      <c r="R547"/>
      <c r="S547"/>
      <c r="T547"/>
      <c r="U547"/>
      <c r="V547" s="39"/>
      <c r="W547"/>
      <c r="X547"/>
      <c r="Y547"/>
      <c r="Z547"/>
      <c r="AA547"/>
    </row>
    <row r="548" spans="1:27" x14ac:dyDescent="0.25">
      <c r="A548"/>
      <c r="B548" s="36"/>
      <c r="C548" s="36"/>
      <c r="D548"/>
      <c r="E548"/>
      <c r="F548"/>
      <c r="G548"/>
      <c r="H548"/>
      <c r="I548"/>
      <c r="J548"/>
      <c r="K548"/>
      <c r="L548"/>
      <c r="M548"/>
      <c r="N548"/>
      <c r="O548"/>
      <c r="P548" s="36"/>
      <c r="Q548" s="37"/>
      <c r="R548"/>
      <c r="S548"/>
      <c r="T548"/>
      <c r="U548"/>
      <c r="V548" s="39"/>
      <c r="W548"/>
      <c r="X548"/>
      <c r="Y548"/>
      <c r="Z548"/>
      <c r="AA548"/>
    </row>
    <row r="549" spans="1:27" x14ac:dyDescent="0.25">
      <c r="A549"/>
      <c r="B549" s="36"/>
      <c r="C549" s="36"/>
      <c r="D549"/>
      <c r="E549"/>
      <c r="F549"/>
      <c r="G549"/>
      <c r="H549"/>
      <c r="I549"/>
      <c r="J549"/>
      <c r="K549"/>
      <c r="L549"/>
      <c r="M549"/>
      <c r="N549"/>
      <c r="O549"/>
      <c r="P549" s="36"/>
      <c r="Q549" s="37"/>
      <c r="R549"/>
      <c r="S549"/>
      <c r="T549"/>
      <c r="U549"/>
      <c r="V549" s="39"/>
      <c r="W549"/>
      <c r="X549"/>
      <c r="Y549"/>
      <c r="Z549"/>
      <c r="AA549"/>
    </row>
    <row r="550" spans="1:27" x14ac:dyDescent="0.25">
      <c r="A550"/>
      <c r="B550" s="36"/>
      <c r="C550" s="36"/>
      <c r="D550"/>
      <c r="E550"/>
      <c r="F550"/>
      <c r="G550"/>
      <c r="H550"/>
      <c r="I550"/>
      <c r="J550"/>
      <c r="K550"/>
      <c r="L550"/>
      <c r="M550"/>
      <c r="N550"/>
      <c r="O550"/>
      <c r="P550" s="36"/>
      <c r="Q550" s="37"/>
      <c r="R550"/>
      <c r="S550"/>
      <c r="T550"/>
      <c r="U550"/>
      <c r="V550" s="39"/>
      <c r="W550"/>
      <c r="X550"/>
      <c r="Y550"/>
      <c r="Z550"/>
      <c r="AA550"/>
    </row>
    <row r="551" spans="1:27" x14ac:dyDescent="0.25">
      <c r="A551"/>
      <c r="B551" s="36"/>
      <c r="C551" s="36"/>
      <c r="D551"/>
      <c r="E551"/>
      <c r="F551"/>
      <c r="G551"/>
      <c r="H551"/>
      <c r="I551"/>
      <c r="J551"/>
      <c r="K551"/>
      <c r="L551"/>
      <c r="M551"/>
      <c r="N551"/>
      <c r="O551"/>
      <c r="P551" s="36"/>
      <c r="Q551" s="37"/>
      <c r="R551"/>
      <c r="S551"/>
      <c r="T551"/>
      <c r="U551"/>
      <c r="V551" s="39"/>
      <c r="W551"/>
      <c r="X551"/>
      <c r="Y551"/>
      <c r="Z551"/>
      <c r="AA551"/>
    </row>
    <row r="552" spans="1:27" x14ac:dyDescent="0.25">
      <c r="A552"/>
      <c r="B552" s="36"/>
      <c r="C552" s="36"/>
      <c r="D552"/>
      <c r="E552"/>
      <c r="F552"/>
      <c r="G552"/>
      <c r="H552"/>
      <c r="I552"/>
      <c r="J552"/>
      <c r="K552"/>
      <c r="L552"/>
      <c r="M552"/>
      <c r="N552"/>
      <c r="O552"/>
      <c r="P552" s="36"/>
      <c r="Q552" s="37"/>
      <c r="R552"/>
      <c r="S552"/>
      <c r="T552"/>
      <c r="U552"/>
      <c r="V552" s="39"/>
      <c r="W552"/>
      <c r="X552"/>
      <c r="Y552"/>
      <c r="Z552"/>
      <c r="AA552"/>
    </row>
    <row r="553" spans="1:27" x14ac:dyDescent="0.25">
      <c r="A553"/>
      <c r="B553" s="36"/>
      <c r="C553" s="36"/>
      <c r="D553"/>
      <c r="E553"/>
      <c r="F553"/>
      <c r="G553"/>
      <c r="H553"/>
      <c r="I553"/>
      <c r="J553"/>
      <c r="K553"/>
      <c r="L553"/>
      <c r="M553"/>
      <c r="N553"/>
      <c r="O553"/>
      <c r="P553" s="36"/>
      <c r="Q553" s="37"/>
      <c r="R553"/>
      <c r="S553"/>
      <c r="T553"/>
      <c r="U553"/>
      <c r="V553" s="39"/>
      <c r="W553"/>
      <c r="X553"/>
      <c r="Y553"/>
      <c r="Z553"/>
      <c r="AA553"/>
    </row>
    <row r="554" spans="1:27" x14ac:dyDescent="0.25">
      <c r="A554"/>
      <c r="B554" s="36"/>
      <c r="C554" s="36"/>
      <c r="D554"/>
      <c r="E554"/>
      <c r="F554"/>
      <c r="G554"/>
      <c r="H554"/>
      <c r="I554"/>
      <c r="J554"/>
      <c r="K554"/>
      <c r="L554"/>
      <c r="M554"/>
      <c r="N554"/>
      <c r="O554"/>
      <c r="P554" s="36"/>
      <c r="Q554" s="37"/>
      <c r="R554"/>
      <c r="S554"/>
      <c r="T554"/>
      <c r="U554"/>
      <c r="V554" s="39"/>
      <c r="W554"/>
      <c r="X554"/>
      <c r="Y554"/>
      <c r="Z554"/>
      <c r="AA554"/>
    </row>
    <row r="555" spans="1:27" x14ac:dyDescent="0.25">
      <c r="A555"/>
      <c r="B555" s="36"/>
      <c r="C555" s="36"/>
      <c r="D555"/>
      <c r="E555"/>
      <c r="F555"/>
      <c r="G555"/>
      <c r="H555"/>
      <c r="I555"/>
      <c r="J555"/>
      <c r="K555"/>
      <c r="L555"/>
      <c r="M555"/>
      <c r="N555"/>
      <c r="O555"/>
      <c r="P555" s="36"/>
      <c r="Q555" s="37"/>
      <c r="R555"/>
      <c r="S555"/>
      <c r="T555"/>
      <c r="U555"/>
      <c r="V555" s="39"/>
      <c r="W555"/>
      <c r="X555"/>
      <c r="Y555"/>
      <c r="Z555"/>
      <c r="AA555"/>
    </row>
    <row r="556" spans="1:27" x14ac:dyDescent="0.25">
      <c r="A556"/>
      <c r="B556" s="36"/>
      <c r="C556" s="36"/>
      <c r="D556"/>
      <c r="E556"/>
      <c r="F556"/>
      <c r="G556"/>
      <c r="H556"/>
      <c r="I556"/>
      <c r="J556"/>
      <c r="K556"/>
      <c r="L556"/>
      <c r="M556"/>
      <c r="N556"/>
      <c r="O556"/>
      <c r="P556" s="36"/>
      <c r="Q556" s="37"/>
      <c r="R556"/>
      <c r="S556"/>
      <c r="T556"/>
      <c r="U556"/>
      <c r="V556" s="39"/>
      <c r="W556"/>
      <c r="X556"/>
      <c r="Y556"/>
      <c r="Z556"/>
      <c r="AA556"/>
    </row>
    <row r="557" spans="1:27" x14ac:dyDescent="0.25">
      <c r="A557"/>
      <c r="B557" s="36"/>
      <c r="C557" s="36"/>
      <c r="D557"/>
      <c r="E557"/>
      <c r="F557"/>
      <c r="G557"/>
      <c r="H557"/>
      <c r="I557"/>
      <c r="J557"/>
      <c r="K557"/>
      <c r="L557"/>
      <c r="M557"/>
      <c r="N557"/>
      <c r="O557"/>
      <c r="P557" s="36"/>
      <c r="Q557" s="37"/>
      <c r="R557"/>
      <c r="S557"/>
      <c r="T557"/>
      <c r="U557"/>
      <c r="V557" s="39"/>
      <c r="W557"/>
      <c r="X557"/>
      <c r="Y557"/>
      <c r="Z557"/>
      <c r="AA557"/>
    </row>
    <row r="558" spans="1:27" x14ac:dyDescent="0.25">
      <c r="A558"/>
      <c r="B558" s="36"/>
      <c r="C558" s="36"/>
      <c r="D558"/>
      <c r="E558"/>
      <c r="F558"/>
      <c r="G558"/>
      <c r="H558"/>
      <c r="I558"/>
      <c r="J558"/>
      <c r="K558"/>
      <c r="L558"/>
      <c r="M558"/>
      <c r="N558"/>
      <c r="O558"/>
      <c r="P558" s="36"/>
      <c r="Q558" s="37"/>
      <c r="R558"/>
      <c r="S558"/>
      <c r="T558"/>
      <c r="U558"/>
      <c r="V558" s="39"/>
      <c r="W558"/>
      <c r="X558"/>
      <c r="Y558"/>
      <c r="Z558"/>
      <c r="AA558"/>
    </row>
    <row r="559" spans="1:27" x14ac:dyDescent="0.25">
      <c r="A559"/>
      <c r="B559" s="36"/>
      <c r="C559" s="36"/>
      <c r="D559"/>
      <c r="E559"/>
      <c r="F559"/>
      <c r="G559"/>
      <c r="H559"/>
      <c r="I559"/>
      <c r="J559"/>
      <c r="K559"/>
      <c r="L559"/>
      <c r="M559"/>
      <c r="N559"/>
      <c r="O559"/>
      <c r="P559" s="36"/>
      <c r="Q559" s="37"/>
      <c r="R559"/>
      <c r="S559"/>
      <c r="T559"/>
      <c r="U559"/>
      <c r="V559" s="39"/>
      <c r="W559"/>
      <c r="X559"/>
      <c r="Y559"/>
      <c r="Z559"/>
      <c r="AA559"/>
    </row>
    <row r="560" spans="1:27" x14ac:dyDescent="0.25">
      <c r="A560"/>
      <c r="B560" s="36"/>
      <c r="C560" s="36"/>
      <c r="D560"/>
      <c r="E560"/>
      <c r="F560"/>
      <c r="G560"/>
      <c r="H560"/>
      <c r="I560"/>
      <c r="J560"/>
      <c r="K560"/>
      <c r="L560"/>
      <c r="M560"/>
      <c r="N560"/>
      <c r="O560"/>
      <c r="P560" s="36"/>
      <c r="Q560" s="37"/>
      <c r="R560"/>
      <c r="S560"/>
      <c r="T560"/>
      <c r="U560"/>
      <c r="V560" s="39"/>
      <c r="W560"/>
      <c r="X560"/>
      <c r="Y560"/>
      <c r="Z560"/>
      <c r="AA560"/>
    </row>
    <row r="561" spans="1:27" x14ac:dyDescent="0.25">
      <c r="A561"/>
      <c r="B561" s="36"/>
      <c r="C561" s="36"/>
      <c r="D561"/>
      <c r="E561"/>
      <c r="F561"/>
      <c r="G561"/>
      <c r="H561"/>
      <c r="I561"/>
      <c r="J561"/>
      <c r="K561"/>
      <c r="L561"/>
      <c r="M561"/>
      <c r="N561"/>
      <c r="O561"/>
      <c r="P561" s="36"/>
      <c r="Q561" s="37"/>
      <c r="R561"/>
      <c r="S561"/>
      <c r="T561"/>
      <c r="U561"/>
      <c r="V561" s="39"/>
      <c r="W561"/>
      <c r="X561"/>
      <c r="Y561"/>
      <c r="Z561"/>
      <c r="AA561"/>
    </row>
    <row r="562" spans="1:27" x14ac:dyDescent="0.25">
      <c r="A562"/>
      <c r="B562" s="36"/>
      <c r="C562" s="36"/>
      <c r="D562"/>
      <c r="E562"/>
      <c r="F562"/>
      <c r="G562"/>
      <c r="H562"/>
      <c r="I562"/>
      <c r="J562"/>
      <c r="K562"/>
      <c r="L562"/>
      <c r="M562"/>
      <c r="N562"/>
      <c r="O562"/>
      <c r="P562" s="36"/>
      <c r="Q562" s="37"/>
      <c r="R562"/>
      <c r="S562"/>
      <c r="T562"/>
      <c r="U562"/>
      <c r="V562" s="39"/>
      <c r="W562"/>
      <c r="X562"/>
      <c r="Y562"/>
      <c r="Z562"/>
      <c r="AA562"/>
    </row>
    <row r="563" spans="1:27" x14ac:dyDescent="0.25">
      <c r="A563"/>
      <c r="B563" s="36"/>
      <c r="C563" s="36"/>
      <c r="D563"/>
      <c r="E563"/>
      <c r="F563"/>
      <c r="G563"/>
      <c r="H563"/>
      <c r="I563"/>
      <c r="J563"/>
      <c r="K563"/>
      <c r="L563"/>
      <c r="M563"/>
      <c r="N563"/>
      <c r="O563"/>
      <c r="P563" s="36"/>
      <c r="Q563" s="37"/>
      <c r="R563"/>
      <c r="S563"/>
      <c r="T563"/>
      <c r="U563"/>
      <c r="V563" s="39"/>
      <c r="W563"/>
      <c r="X563"/>
      <c r="Y563"/>
      <c r="Z563"/>
      <c r="AA563"/>
    </row>
    <row r="564" spans="1:27" x14ac:dyDescent="0.25">
      <c r="A564"/>
      <c r="B564" s="36"/>
      <c r="C564" s="36"/>
      <c r="D564"/>
      <c r="E564"/>
      <c r="F564"/>
      <c r="G564"/>
      <c r="H564"/>
      <c r="I564"/>
      <c r="J564"/>
      <c r="K564"/>
      <c r="L564"/>
      <c r="M564"/>
      <c r="N564"/>
      <c r="O564"/>
      <c r="P564" s="36"/>
      <c r="Q564" s="37"/>
      <c r="R564"/>
      <c r="S564"/>
      <c r="T564"/>
      <c r="U564"/>
      <c r="V564" s="39"/>
      <c r="W564"/>
      <c r="X564"/>
      <c r="Y564"/>
      <c r="Z564"/>
      <c r="AA564"/>
    </row>
    <row r="565" spans="1:27" x14ac:dyDescent="0.25">
      <c r="A565"/>
      <c r="B565" s="36"/>
      <c r="C565" s="36"/>
      <c r="D565"/>
      <c r="E565"/>
      <c r="F565"/>
      <c r="G565"/>
      <c r="H565"/>
      <c r="I565"/>
      <c r="J565"/>
      <c r="K565"/>
      <c r="L565"/>
      <c r="M565"/>
      <c r="N565"/>
      <c r="O565"/>
      <c r="P565" s="36"/>
      <c r="Q565" s="37"/>
      <c r="R565"/>
      <c r="S565"/>
      <c r="T565"/>
      <c r="U565"/>
      <c r="V565" s="39"/>
      <c r="W565"/>
      <c r="X565"/>
      <c r="Y565"/>
      <c r="Z565"/>
      <c r="AA565"/>
    </row>
    <row r="566" spans="1:27" x14ac:dyDescent="0.25">
      <c r="A566"/>
      <c r="B566" s="36"/>
      <c r="C566" s="36"/>
      <c r="D566"/>
      <c r="E566"/>
      <c r="F566"/>
      <c r="G566"/>
      <c r="H566"/>
      <c r="I566"/>
      <c r="J566"/>
      <c r="K566"/>
      <c r="L566"/>
      <c r="M566"/>
      <c r="N566"/>
      <c r="O566"/>
      <c r="P566" s="36"/>
      <c r="Q566" s="37"/>
      <c r="R566"/>
      <c r="S566"/>
      <c r="T566"/>
      <c r="U566"/>
      <c r="V566" s="39"/>
      <c r="W566"/>
      <c r="X566"/>
      <c r="Y566"/>
      <c r="Z566"/>
      <c r="AA566"/>
    </row>
    <row r="567" spans="1:27" x14ac:dyDescent="0.25">
      <c r="A567"/>
      <c r="B567" s="36"/>
      <c r="C567" s="36"/>
      <c r="D567"/>
      <c r="E567"/>
      <c r="F567"/>
      <c r="G567"/>
      <c r="H567"/>
      <c r="I567"/>
      <c r="J567"/>
      <c r="K567"/>
      <c r="L567"/>
      <c r="M567"/>
      <c r="N567"/>
      <c r="O567"/>
      <c r="P567" s="36"/>
      <c r="Q567" s="37"/>
      <c r="R567"/>
      <c r="S567"/>
      <c r="T567"/>
      <c r="U567"/>
      <c r="V567" s="39"/>
      <c r="W567"/>
      <c r="X567"/>
      <c r="Y567"/>
      <c r="Z567"/>
      <c r="AA567"/>
    </row>
    <row r="568" spans="1:27" x14ac:dyDescent="0.25">
      <c r="A568"/>
      <c r="B568" s="36"/>
      <c r="C568" s="36"/>
      <c r="D568"/>
      <c r="E568"/>
      <c r="F568"/>
      <c r="G568"/>
      <c r="H568"/>
      <c r="I568"/>
      <c r="J568"/>
      <c r="K568"/>
      <c r="L568"/>
      <c r="M568"/>
      <c r="N568"/>
      <c r="O568"/>
      <c r="P568" s="36"/>
      <c r="Q568" s="37"/>
      <c r="R568"/>
      <c r="S568"/>
      <c r="T568"/>
      <c r="U568"/>
      <c r="V568" s="39"/>
      <c r="W568"/>
      <c r="X568"/>
      <c r="Y568"/>
      <c r="Z568"/>
      <c r="AA568"/>
    </row>
    <row r="569" spans="1:27" x14ac:dyDescent="0.25">
      <c r="A569"/>
      <c r="B569" s="36"/>
      <c r="C569" s="36"/>
      <c r="D569"/>
      <c r="E569"/>
      <c r="F569"/>
      <c r="G569"/>
      <c r="H569"/>
      <c r="I569"/>
      <c r="J569"/>
      <c r="K569"/>
      <c r="L569"/>
      <c r="M569"/>
      <c r="N569"/>
      <c r="O569"/>
      <c r="P569" s="36"/>
      <c r="Q569" s="37"/>
      <c r="R569"/>
      <c r="S569"/>
      <c r="T569"/>
      <c r="U569"/>
      <c r="V569" s="39"/>
      <c r="W569"/>
      <c r="X569"/>
      <c r="Y569"/>
      <c r="Z569"/>
      <c r="AA569"/>
    </row>
    <row r="570" spans="1:27" x14ac:dyDescent="0.25">
      <c r="A570"/>
      <c r="B570" s="36"/>
      <c r="C570" s="36"/>
      <c r="D570"/>
      <c r="E570"/>
      <c r="F570"/>
      <c r="G570"/>
      <c r="H570"/>
      <c r="I570"/>
      <c r="J570"/>
      <c r="K570"/>
      <c r="L570"/>
      <c r="M570"/>
      <c r="N570"/>
      <c r="O570"/>
      <c r="P570" s="36"/>
      <c r="Q570" s="37"/>
      <c r="R570"/>
      <c r="S570"/>
      <c r="T570"/>
      <c r="U570"/>
      <c r="V570" s="39"/>
      <c r="W570"/>
      <c r="X570"/>
      <c r="Y570"/>
      <c r="Z570"/>
      <c r="AA570"/>
    </row>
    <row r="571" spans="1:27" x14ac:dyDescent="0.25">
      <c r="A571"/>
      <c r="B571" s="36"/>
      <c r="C571" s="36"/>
      <c r="D571"/>
      <c r="E571"/>
      <c r="F571"/>
      <c r="G571"/>
      <c r="H571"/>
      <c r="I571"/>
      <c r="J571"/>
      <c r="K571"/>
      <c r="L571"/>
      <c r="M571"/>
      <c r="N571"/>
      <c r="O571"/>
      <c r="P571" s="36"/>
      <c r="Q571" s="37"/>
      <c r="R571"/>
      <c r="S571"/>
      <c r="T571"/>
      <c r="U571"/>
      <c r="V571" s="39"/>
      <c r="W571"/>
      <c r="X571"/>
      <c r="Y571"/>
      <c r="Z571"/>
      <c r="AA571"/>
    </row>
    <row r="572" spans="1:27" x14ac:dyDescent="0.25">
      <c r="A572"/>
      <c r="B572" s="36"/>
      <c r="C572" s="36"/>
      <c r="D572"/>
      <c r="E572"/>
      <c r="F572"/>
      <c r="G572"/>
      <c r="H572"/>
      <c r="I572"/>
      <c r="J572"/>
      <c r="K572"/>
      <c r="L572"/>
      <c r="M572"/>
      <c r="N572"/>
      <c r="O572"/>
      <c r="P572" s="36"/>
      <c r="Q572" s="37"/>
      <c r="R572"/>
      <c r="S572"/>
      <c r="T572"/>
      <c r="U572"/>
      <c r="V572" s="39"/>
      <c r="W572"/>
      <c r="X572"/>
      <c r="Y572"/>
      <c r="Z572"/>
      <c r="AA572"/>
    </row>
    <row r="573" spans="1:27" x14ac:dyDescent="0.25">
      <c r="A573"/>
      <c r="B573" s="36"/>
      <c r="C573" s="36"/>
      <c r="D573"/>
      <c r="E573"/>
      <c r="F573"/>
      <c r="G573"/>
      <c r="H573"/>
      <c r="I573"/>
      <c r="J573"/>
      <c r="K573"/>
      <c r="L573"/>
      <c r="M573"/>
      <c r="N573"/>
      <c r="O573"/>
      <c r="P573" s="36"/>
      <c r="Q573" s="37"/>
      <c r="R573"/>
      <c r="S573"/>
      <c r="T573"/>
      <c r="U573"/>
      <c r="V573" s="39"/>
      <c r="W573"/>
      <c r="X573"/>
      <c r="Y573"/>
      <c r="Z573"/>
      <c r="AA573"/>
    </row>
    <row r="574" spans="1:27" x14ac:dyDescent="0.25">
      <c r="A574"/>
      <c r="B574" s="36"/>
      <c r="C574" s="36"/>
      <c r="D574"/>
      <c r="E574"/>
      <c r="F574"/>
      <c r="G574"/>
      <c r="H574"/>
      <c r="I574"/>
      <c r="J574"/>
      <c r="K574"/>
      <c r="L574"/>
      <c r="M574"/>
      <c r="N574"/>
      <c r="O574"/>
      <c r="P574" s="36"/>
      <c r="Q574" s="37"/>
      <c r="R574"/>
      <c r="S574"/>
      <c r="T574"/>
      <c r="U574"/>
      <c r="V574" s="39"/>
      <c r="W574"/>
      <c r="X574"/>
      <c r="Y574"/>
      <c r="Z574"/>
      <c r="AA574"/>
    </row>
    <row r="575" spans="1:27" x14ac:dyDescent="0.25">
      <c r="A575"/>
      <c r="B575" s="36"/>
      <c r="C575" s="36"/>
      <c r="D575"/>
      <c r="E575"/>
      <c r="F575"/>
      <c r="G575"/>
      <c r="H575"/>
      <c r="I575"/>
      <c r="J575"/>
      <c r="K575"/>
      <c r="L575"/>
      <c r="M575"/>
      <c r="N575"/>
      <c r="O575"/>
      <c r="P575" s="36"/>
      <c r="Q575" s="37"/>
      <c r="R575"/>
      <c r="S575"/>
      <c r="T575"/>
      <c r="U575"/>
      <c r="V575" s="39"/>
      <c r="W575"/>
      <c r="X575"/>
      <c r="Y575"/>
      <c r="Z575"/>
      <c r="AA575"/>
    </row>
    <row r="576" spans="1:27" x14ac:dyDescent="0.25">
      <c r="A576"/>
      <c r="B576" s="36"/>
      <c r="C576" s="36"/>
      <c r="D576"/>
      <c r="E576"/>
      <c r="F576"/>
      <c r="G576"/>
      <c r="H576"/>
      <c r="I576"/>
      <c r="J576"/>
      <c r="K576"/>
      <c r="L576"/>
      <c r="M576"/>
      <c r="N576"/>
      <c r="O576"/>
      <c r="P576" s="36"/>
      <c r="Q576" s="37"/>
      <c r="R576"/>
      <c r="S576"/>
      <c r="T576"/>
      <c r="U576"/>
      <c r="V576" s="39"/>
      <c r="W576"/>
      <c r="X576"/>
      <c r="Y576"/>
      <c r="Z576"/>
      <c r="AA576"/>
    </row>
    <row r="577" spans="1:27" x14ac:dyDescent="0.25">
      <c r="A577"/>
      <c r="B577" s="36"/>
      <c r="C577" s="36"/>
      <c r="D577"/>
      <c r="E577"/>
      <c r="F577"/>
      <c r="G577"/>
      <c r="H577"/>
      <c r="I577"/>
      <c r="J577"/>
      <c r="K577"/>
      <c r="L577"/>
      <c r="M577"/>
      <c r="N577"/>
      <c r="O577"/>
      <c r="P577" s="36"/>
      <c r="Q577" s="37"/>
      <c r="R577"/>
      <c r="S577"/>
      <c r="T577"/>
      <c r="U577"/>
      <c r="V577" s="39"/>
      <c r="W577"/>
      <c r="X577"/>
      <c r="Y577"/>
      <c r="Z577"/>
      <c r="AA577"/>
    </row>
    <row r="578" spans="1:27" x14ac:dyDescent="0.25">
      <c r="A578"/>
      <c r="B578" s="36"/>
      <c r="C578" s="36"/>
      <c r="D578"/>
      <c r="E578"/>
      <c r="F578"/>
      <c r="G578"/>
      <c r="H578"/>
      <c r="I578"/>
      <c r="J578"/>
      <c r="K578"/>
      <c r="L578"/>
      <c r="M578"/>
      <c r="N578"/>
      <c r="O578"/>
      <c r="P578" s="36"/>
      <c r="Q578" s="37"/>
      <c r="R578"/>
      <c r="S578"/>
      <c r="T578"/>
      <c r="U578"/>
      <c r="V578" s="39"/>
      <c r="W578"/>
      <c r="X578"/>
      <c r="Y578"/>
      <c r="Z578"/>
      <c r="AA578"/>
    </row>
    <row r="579" spans="1:27" x14ac:dyDescent="0.25">
      <c r="A579"/>
      <c r="B579" s="36"/>
      <c r="C579" s="36"/>
      <c r="D579"/>
      <c r="E579"/>
      <c r="F579"/>
      <c r="G579"/>
      <c r="H579"/>
      <c r="I579"/>
      <c r="J579"/>
      <c r="K579"/>
      <c r="L579"/>
      <c r="M579"/>
      <c r="N579"/>
      <c r="O579"/>
      <c r="P579" s="36"/>
      <c r="Q579" s="37"/>
      <c r="R579"/>
      <c r="S579"/>
      <c r="T579"/>
      <c r="U579"/>
      <c r="V579" s="39"/>
      <c r="W579"/>
      <c r="X579"/>
      <c r="Y579"/>
      <c r="Z579"/>
      <c r="AA579"/>
    </row>
    <row r="580" spans="1:27" x14ac:dyDescent="0.25">
      <c r="A580"/>
      <c r="B580" s="36"/>
      <c r="C580" s="36"/>
      <c r="D580"/>
      <c r="E580"/>
      <c r="F580"/>
      <c r="G580"/>
      <c r="H580"/>
      <c r="I580"/>
      <c r="J580"/>
      <c r="K580"/>
      <c r="L580"/>
      <c r="M580"/>
      <c r="N580"/>
      <c r="O580"/>
      <c r="P580" s="36"/>
      <c r="Q580" s="37"/>
      <c r="R580"/>
      <c r="S580"/>
      <c r="T580"/>
      <c r="U580"/>
      <c r="V580" s="39"/>
      <c r="W580"/>
      <c r="X580"/>
      <c r="Y580"/>
      <c r="Z580"/>
      <c r="AA580"/>
    </row>
    <row r="581" spans="1:27" x14ac:dyDescent="0.25">
      <c r="A581"/>
      <c r="B581" s="36"/>
      <c r="C581" s="36"/>
      <c r="D581"/>
      <c r="E581"/>
      <c r="F581"/>
      <c r="G581"/>
      <c r="H581"/>
      <c r="I581"/>
      <c r="J581"/>
      <c r="K581"/>
      <c r="L581"/>
      <c r="M581"/>
      <c r="N581"/>
      <c r="O581"/>
      <c r="P581" s="36"/>
      <c r="Q581" s="37"/>
      <c r="R581"/>
      <c r="S581"/>
      <c r="T581"/>
      <c r="U581"/>
      <c r="V581" s="39"/>
      <c r="W581"/>
      <c r="X581"/>
      <c r="Y581"/>
      <c r="Z581"/>
      <c r="AA581"/>
    </row>
    <row r="582" spans="1:27" x14ac:dyDescent="0.25">
      <c r="A582"/>
      <c r="B582" s="36"/>
      <c r="C582" s="36"/>
      <c r="D582"/>
      <c r="E582"/>
      <c r="F582"/>
      <c r="G582"/>
      <c r="H582"/>
      <c r="I582"/>
      <c r="J582"/>
      <c r="K582"/>
      <c r="L582"/>
      <c r="M582"/>
      <c r="N582"/>
      <c r="O582"/>
      <c r="P582" s="36"/>
      <c r="Q582" s="37"/>
      <c r="R582"/>
      <c r="S582"/>
      <c r="T582"/>
      <c r="U582"/>
      <c r="V582" s="39"/>
      <c r="W582"/>
      <c r="X582"/>
      <c r="Y582"/>
      <c r="Z582"/>
      <c r="AA582"/>
    </row>
    <row r="583" spans="1:27" x14ac:dyDescent="0.25">
      <c r="A583"/>
      <c r="B583" s="36"/>
      <c r="C583" s="36"/>
      <c r="D583"/>
      <c r="E583"/>
      <c r="F583"/>
      <c r="G583"/>
      <c r="H583"/>
      <c r="I583"/>
      <c r="J583"/>
      <c r="K583"/>
      <c r="L583"/>
      <c r="M583"/>
      <c r="N583"/>
      <c r="O583"/>
      <c r="P583" s="36"/>
      <c r="Q583" s="37"/>
      <c r="R583"/>
      <c r="S583"/>
      <c r="T583"/>
      <c r="U583"/>
      <c r="V583" s="39"/>
      <c r="W583"/>
      <c r="X583"/>
      <c r="Y583"/>
      <c r="Z583"/>
      <c r="AA583"/>
    </row>
    <row r="584" spans="1:27" x14ac:dyDescent="0.25">
      <c r="A584"/>
      <c r="B584" s="36"/>
      <c r="C584" s="36"/>
      <c r="D584"/>
      <c r="E584"/>
      <c r="F584"/>
      <c r="G584"/>
      <c r="H584"/>
      <c r="I584"/>
      <c r="J584"/>
      <c r="K584"/>
      <c r="L584"/>
      <c r="M584"/>
      <c r="N584"/>
      <c r="O584"/>
      <c r="P584" s="36"/>
      <c r="Q584" s="37"/>
      <c r="R584"/>
      <c r="S584"/>
      <c r="T584"/>
      <c r="U584"/>
      <c r="V584" s="39"/>
      <c r="W584"/>
      <c r="X584"/>
      <c r="Y584"/>
      <c r="Z584"/>
      <c r="AA584"/>
    </row>
    <row r="585" spans="1:27" x14ac:dyDescent="0.25">
      <c r="A585"/>
      <c r="B585" s="36"/>
      <c r="C585" s="36"/>
      <c r="D585"/>
      <c r="E585"/>
      <c r="F585"/>
      <c r="G585"/>
      <c r="H585"/>
      <c r="I585"/>
      <c r="J585"/>
      <c r="K585"/>
      <c r="L585"/>
      <c r="M585"/>
      <c r="N585"/>
      <c r="O585"/>
      <c r="P585" s="36"/>
      <c r="Q585" s="37"/>
      <c r="R585"/>
      <c r="S585"/>
      <c r="T585"/>
      <c r="U585"/>
      <c r="V585" s="39"/>
      <c r="W585"/>
      <c r="X585"/>
      <c r="Y585"/>
      <c r="Z585"/>
      <c r="AA585"/>
    </row>
    <row r="586" spans="1:27" x14ac:dyDescent="0.25">
      <c r="A586"/>
      <c r="B586" s="36"/>
      <c r="C586" s="36"/>
      <c r="D586"/>
      <c r="E586"/>
      <c r="F586"/>
      <c r="G586"/>
      <c r="H586"/>
      <c r="I586"/>
      <c r="J586"/>
      <c r="K586"/>
      <c r="L586"/>
      <c r="M586"/>
      <c r="N586"/>
      <c r="O586"/>
      <c r="P586" s="36"/>
      <c r="Q586" s="37"/>
      <c r="R586"/>
      <c r="S586"/>
      <c r="T586"/>
      <c r="U586"/>
      <c r="V586" s="39"/>
      <c r="W586"/>
      <c r="X586"/>
      <c r="Y586"/>
      <c r="Z586"/>
      <c r="AA586"/>
    </row>
    <row r="587" spans="1:27" x14ac:dyDescent="0.25">
      <c r="A587"/>
      <c r="B587" s="36"/>
      <c r="C587" s="36"/>
      <c r="D587"/>
      <c r="E587"/>
      <c r="F587"/>
      <c r="G587"/>
      <c r="H587"/>
      <c r="I587"/>
      <c r="J587"/>
      <c r="K587"/>
      <c r="L587"/>
      <c r="M587"/>
      <c r="N587"/>
      <c r="O587"/>
      <c r="P587" s="36"/>
      <c r="Q587" s="37"/>
      <c r="R587"/>
      <c r="S587"/>
      <c r="T587"/>
      <c r="U587"/>
      <c r="V587" s="39"/>
      <c r="W587"/>
      <c r="X587"/>
      <c r="Y587"/>
      <c r="Z587"/>
      <c r="AA587"/>
    </row>
    <row r="588" spans="1:27" x14ac:dyDescent="0.25">
      <c r="A588"/>
      <c r="B588" s="36"/>
      <c r="C588" s="36"/>
      <c r="D588"/>
      <c r="E588"/>
      <c r="F588"/>
      <c r="G588"/>
      <c r="H588"/>
      <c r="I588"/>
      <c r="J588"/>
      <c r="K588"/>
      <c r="L588"/>
      <c r="M588"/>
      <c r="N588"/>
      <c r="O588"/>
      <c r="P588" s="36"/>
      <c r="Q588" s="37"/>
      <c r="R588"/>
      <c r="S588"/>
      <c r="T588"/>
      <c r="U588"/>
      <c r="V588" s="39"/>
      <c r="W588"/>
      <c r="X588"/>
      <c r="Y588"/>
      <c r="Z588"/>
      <c r="AA588"/>
    </row>
    <row r="589" spans="1:27" x14ac:dyDescent="0.25">
      <c r="A589"/>
      <c r="B589" s="36"/>
      <c r="C589" s="36"/>
      <c r="D589"/>
      <c r="E589"/>
      <c r="F589"/>
      <c r="G589"/>
      <c r="H589"/>
      <c r="I589"/>
      <c r="J589"/>
      <c r="K589"/>
      <c r="L589"/>
      <c r="M589"/>
      <c r="N589"/>
      <c r="O589"/>
      <c r="P589" s="36"/>
      <c r="Q589" s="37"/>
      <c r="R589"/>
      <c r="S589"/>
      <c r="T589"/>
      <c r="U589"/>
      <c r="V589" s="39"/>
      <c r="W589"/>
      <c r="X589"/>
      <c r="Y589"/>
      <c r="Z589"/>
      <c r="AA589"/>
    </row>
    <row r="590" spans="1:27" x14ac:dyDescent="0.25">
      <c r="A590"/>
      <c r="B590" s="36"/>
      <c r="C590" s="36"/>
      <c r="D590"/>
      <c r="E590"/>
      <c r="F590"/>
      <c r="G590"/>
      <c r="H590"/>
      <c r="I590"/>
      <c r="J590"/>
      <c r="K590"/>
      <c r="L590"/>
      <c r="M590"/>
      <c r="N590"/>
      <c r="O590"/>
      <c r="P590" s="36"/>
      <c r="Q590" s="37"/>
      <c r="R590"/>
      <c r="S590"/>
      <c r="T590"/>
      <c r="U590"/>
      <c r="V590" s="39"/>
      <c r="W590"/>
      <c r="X590"/>
      <c r="Y590"/>
      <c r="Z590"/>
      <c r="AA590"/>
    </row>
    <row r="591" spans="1:27" x14ac:dyDescent="0.25">
      <c r="A591"/>
      <c r="B591" s="36"/>
      <c r="C591" s="36"/>
      <c r="D591"/>
      <c r="E591"/>
      <c r="F591"/>
      <c r="G591"/>
      <c r="H591"/>
      <c r="I591"/>
      <c r="J591"/>
      <c r="K591"/>
      <c r="L591"/>
      <c r="M591"/>
      <c r="N591"/>
      <c r="O591"/>
      <c r="P591" s="36"/>
      <c r="Q591" s="37"/>
      <c r="R591"/>
      <c r="S591"/>
      <c r="T591"/>
      <c r="U591"/>
      <c r="V591" s="39"/>
      <c r="W591"/>
      <c r="X591"/>
      <c r="Y591"/>
      <c r="Z591"/>
      <c r="AA591"/>
    </row>
    <row r="592" spans="1:27" x14ac:dyDescent="0.25">
      <c r="A592"/>
      <c r="B592" s="36"/>
      <c r="C592" s="36"/>
      <c r="D592"/>
      <c r="E592"/>
      <c r="F592"/>
      <c r="G592"/>
      <c r="H592"/>
      <c r="I592"/>
      <c r="J592"/>
      <c r="K592"/>
      <c r="L592"/>
      <c r="M592"/>
      <c r="N592"/>
      <c r="O592"/>
      <c r="P592" s="36"/>
      <c r="Q592" s="37"/>
      <c r="R592"/>
      <c r="S592"/>
      <c r="T592"/>
      <c r="U592"/>
      <c r="V592" s="39"/>
      <c r="W592"/>
      <c r="X592"/>
      <c r="Y592"/>
      <c r="Z592"/>
      <c r="AA592"/>
    </row>
    <row r="593" spans="1:27" x14ac:dyDescent="0.25">
      <c r="A593"/>
      <c r="B593" s="36"/>
      <c r="C593" s="36"/>
      <c r="D593"/>
      <c r="E593"/>
      <c r="F593"/>
      <c r="G593"/>
      <c r="H593"/>
      <c r="I593"/>
      <c r="J593"/>
      <c r="K593"/>
      <c r="L593"/>
      <c r="M593"/>
      <c r="N593"/>
      <c r="O593"/>
      <c r="P593" s="36"/>
      <c r="Q593" s="37"/>
      <c r="R593"/>
      <c r="S593"/>
      <c r="T593"/>
      <c r="U593"/>
      <c r="V593" s="39"/>
      <c r="W593"/>
      <c r="X593"/>
      <c r="Y593"/>
      <c r="Z593"/>
      <c r="AA593"/>
    </row>
    <row r="594" spans="1:27" x14ac:dyDescent="0.25">
      <c r="A594"/>
      <c r="B594" s="36"/>
      <c r="C594" s="36"/>
      <c r="D594"/>
      <c r="E594"/>
      <c r="F594"/>
      <c r="G594"/>
      <c r="H594"/>
      <c r="I594"/>
      <c r="J594"/>
      <c r="K594"/>
      <c r="L594"/>
      <c r="M594"/>
      <c r="N594"/>
      <c r="O594"/>
      <c r="P594" s="36"/>
      <c r="Q594" s="37"/>
      <c r="R594"/>
      <c r="S594"/>
      <c r="T594"/>
      <c r="U594"/>
      <c r="V594" s="39"/>
      <c r="W594"/>
      <c r="X594"/>
      <c r="Y594"/>
      <c r="Z594"/>
      <c r="AA594"/>
    </row>
    <row r="595" spans="1:27" x14ac:dyDescent="0.25">
      <c r="A595"/>
      <c r="B595" s="36"/>
      <c r="C595" s="36"/>
      <c r="D595"/>
      <c r="E595"/>
      <c r="F595"/>
      <c r="G595"/>
      <c r="H595"/>
      <c r="I595"/>
      <c r="J595"/>
      <c r="K595"/>
      <c r="L595"/>
      <c r="M595"/>
      <c r="N595"/>
      <c r="O595"/>
      <c r="P595" s="36"/>
      <c r="Q595" s="37"/>
      <c r="R595"/>
      <c r="S595"/>
      <c r="T595"/>
      <c r="U595"/>
      <c r="V595" s="39"/>
      <c r="W595"/>
      <c r="X595"/>
      <c r="Y595"/>
      <c r="Z595"/>
      <c r="AA595"/>
    </row>
    <row r="596" spans="1:27" x14ac:dyDescent="0.25">
      <c r="A596"/>
      <c r="B596" s="36"/>
      <c r="C596" s="36"/>
      <c r="D596"/>
      <c r="E596"/>
      <c r="F596"/>
      <c r="G596"/>
      <c r="H596"/>
      <c r="I596"/>
      <c r="J596"/>
      <c r="K596"/>
      <c r="L596"/>
      <c r="M596"/>
      <c r="N596"/>
      <c r="O596"/>
      <c r="P596" s="36"/>
      <c r="Q596" s="37"/>
      <c r="R596"/>
      <c r="S596"/>
      <c r="T596"/>
      <c r="U596"/>
      <c r="V596" s="39"/>
      <c r="W596"/>
      <c r="X596"/>
      <c r="Y596"/>
      <c r="Z596"/>
      <c r="AA596"/>
    </row>
    <row r="597" spans="1:27" x14ac:dyDescent="0.25">
      <c r="A597"/>
      <c r="B597" s="36"/>
      <c r="C597" s="36"/>
      <c r="D597"/>
      <c r="E597"/>
      <c r="F597"/>
      <c r="G597"/>
      <c r="H597"/>
      <c r="I597"/>
      <c r="J597"/>
      <c r="K597"/>
      <c r="L597"/>
      <c r="M597"/>
      <c r="N597"/>
      <c r="O597"/>
      <c r="P597" s="36"/>
      <c r="Q597" s="37"/>
      <c r="R597"/>
      <c r="S597"/>
      <c r="T597"/>
      <c r="U597"/>
      <c r="V597" s="39"/>
      <c r="W597"/>
      <c r="X597"/>
      <c r="Y597"/>
      <c r="Z597"/>
      <c r="AA597"/>
    </row>
    <row r="598" spans="1:27" x14ac:dyDescent="0.25">
      <c r="A598"/>
      <c r="B598" s="36"/>
      <c r="C598" s="36"/>
      <c r="D598"/>
      <c r="E598"/>
      <c r="F598"/>
      <c r="G598"/>
      <c r="H598"/>
      <c r="I598"/>
      <c r="J598"/>
      <c r="K598"/>
      <c r="L598"/>
      <c r="M598"/>
      <c r="N598"/>
      <c r="O598"/>
      <c r="P598" s="36"/>
      <c r="Q598" s="37"/>
      <c r="R598"/>
      <c r="S598"/>
      <c r="T598"/>
      <c r="U598"/>
      <c r="V598" s="39"/>
      <c r="W598"/>
      <c r="X598"/>
      <c r="Y598"/>
      <c r="Z598"/>
      <c r="AA598"/>
    </row>
    <row r="599" spans="1:27" x14ac:dyDescent="0.25">
      <c r="A599"/>
      <c r="B599" s="36"/>
      <c r="C599" s="36"/>
      <c r="D599"/>
      <c r="E599"/>
      <c r="F599"/>
      <c r="G599"/>
      <c r="H599"/>
      <c r="I599"/>
      <c r="J599"/>
      <c r="K599"/>
      <c r="L599"/>
      <c r="M599"/>
      <c r="N599"/>
      <c r="O599"/>
      <c r="P599" s="36"/>
      <c r="Q599" s="37"/>
      <c r="R599"/>
      <c r="S599"/>
      <c r="T599"/>
      <c r="U599"/>
      <c r="V599" s="39"/>
      <c r="W599"/>
      <c r="X599"/>
      <c r="Y599"/>
      <c r="Z599"/>
      <c r="AA599"/>
    </row>
    <row r="600" spans="1:27" x14ac:dyDescent="0.25">
      <c r="A600"/>
      <c r="B600" s="36"/>
      <c r="C600" s="36"/>
      <c r="D600"/>
      <c r="E600"/>
      <c r="F600"/>
      <c r="G600"/>
      <c r="H600"/>
      <c r="I600"/>
      <c r="J600"/>
      <c r="K600"/>
      <c r="L600"/>
      <c r="M600"/>
      <c r="N600"/>
      <c r="O600"/>
      <c r="P600" s="36"/>
      <c r="Q600" s="37"/>
      <c r="R600"/>
      <c r="S600"/>
      <c r="T600"/>
      <c r="U600"/>
      <c r="V600" s="39"/>
      <c r="W600"/>
      <c r="X600"/>
      <c r="Y600"/>
      <c r="Z600"/>
      <c r="AA600"/>
    </row>
    <row r="601" spans="1:27" x14ac:dyDescent="0.25">
      <c r="A601"/>
      <c r="B601" s="36"/>
      <c r="C601" s="36"/>
      <c r="D601"/>
      <c r="E601"/>
      <c r="F601"/>
      <c r="G601"/>
      <c r="H601"/>
      <c r="I601"/>
      <c r="J601"/>
      <c r="K601"/>
      <c r="L601"/>
      <c r="M601"/>
      <c r="N601"/>
      <c r="O601"/>
      <c r="P601" s="36"/>
      <c r="Q601" s="37"/>
      <c r="R601"/>
      <c r="S601"/>
      <c r="T601"/>
      <c r="U601"/>
      <c r="V601" s="39"/>
      <c r="W601"/>
      <c r="X601"/>
      <c r="Y601"/>
      <c r="Z601"/>
      <c r="AA601"/>
    </row>
    <row r="602" spans="1:27" x14ac:dyDescent="0.25">
      <c r="A602"/>
      <c r="B602" s="36"/>
      <c r="C602" s="36"/>
      <c r="D602"/>
      <c r="E602"/>
      <c r="F602"/>
      <c r="G602"/>
      <c r="H602"/>
      <c r="I602"/>
      <c r="J602"/>
      <c r="K602"/>
      <c r="L602"/>
      <c r="M602"/>
      <c r="N602"/>
      <c r="O602"/>
      <c r="P602" s="36"/>
      <c r="Q602" s="37"/>
      <c r="R602"/>
      <c r="S602"/>
      <c r="T602"/>
      <c r="U602"/>
      <c r="V602" s="39"/>
      <c r="W602"/>
      <c r="X602"/>
      <c r="Y602"/>
      <c r="Z602"/>
      <c r="AA602"/>
    </row>
    <row r="603" spans="1:27" x14ac:dyDescent="0.25">
      <c r="A603"/>
      <c r="B603" s="36"/>
      <c r="C603" s="36"/>
      <c r="D603"/>
      <c r="E603"/>
      <c r="F603"/>
      <c r="G603"/>
      <c r="H603"/>
      <c r="I603"/>
      <c r="J603"/>
      <c r="K603"/>
      <c r="L603"/>
      <c r="M603"/>
      <c r="N603"/>
      <c r="O603"/>
      <c r="P603" s="36"/>
      <c r="Q603" s="37"/>
      <c r="R603"/>
      <c r="S603"/>
      <c r="T603"/>
      <c r="U603"/>
      <c r="V603" s="39"/>
      <c r="W603"/>
      <c r="X603"/>
      <c r="Y603"/>
      <c r="Z603"/>
      <c r="AA603"/>
    </row>
    <row r="604" spans="1:27" x14ac:dyDescent="0.25">
      <c r="A604"/>
      <c r="B604" s="36"/>
      <c r="C604" s="36"/>
      <c r="D604"/>
      <c r="E604"/>
      <c r="F604"/>
      <c r="G604"/>
      <c r="H604"/>
      <c r="I604"/>
      <c r="J604"/>
      <c r="K604"/>
      <c r="L604"/>
      <c r="M604"/>
      <c r="N604"/>
      <c r="O604"/>
      <c r="P604" s="36"/>
      <c r="Q604" s="37"/>
      <c r="R604"/>
      <c r="S604"/>
      <c r="T604"/>
      <c r="U604"/>
      <c r="V604" s="39"/>
      <c r="W604"/>
      <c r="X604"/>
      <c r="Y604"/>
      <c r="Z604"/>
      <c r="AA604"/>
    </row>
    <row r="605" spans="1:27" x14ac:dyDescent="0.25">
      <c r="A605"/>
      <c r="B605" s="36"/>
      <c r="C605" s="36"/>
      <c r="D605"/>
      <c r="E605"/>
      <c r="F605"/>
      <c r="G605"/>
      <c r="H605"/>
      <c r="I605"/>
      <c r="J605"/>
      <c r="K605"/>
      <c r="L605"/>
      <c r="M605"/>
      <c r="N605"/>
      <c r="O605"/>
      <c r="P605" s="36"/>
      <c r="Q605" s="37"/>
      <c r="R605"/>
      <c r="S605"/>
      <c r="T605"/>
      <c r="U605"/>
      <c r="V605" s="39"/>
      <c r="W605"/>
      <c r="X605"/>
      <c r="Y605"/>
      <c r="Z605"/>
      <c r="AA605"/>
    </row>
    <row r="606" spans="1:27" x14ac:dyDescent="0.25">
      <c r="A606"/>
      <c r="B606" s="36"/>
      <c r="C606" s="36"/>
      <c r="D606"/>
      <c r="E606"/>
      <c r="F606"/>
      <c r="G606"/>
      <c r="H606"/>
      <c r="I606"/>
      <c r="J606"/>
      <c r="K606"/>
      <c r="L606"/>
      <c r="M606"/>
      <c r="N606"/>
      <c r="O606"/>
      <c r="P606" s="36"/>
      <c r="Q606" s="37"/>
      <c r="R606"/>
      <c r="S606"/>
      <c r="T606"/>
      <c r="U606"/>
      <c r="V606" s="39"/>
      <c r="W606"/>
      <c r="X606"/>
      <c r="Y606"/>
      <c r="Z606"/>
      <c r="AA606"/>
    </row>
    <row r="607" spans="1:27" x14ac:dyDescent="0.25">
      <c r="A607"/>
      <c r="B607" s="36"/>
      <c r="C607" s="36"/>
      <c r="D607"/>
      <c r="E607"/>
      <c r="F607"/>
      <c r="G607"/>
      <c r="H607"/>
      <c r="I607"/>
      <c r="J607"/>
      <c r="K607"/>
      <c r="L607"/>
      <c r="M607"/>
      <c r="N607"/>
      <c r="O607"/>
      <c r="P607" s="36"/>
      <c r="Q607" s="37"/>
      <c r="R607"/>
      <c r="S607"/>
      <c r="T607"/>
      <c r="U607"/>
      <c r="V607" s="39"/>
      <c r="W607"/>
      <c r="X607"/>
      <c r="Y607"/>
      <c r="Z607"/>
      <c r="AA607"/>
    </row>
    <row r="608" spans="1:27" x14ac:dyDescent="0.25">
      <c r="A608"/>
      <c r="B608" s="36"/>
      <c r="C608" s="36"/>
      <c r="D608"/>
      <c r="E608"/>
      <c r="F608"/>
      <c r="G608"/>
      <c r="H608"/>
      <c r="I608"/>
      <c r="J608"/>
      <c r="K608"/>
      <c r="L608"/>
      <c r="M608"/>
      <c r="N608"/>
      <c r="O608"/>
      <c r="P608" s="36"/>
      <c r="Q608" s="37"/>
      <c r="R608"/>
      <c r="S608"/>
      <c r="T608"/>
      <c r="U608"/>
      <c r="V608" s="39"/>
      <c r="W608"/>
      <c r="X608"/>
      <c r="Y608"/>
      <c r="Z608"/>
      <c r="AA608"/>
    </row>
    <row r="609" spans="1:27" x14ac:dyDescent="0.25">
      <c r="A609"/>
      <c r="B609" s="36"/>
      <c r="C609" s="36"/>
      <c r="D609"/>
      <c r="E609"/>
      <c r="F609"/>
      <c r="G609"/>
      <c r="H609"/>
      <c r="I609"/>
      <c r="J609"/>
      <c r="K609"/>
      <c r="L609"/>
      <c r="M609"/>
      <c r="N609"/>
      <c r="O609"/>
      <c r="P609" s="36"/>
      <c r="Q609" s="37"/>
      <c r="R609"/>
      <c r="S609"/>
      <c r="T609"/>
      <c r="U609"/>
      <c r="V609" s="39"/>
      <c r="W609"/>
      <c r="X609"/>
      <c r="Y609"/>
      <c r="Z609"/>
      <c r="AA609"/>
    </row>
    <row r="610" spans="1:27" x14ac:dyDescent="0.25">
      <c r="A610"/>
      <c r="B610" s="36"/>
      <c r="C610" s="36"/>
      <c r="D610"/>
      <c r="E610"/>
      <c r="F610"/>
      <c r="G610"/>
      <c r="H610"/>
      <c r="I610"/>
      <c r="J610"/>
      <c r="K610"/>
      <c r="L610"/>
      <c r="M610"/>
      <c r="N610"/>
      <c r="O610"/>
      <c r="P610" s="36"/>
      <c r="Q610" s="37"/>
      <c r="R610"/>
      <c r="S610"/>
      <c r="T610"/>
      <c r="U610"/>
      <c r="V610" s="39"/>
      <c r="W610"/>
      <c r="X610"/>
      <c r="Y610"/>
      <c r="Z610"/>
      <c r="AA610"/>
    </row>
    <row r="611" spans="1:27" x14ac:dyDescent="0.25">
      <c r="A611"/>
      <c r="B611" s="36"/>
      <c r="C611" s="36"/>
      <c r="D611"/>
      <c r="E611"/>
      <c r="F611"/>
      <c r="G611"/>
      <c r="H611"/>
      <c r="I611"/>
      <c r="J611"/>
      <c r="K611"/>
      <c r="L611"/>
      <c r="M611"/>
      <c r="N611"/>
      <c r="O611"/>
      <c r="P611" s="36"/>
      <c r="Q611" s="37"/>
      <c r="R611"/>
      <c r="S611"/>
      <c r="T611"/>
      <c r="U611"/>
      <c r="V611" s="39"/>
      <c r="W611"/>
      <c r="X611"/>
      <c r="Y611"/>
      <c r="Z611"/>
      <c r="AA611"/>
    </row>
    <row r="612" spans="1:27" x14ac:dyDescent="0.25">
      <c r="A612"/>
      <c r="B612" s="36"/>
      <c r="C612" s="36"/>
      <c r="D612"/>
      <c r="E612"/>
      <c r="F612"/>
      <c r="G612"/>
      <c r="H612"/>
      <c r="I612"/>
      <c r="J612"/>
      <c r="K612"/>
      <c r="L612"/>
      <c r="M612"/>
      <c r="N612"/>
      <c r="O612"/>
      <c r="P612" s="36"/>
      <c r="Q612" s="37"/>
      <c r="R612"/>
      <c r="S612"/>
      <c r="T612"/>
      <c r="U612"/>
      <c r="V612" s="39"/>
      <c r="W612"/>
      <c r="X612"/>
      <c r="Y612"/>
      <c r="Z612"/>
      <c r="AA612"/>
    </row>
    <row r="613" spans="1:27" x14ac:dyDescent="0.25">
      <c r="A613"/>
      <c r="B613" s="36"/>
      <c r="C613" s="36"/>
      <c r="D613"/>
      <c r="E613"/>
      <c r="F613"/>
      <c r="G613"/>
      <c r="H613"/>
      <c r="I613"/>
      <c r="J613"/>
      <c r="K613"/>
      <c r="L613"/>
      <c r="M613"/>
      <c r="N613"/>
      <c r="O613"/>
      <c r="P613" s="36"/>
      <c r="Q613" s="37"/>
      <c r="R613"/>
      <c r="S613"/>
      <c r="T613"/>
      <c r="U613"/>
      <c r="V613" s="39"/>
      <c r="W613"/>
      <c r="X613"/>
      <c r="Y613"/>
      <c r="Z613"/>
      <c r="AA613"/>
    </row>
    <row r="614" spans="1:27" x14ac:dyDescent="0.25">
      <c r="A614"/>
      <c r="B614" s="36"/>
      <c r="C614" s="36"/>
      <c r="D614"/>
      <c r="E614"/>
      <c r="F614"/>
      <c r="G614"/>
      <c r="H614"/>
      <c r="I614"/>
      <c r="J614"/>
      <c r="K614"/>
      <c r="L614"/>
      <c r="M614"/>
      <c r="N614"/>
      <c r="O614"/>
      <c r="P614" s="36"/>
      <c r="Q614" s="37"/>
      <c r="R614"/>
      <c r="S614"/>
      <c r="T614"/>
      <c r="U614"/>
      <c r="V614" s="39"/>
      <c r="W614"/>
      <c r="X614"/>
      <c r="Y614"/>
      <c r="Z614"/>
      <c r="AA614"/>
    </row>
    <row r="615" spans="1:27" x14ac:dyDescent="0.25">
      <c r="A615"/>
      <c r="B615" s="36"/>
      <c r="C615" s="36"/>
      <c r="D615"/>
      <c r="E615"/>
      <c r="F615"/>
      <c r="G615"/>
      <c r="H615"/>
      <c r="I615"/>
      <c r="J615"/>
      <c r="K615"/>
      <c r="L615"/>
      <c r="M615"/>
      <c r="N615"/>
      <c r="O615"/>
      <c r="P615" s="36"/>
      <c r="Q615" s="37"/>
      <c r="R615"/>
      <c r="S615"/>
      <c r="T615"/>
      <c r="U615"/>
      <c r="V615" s="39"/>
      <c r="W615"/>
      <c r="X615"/>
      <c r="Y615"/>
      <c r="Z615"/>
      <c r="AA615"/>
    </row>
    <row r="616" spans="1:27" x14ac:dyDescent="0.25">
      <c r="A616"/>
      <c r="B616" s="36"/>
      <c r="C616" s="36"/>
      <c r="D616"/>
      <c r="E616"/>
      <c r="F616"/>
      <c r="G616"/>
      <c r="H616"/>
      <c r="I616"/>
      <c r="J616"/>
      <c r="K616"/>
      <c r="L616"/>
      <c r="M616"/>
      <c r="N616"/>
      <c r="O616"/>
      <c r="P616" s="36"/>
      <c r="Q616" s="37"/>
      <c r="R616"/>
      <c r="S616"/>
      <c r="T616"/>
      <c r="U616"/>
      <c r="V616" s="39"/>
      <c r="W616"/>
      <c r="X616"/>
      <c r="Y616"/>
      <c r="Z616"/>
      <c r="AA616"/>
    </row>
    <row r="617" spans="1:27" x14ac:dyDescent="0.25">
      <c r="A617"/>
      <c r="B617" s="36"/>
      <c r="C617" s="36"/>
      <c r="D617"/>
      <c r="E617"/>
      <c r="F617"/>
      <c r="G617"/>
      <c r="H617"/>
      <c r="I617"/>
      <c r="J617"/>
      <c r="K617"/>
      <c r="L617"/>
      <c r="M617"/>
      <c r="N617"/>
      <c r="O617"/>
      <c r="P617" s="36"/>
      <c r="Q617" s="37"/>
      <c r="R617"/>
      <c r="S617"/>
      <c r="T617"/>
      <c r="U617"/>
      <c r="V617" s="39"/>
      <c r="W617"/>
      <c r="X617"/>
      <c r="Y617"/>
      <c r="Z617"/>
      <c r="AA617"/>
    </row>
    <row r="618" spans="1:27" x14ac:dyDescent="0.25">
      <c r="A618"/>
      <c r="B618" s="36"/>
      <c r="C618" s="36"/>
      <c r="D618"/>
      <c r="E618"/>
      <c r="F618"/>
      <c r="G618"/>
      <c r="H618"/>
      <c r="I618"/>
      <c r="J618"/>
      <c r="K618"/>
      <c r="L618"/>
      <c r="M618"/>
      <c r="N618"/>
      <c r="O618"/>
      <c r="P618" s="36"/>
      <c r="Q618" s="37"/>
      <c r="R618"/>
      <c r="S618"/>
      <c r="T618"/>
      <c r="U618"/>
      <c r="V618" s="39"/>
      <c r="W618"/>
      <c r="X618"/>
      <c r="Y618"/>
      <c r="Z618"/>
      <c r="AA618"/>
    </row>
    <row r="619" spans="1:27" x14ac:dyDescent="0.25">
      <c r="A619"/>
      <c r="B619" s="36"/>
      <c r="C619" s="36"/>
      <c r="D619"/>
      <c r="E619"/>
      <c r="F619"/>
      <c r="G619"/>
      <c r="H619"/>
      <c r="I619"/>
      <c r="J619"/>
      <c r="K619"/>
      <c r="L619"/>
      <c r="M619"/>
      <c r="N619"/>
      <c r="O619"/>
      <c r="P619" s="36"/>
      <c r="Q619" s="37"/>
      <c r="R619"/>
      <c r="S619"/>
      <c r="T619"/>
      <c r="U619"/>
      <c r="V619" s="39"/>
      <c r="W619"/>
      <c r="X619"/>
      <c r="Y619"/>
      <c r="Z619"/>
      <c r="AA619"/>
    </row>
    <row r="620" spans="1:27" x14ac:dyDescent="0.25">
      <c r="A620"/>
      <c r="B620" s="36"/>
      <c r="C620" s="36"/>
      <c r="D620"/>
      <c r="E620"/>
      <c r="F620"/>
      <c r="G620"/>
      <c r="H620"/>
      <c r="I620"/>
      <c r="J620"/>
      <c r="K620"/>
      <c r="L620"/>
      <c r="M620"/>
      <c r="N620"/>
      <c r="O620"/>
      <c r="P620" s="36"/>
      <c r="Q620" s="37"/>
      <c r="R620"/>
      <c r="S620"/>
      <c r="T620"/>
      <c r="U620"/>
      <c r="V620" s="39"/>
      <c r="W620"/>
      <c r="X620"/>
      <c r="Y620"/>
      <c r="Z620"/>
      <c r="AA620"/>
    </row>
    <row r="621" spans="1:27" x14ac:dyDescent="0.25">
      <c r="A621"/>
      <c r="B621" s="36"/>
      <c r="C621" s="36"/>
      <c r="D621"/>
      <c r="E621"/>
      <c r="F621"/>
      <c r="G621"/>
      <c r="H621"/>
      <c r="I621"/>
      <c r="J621"/>
      <c r="K621"/>
      <c r="L621"/>
      <c r="M621"/>
      <c r="N621"/>
      <c r="O621"/>
      <c r="P621" s="36"/>
      <c r="Q621" s="37"/>
      <c r="R621"/>
      <c r="S621"/>
      <c r="T621"/>
      <c r="U621"/>
      <c r="V621" s="39"/>
      <c r="W621"/>
      <c r="X621"/>
      <c r="Y621"/>
      <c r="Z621"/>
      <c r="AA621"/>
    </row>
    <row r="622" spans="1:27" x14ac:dyDescent="0.25">
      <c r="A622"/>
      <c r="B622" s="36"/>
      <c r="C622" s="36"/>
      <c r="D622"/>
      <c r="E622"/>
      <c r="F622"/>
      <c r="G622"/>
      <c r="H622"/>
      <c r="I622"/>
      <c r="J622"/>
      <c r="K622"/>
      <c r="L622"/>
      <c r="M622"/>
      <c r="N622"/>
      <c r="O622"/>
      <c r="P622" s="36"/>
      <c r="Q622" s="37"/>
      <c r="R622"/>
      <c r="S622"/>
      <c r="T622"/>
      <c r="U622"/>
      <c r="V622" s="39"/>
      <c r="W622"/>
      <c r="X622"/>
      <c r="Y622"/>
      <c r="Z622"/>
      <c r="AA622"/>
    </row>
    <row r="623" spans="1:27" x14ac:dyDescent="0.25">
      <c r="A623"/>
      <c r="B623" s="36"/>
      <c r="C623" s="36"/>
      <c r="D623"/>
      <c r="E623"/>
      <c r="F623"/>
      <c r="G623"/>
      <c r="H623"/>
      <c r="I623"/>
      <c r="J623"/>
      <c r="K623"/>
      <c r="L623"/>
      <c r="M623"/>
      <c r="N623"/>
      <c r="O623"/>
      <c r="P623" s="36"/>
      <c r="Q623" s="37"/>
      <c r="R623"/>
      <c r="S623"/>
      <c r="T623"/>
      <c r="U623"/>
      <c r="V623" s="39"/>
      <c r="W623"/>
      <c r="X623"/>
      <c r="Y623"/>
      <c r="Z623"/>
      <c r="AA623"/>
    </row>
    <row r="624" spans="1:27" x14ac:dyDescent="0.25">
      <c r="A624"/>
      <c r="B624" s="36"/>
      <c r="C624" s="36"/>
      <c r="D624"/>
      <c r="E624"/>
      <c r="F624"/>
      <c r="G624"/>
      <c r="H624"/>
      <c r="I624"/>
      <c r="J624"/>
      <c r="K624"/>
      <c r="L624"/>
      <c r="M624"/>
      <c r="N624"/>
      <c r="O624"/>
      <c r="P624" s="36"/>
      <c r="Q624" s="37"/>
      <c r="R624"/>
      <c r="S624"/>
      <c r="T624"/>
      <c r="U624"/>
      <c r="V624" s="39"/>
      <c r="W624"/>
      <c r="X624"/>
      <c r="Y624"/>
      <c r="Z624"/>
      <c r="AA624"/>
    </row>
    <row r="625" spans="1:27" x14ac:dyDescent="0.25">
      <c r="A625"/>
      <c r="B625" s="36"/>
      <c r="C625" s="36"/>
      <c r="D625"/>
      <c r="E625"/>
      <c r="F625"/>
      <c r="G625"/>
      <c r="H625"/>
      <c r="I625"/>
      <c r="J625"/>
      <c r="K625"/>
      <c r="L625"/>
      <c r="M625"/>
      <c r="N625"/>
      <c r="O625"/>
      <c r="P625" s="36"/>
      <c r="Q625" s="37"/>
      <c r="R625"/>
      <c r="S625"/>
      <c r="T625"/>
      <c r="U625"/>
      <c r="V625" s="39"/>
      <c r="W625"/>
      <c r="X625"/>
      <c r="Y625"/>
      <c r="Z625"/>
      <c r="AA625"/>
    </row>
    <row r="626" spans="1:27" x14ac:dyDescent="0.25">
      <c r="A626"/>
      <c r="B626" s="36"/>
      <c r="C626" s="36"/>
      <c r="D626"/>
      <c r="E626"/>
      <c r="F626"/>
      <c r="G626"/>
      <c r="H626"/>
      <c r="I626"/>
      <c r="J626"/>
      <c r="K626"/>
      <c r="L626"/>
      <c r="M626"/>
      <c r="N626"/>
      <c r="O626"/>
      <c r="P626" s="36"/>
      <c r="Q626" s="37"/>
      <c r="R626"/>
      <c r="S626"/>
      <c r="T626"/>
      <c r="U626"/>
      <c r="V626" s="39"/>
      <c r="W626"/>
      <c r="X626"/>
      <c r="Y626"/>
      <c r="Z626"/>
      <c r="AA626"/>
    </row>
    <row r="627" spans="1:27" x14ac:dyDescent="0.25">
      <c r="A627"/>
      <c r="B627" s="36"/>
      <c r="C627" s="36"/>
      <c r="D627"/>
      <c r="E627"/>
      <c r="F627"/>
      <c r="G627"/>
      <c r="H627"/>
      <c r="I627"/>
      <c r="J627"/>
      <c r="K627"/>
      <c r="L627"/>
      <c r="M627"/>
      <c r="N627"/>
      <c r="O627"/>
      <c r="P627" s="36"/>
      <c r="Q627" s="37"/>
      <c r="R627"/>
      <c r="S627"/>
      <c r="T627"/>
      <c r="U627"/>
      <c r="V627" s="39"/>
      <c r="W627"/>
      <c r="X627"/>
      <c r="Y627"/>
      <c r="Z627"/>
      <c r="AA627"/>
    </row>
    <row r="628" spans="1:27" x14ac:dyDescent="0.25">
      <c r="A628"/>
      <c r="B628" s="36"/>
      <c r="C628" s="36"/>
      <c r="D628"/>
      <c r="E628"/>
      <c r="F628"/>
      <c r="G628"/>
      <c r="H628"/>
      <c r="I628"/>
      <c r="J628"/>
      <c r="K628"/>
      <c r="L628"/>
      <c r="M628"/>
      <c r="N628"/>
      <c r="O628"/>
      <c r="P628" s="36"/>
      <c r="Q628" s="37"/>
      <c r="R628"/>
      <c r="S628"/>
      <c r="T628"/>
      <c r="U628"/>
      <c r="V628" s="39"/>
      <c r="W628"/>
      <c r="X628"/>
      <c r="Y628"/>
      <c r="Z628"/>
      <c r="AA628"/>
    </row>
    <row r="629" spans="1:27" x14ac:dyDescent="0.25">
      <c r="A629"/>
      <c r="B629" s="36"/>
      <c r="C629" s="36"/>
      <c r="D629"/>
      <c r="E629"/>
      <c r="F629"/>
      <c r="G629"/>
      <c r="H629"/>
      <c r="I629"/>
      <c r="J629"/>
      <c r="K629"/>
      <c r="L629"/>
      <c r="M629"/>
      <c r="N629"/>
      <c r="O629"/>
      <c r="P629" s="36"/>
      <c r="Q629" s="37"/>
      <c r="R629"/>
      <c r="S629"/>
      <c r="T629"/>
      <c r="U629"/>
      <c r="V629" s="39"/>
      <c r="W629"/>
      <c r="X629"/>
      <c r="Y629"/>
      <c r="Z629"/>
      <c r="AA629"/>
    </row>
    <row r="630" spans="1:27" x14ac:dyDescent="0.25">
      <c r="A630"/>
      <c r="B630" s="36"/>
      <c r="C630" s="36"/>
      <c r="D630"/>
      <c r="E630"/>
      <c r="F630"/>
      <c r="G630"/>
      <c r="H630"/>
      <c r="I630"/>
      <c r="J630"/>
      <c r="K630"/>
      <c r="L630"/>
      <c r="M630"/>
      <c r="N630"/>
      <c r="O630"/>
      <c r="P630" s="36"/>
      <c r="Q630" s="37"/>
      <c r="R630"/>
      <c r="S630"/>
      <c r="T630"/>
      <c r="U630"/>
      <c r="V630" s="39"/>
      <c r="W630"/>
      <c r="X630"/>
      <c r="Y630"/>
      <c r="Z630"/>
      <c r="AA630"/>
    </row>
    <row r="631" spans="1:27" x14ac:dyDescent="0.25">
      <c r="A631"/>
      <c r="B631" s="36"/>
      <c r="C631" s="36"/>
      <c r="D631"/>
      <c r="E631"/>
      <c r="F631"/>
      <c r="G631"/>
      <c r="H631"/>
      <c r="I631"/>
      <c r="J631"/>
      <c r="K631"/>
      <c r="L631"/>
      <c r="M631"/>
      <c r="N631"/>
      <c r="O631"/>
      <c r="P631" s="36"/>
      <c r="Q631" s="37"/>
      <c r="R631"/>
      <c r="S631"/>
      <c r="T631"/>
      <c r="U631"/>
      <c r="V631" s="39"/>
      <c r="W631"/>
      <c r="X631"/>
      <c r="Y631"/>
      <c r="Z631"/>
      <c r="AA631"/>
    </row>
    <row r="632" spans="1:27" x14ac:dyDescent="0.25">
      <c r="A632"/>
      <c r="B632" s="36"/>
      <c r="C632" s="36"/>
      <c r="D632"/>
      <c r="E632"/>
      <c r="F632"/>
      <c r="G632"/>
      <c r="H632"/>
      <c r="I632"/>
      <c r="J632"/>
      <c r="K632"/>
      <c r="L632"/>
      <c r="M632"/>
      <c r="N632"/>
      <c r="O632"/>
      <c r="P632" s="36"/>
      <c r="Q632" s="37"/>
      <c r="R632"/>
      <c r="S632"/>
      <c r="T632"/>
      <c r="U632"/>
      <c r="V632" s="39"/>
      <c r="W632"/>
      <c r="X632"/>
      <c r="Y632"/>
      <c r="Z632"/>
      <c r="AA632"/>
    </row>
    <row r="633" spans="1:27" x14ac:dyDescent="0.25">
      <c r="A633"/>
      <c r="B633" s="36"/>
      <c r="C633" s="36"/>
      <c r="D633"/>
      <c r="E633"/>
      <c r="F633"/>
      <c r="G633"/>
      <c r="H633"/>
      <c r="I633"/>
      <c r="J633"/>
      <c r="K633"/>
      <c r="L633"/>
      <c r="M633"/>
      <c r="N633"/>
      <c r="O633"/>
      <c r="P633" s="36"/>
      <c r="Q633" s="37"/>
      <c r="R633"/>
      <c r="S633"/>
      <c r="T633"/>
      <c r="U633"/>
      <c r="V633" s="39"/>
      <c r="W633"/>
      <c r="X633"/>
      <c r="Y633"/>
      <c r="Z633"/>
      <c r="AA633"/>
    </row>
    <row r="634" spans="1:27" x14ac:dyDescent="0.25">
      <c r="A634"/>
      <c r="B634" s="36"/>
      <c r="C634" s="36"/>
      <c r="D634"/>
      <c r="E634"/>
      <c r="F634"/>
      <c r="G634"/>
      <c r="H634"/>
      <c r="I634"/>
      <c r="J634"/>
      <c r="K634"/>
      <c r="L634"/>
      <c r="M634"/>
      <c r="N634"/>
      <c r="O634"/>
      <c r="P634" s="36"/>
      <c r="Q634" s="37"/>
      <c r="R634"/>
      <c r="S634"/>
      <c r="T634"/>
      <c r="U634"/>
      <c r="V634" s="39"/>
      <c r="W634"/>
      <c r="X634"/>
      <c r="Y634"/>
      <c r="Z634"/>
      <c r="AA634"/>
    </row>
    <row r="635" spans="1:27" x14ac:dyDescent="0.25">
      <c r="A635"/>
      <c r="B635" s="36"/>
      <c r="C635" s="36"/>
      <c r="D635"/>
      <c r="E635"/>
      <c r="F635"/>
      <c r="G635"/>
      <c r="H635"/>
      <c r="I635"/>
      <c r="J635"/>
      <c r="K635"/>
      <c r="L635"/>
      <c r="M635"/>
      <c r="N635"/>
      <c r="O635"/>
      <c r="P635" s="36"/>
      <c r="Q635" s="37"/>
      <c r="R635"/>
      <c r="S635"/>
      <c r="T635"/>
      <c r="U635"/>
      <c r="V635" s="39"/>
      <c r="W635"/>
      <c r="X635"/>
      <c r="Y635"/>
      <c r="Z635"/>
      <c r="AA635"/>
    </row>
    <row r="636" spans="1:27" x14ac:dyDescent="0.25">
      <c r="A636"/>
      <c r="B636" s="36"/>
      <c r="C636" s="36"/>
      <c r="D636"/>
      <c r="E636"/>
      <c r="F636"/>
      <c r="G636"/>
      <c r="H636"/>
      <c r="I636"/>
      <c r="J636"/>
      <c r="K636"/>
      <c r="L636"/>
      <c r="M636"/>
      <c r="N636"/>
      <c r="O636"/>
      <c r="P636" s="36"/>
      <c r="Q636" s="37"/>
      <c r="R636"/>
      <c r="S636"/>
      <c r="T636"/>
      <c r="U636"/>
      <c r="V636" s="39"/>
      <c r="W636"/>
      <c r="X636"/>
      <c r="Y636"/>
      <c r="Z636"/>
      <c r="AA636"/>
    </row>
    <row r="637" spans="1:27" x14ac:dyDescent="0.25">
      <c r="A637"/>
      <c r="B637" s="36"/>
      <c r="C637" s="36"/>
      <c r="D637"/>
      <c r="E637"/>
      <c r="F637"/>
      <c r="G637"/>
      <c r="H637"/>
      <c r="I637"/>
      <c r="J637"/>
      <c r="K637"/>
      <c r="L637"/>
      <c r="M637"/>
      <c r="N637"/>
      <c r="O637"/>
      <c r="P637" s="36"/>
      <c r="Q637" s="37"/>
      <c r="R637"/>
      <c r="S637"/>
      <c r="T637"/>
      <c r="U637"/>
      <c r="V637" s="39"/>
      <c r="W637"/>
      <c r="X637"/>
      <c r="Y637"/>
      <c r="Z637"/>
      <c r="AA637"/>
    </row>
    <row r="638" spans="1:27" x14ac:dyDescent="0.25">
      <c r="A638"/>
      <c r="B638" s="36"/>
      <c r="C638" s="36"/>
      <c r="D638"/>
      <c r="E638"/>
      <c r="F638"/>
      <c r="G638"/>
      <c r="H638"/>
      <c r="I638"/>
      <c r="J638"/>
      <c r="K638"/>
      <c r="L638"/>
      <c r="M638"/>
      <c r="N638"/>
      <c r="O638"/>
      <c r="P638" s="36"/>
      <c r="Q638" s="37"/>
      <c r="R638"/>
      <c r="S638"/>
      <c r="T638"/>
      <c r="U638"/>
      <c r="V638" s="39"/>
      <c r="W638"/>
      <c r="X638"/>
      <c r="Y638"/>
      <c r="Z638"/>
      <c r="AA638"/>
    </row>
    <row r="639" spans="1:27" x14ac:dyDescent="0.25">
      <c r="A639"/>
      <c r="B639" s="36"/>
      <c r="C639" s="36"/>
      <c r="D639"/>
      <c r="E639"/>
      <c r="F639"/>
      <c r="G639"/>
      <c r="H639"/>
      <c r="I639"/>
      <c r="J639"/>
      <c r="K639"/>
      <c r="L639"/>
      <c r="M639"/>
      <c r="N639"/>
      <c r="O639"/>
      <c r="P639" s="36"/>
      <c r="Q639" s="37"/>
      <c r="R639"/>
      <c r="S639"/>
      <c r="T639"/>
      <c r="U639"/>
      <c r="V639" s="39"/>
      <c r="W639"/>
      <c r="X639"/>
      <c r="Y639"/>
      <c r="Z639"/>
      <c r="AA639"/>
    </row>
    <row r="640" spans="1:27" x14ac:dyDescent="0.25">
      <c r="A640"/>
      <c r="B640" s="36"/>
      <c r="C640" s="36"/>
      <c r="D640"/>
      <c r="E640"/>
      <c r="F640"/>
      <c r="G640"/>
      <c r="H640"/>
      <c r="I640"/>
      <c r="J640"/>
      <c r="K640"/>
      <c r="L640"/>
      <c r="M640"/>
      <c r="N640"/>
      <c r="O640"/>
      <c r="P640" s="36"/>
      <c r="Q640" s="37"/>
      <c r="R640"/>
      <c r="S640"/>
      <c r="T640"/>
      <c r="U640"/>
      <c r="V640" s="39"/>
      <c r="W640"/>
      <c r="X640"/>
      <c r="Y640"/>
      <c r="Z640"/>
      <c r="AA640"/>
    </row>
    <row r="641" spans="1:27" x14ac:dyDescent="0.25">
      <c r="A641"/>
      <c r="B641" s="36"/>
      <c r="C641" s="36"/>
      <c r="D641"/>
      <c r="E641"/>
      <c r="F641"/>
      <c r="G641"/>
      <c r="H641"/>
      <c r="I641"/>
      <c r="J641"/>
      <c r="K641"/>
      <c r="L641"/>
      <c r="M641"/>
      <c r="N641"/>
      <c r="O641"/>
      <c r="P641" s="36"/>
      <c r="Q641" s="37"/>
      <c r="R641"/>
      <c r="S641"/>
      <c r="T641"/>
      <c r="U641"/>
      <c r="V641" s="39"/>
      <c r="W641"/>
      <c r="X641"/>
      <c r="Y641"/>
      <c r="Z641"/>
      <c r="AA641"/>
    </row>
    <row r="642" spans="1:27" x14ac:dyDescent="0.25">
      <c r="A642"/>
      <c r="B642" s="36"/>
      <c r="C642" s="36"/>
      <c r="D642"/>
      <c r="E642"/>
      <c r="F642"/>
      <c r="G642"/>
      <c r="H642"/>
      <c r="I642"/>
      <c r="J642"/>
      <c r="K642"/>
      <c r="L642"/>
      <c r="M642"/>
      <c r="N642"/>
      <c r="O642"/>
      <c r="P642" s="36"/>
      <c r="Q642" s="37"/>
      <c r="R642" s="44"/>
      <c r="S642"/>
      <c r="T642"/>
      <c r="U642"/>
      <c r="V642" s="39"/>
      <c r="W642"/>
      <c r="X642"/>
      <c r="Y642"/>
      <c r="Z642"/>
      <c r="AA642"/>
    </row>
    <row r="643" spans="1:27" x14ac:dyDescent="0.25">
      <c r="A643"/>
      <c r="B643" s="36"/>
      <c r="C643" s="36"/>
      <c r="D643"/>
      <c r="E643"/>
      <c r="F643"/>
      <c r="G643"/>
      <c r="H643"/>
      <c r="I643"/>
      <c r="J643"/>
      <c r="K643"/>
      <c r="L643"/>
      <c r="M643"/>
      <c r="N643"/>
      <c r="O643"/>
      <c r="P643" s="36"/>
      <c r="Q643" s="37"/>
      <c r="R643"/>
      <c r="S643"/>
      <c r="T643"/>
      <c r="U643"/>
      <c r="V643" s="39"/>
      <c r="W643"/>
      <c r="X643"/>
      <c r="Y643"/>
      <c r="Z643"/>
      <c r="AA643"/>
    </row>
    <row r="644" spans="1:27" x14ac:dyDescent="0.25">
      <c r="A644"/>
      <c r="B644" s="36"/>
      <c r="C644" s="36"/>
      <c r="D644"/>
      <c r="E644"/>
      <c r="F644"/>
      <c r="G644"/>
      <c r="H644"/>
      <c r="I644"/>
      <c r="J644"/>
      <c r="K644"/>
      <c r="L644"/>
      <c r="M644"/>
      <c r="N644"/>
      <c r="O644"/>
      <c r="P644" s="36"/>
      <c r="Q644" s="37"/>
      <c r="R644"/>
      <c r="S644"/>
      <c r="T644"/>
      <c r="U644"/>
      <c r="V644" s="39"/>
      <c r="W644"/>
      <c r="X644"/>
      <c r="Y644"/>
      <c r="Z644"/>
      <c r="AA644"/>
    </row>
    <row r="645" spans="1:27" x14ac:dyDescent="0.25">
      <c r="A645"/>
      <c r="B645" s="36"/>
      <c r="C645" s="36"/>
      <c r="D645"/>
      <c r="E645"/>
      <c r="F645"/>
      <c r="G645"/>
      <c r="H645"/>
      <c r="I645"/>
      <c r="J645"/>
      <c r="K645"/>
      <c r="L645"/>
      <c r="M645"/>
      <c r="N645"/>
      <c r="O645"/>
      <c r="P645" s="36"/>
      <c r="Q645" s="37"/>
      <c r="R645"/>
      <c r="S645"/>
      <c r="T645"/>
      <c r="U645"/>
      <c r="V645" s="39"/>
      <c r="W645"/>
      <c r="X645"/>
      <c r="Y645"/>
      <c r="Z645"/>
      <c r="AA645"/>
    </row>
    <row r="646" spans="1:27" x14ac:dyDescent="0.25">
      <c r="A646"/>
      <c r="B646" s="36"/>
      <c r="C646" s="36"/>
      <c r="D646"/>
      <c r="E646"/>
      <c r="F646"/>
      <c r="G646"/>
      <c r="H646"/>
      <c r="I646"/>
      <c r="J646"/>
      <c r="K646"/>
      <c r="L646"/>
      <c r="M646"/>
      <c r="N646"/>
      <c r="O646"/>
      <c r="P646" s="36"/>
      <c r="Q646" s="37"/>
      <c r="R646"/>
      <c r="S646"/>
      <c r="T646"/>
      <c r="U646"/>
      <c r="V646" s="39"/>
      <c r="W646"/>
      <c r="X646"/>
      <c r="Y646"/>
      <c r="Z646"/>
      <c r="AA646"/>
    </row>
    <row r="647" spans="1:27" x14ac:dyDescent="0.25">
      <c r="A647"/>
      <c r="B647" s="36"/>
      <c r="C647" s="36"/>
      <c r="D647"/>
      <c r="E647"/>
      <c r="F647"/>
      <c r="G647"/>
      <c r="H647"/>
      <c r="I647"/>
      <c r="J647"/>
      <c r="K647"/>
      <c r="L647"/>
      <c r="M647"/>
      <c r="N647"/>
      <c r="O647"/>
      <c r="P647" s="36"/>
      <c r="Q647" s="37"/>
      <c r="R647"/>
      <c r="S647"/>
      <c r="T647"/>
      <c r="U647"/>
      <c r="V647" s="39"/>
      <c r="W647"/>
      <c r="X647"/>
      <c r="Y647"/>
      <c r="Z647"/>
      <c r="AA647"/>
    </row>
    <row r="648" spans="1:27" x14ac:dyDescent="0.25">
      <c r="A648"/>
      <c r="B648" s="36"/>
      <c r="C648" s="36"/>
      <c r="D648"/>
      <c r="E648"/>
      <c r="F648"/>
      <c r="G648"/>
      <c r="H648"/>
      <c r="I648"/>
      <c r="J648"/>
      <c r="K648"/>
      <c r="L648"/>
      <c r="M648"/>
      <c r="N648"/>
      <c r="O648"/>
      <c r="P648" s="36"/>
      <c r="Q648" s="37"/>
      <c r="R648"/>
      <c r="S648"/>
      <c r="T648"/>
      <c r="U648"/>
      <c r="V648" s="39"/>
      <c r="W648"/>
      <c r="X648"/>
      <c r="Y648"/>
      <c r="Z648"/>
      <c r="AA648"/>
    </row>
    <row r="649" spans="1:27" x14ac:dyDescent="0.25">
      <c r="A649"/>
      <c r="B649" s="36"/>
      <c r="C649" s="36"/>
      <c r="D649"/>
      <c r="E649"/>
      <c r="F649"/>
      <c r="G649"/>
      <c r="H649"/>
      <c r="I649"/>
      <c r="J649"/>
      <c r="K649"/>
      <c r="L649"/>
      <c r="M649"/>
      <c r="N649"/>
      <c r="O649"/>
      <c r="P649" s="36"/>
      <c r="Q649" s="37"/>
      <c r="R649"/>
      <c r="S649"/>
      <c r="T649"/>
      <c r="U649"/>
      <c r="V649" s="39"/>
      <c r="W649"/>
      <c r="X649"/>
      <c r="Y649"/>
      <c r="Z649"/>
      <c r="AA649"/>
    </row>
    <row r="650" spans="1:27" x14ac:dyDescent="0.25">
      <c r="A650"/>
      <c r="B650" s="36"/>
      <c r="C650" s="36"/>
      <c r="D650"/>
      <c r="E650"/>
      <c r="F650"/>
      <c r="G650"/>
      <c r="H650"/>
      <c r="I650"/>
      <c r="J650"/>
      <c r="K650"/>
      <c r="L650"/>
      <c r="M650"/>
      <c r="N650"/>
      <c r="O650"/>
      <c r="P650" s="36"/>
      <c r="Q650" s="37"/>
      <c r="R650"/>
      <c r="S650"/>
      <c r="T650"/>
      <c r="U650"/>
      <c r="V650" s="39"/>
      <c r="W650"/>
      <c r="X650"/>
      <c r="Y650"/>
      <c r="Z650"/>
      <c r="AA650"/>
    </row>
    <row r="651" spans="1:27" x14ac:dyDescent="0.25">
      <c r="A651"/>
      <c r="B651" s="36"/>
      <c r="C651" s="36"/>
      <c r="D651"/>
      <c r="E651"/>
      <c r="F651"/>
      <c r="G651"/>
      <c r="H651"/>
      <c r="I651"/>
      <c r="J651"/>
      <c r="K651"/>
      <c r="L651"/>
      <c r="M651"/>
      <c r="N651"/>
      <c r="O651"/>
      <c r="P651" s="36"/>
      <c r="Q651" s="37"/>
      <c r="R651"/>
      <c r="S651"/>
      <c r="T651"/>
      <c r="U651"/>
      <c r="V651" s="39"/>
      <c r="W651"/>
      <c r="X651"/>
      <c r="Y651"/>
      <c r="Z651"/>
      <c r="AA651"/>
    </row>
    <row r="652" spans="1:27" x14ac:dyDescent="0.25">
      <c r="A652"/>
      <c r="B652" s="36"/>
      <c r="C652" s="36"/>
      <c r="D652"/>
      <c r="E652"/>
      <c r="F652"/>
      <c r="G652"/>
      <c r="H652"/>
      <c r="I652"/>
      <c r="J652"/>
      <c r="K652"/>
      <c r="L652"/>
      <c r="M652"/>
      <c r="N652"/>
      <c r="O652"/>
      <c r="P652" s="36"/>
      <c r="Q652" s="37"/>
      <c r="R652"/>
      <c r="S652"/>
      <c r="T652"/>
      <c r="U652"/>
      <c r="V652" s="39"/>
      <c r="W652"/>
      <c r="X652"/>
      <c r="Y652"/>
      <c r="Z652"/>
      <c r="AA652"/>
    </row>
    <row r="653" spans="1:27" x14ac:dyDescent="0.25">
      <c r="A653"/>
      <c r="B653" s="36"/>
      <c r="C653" s="36"/>
      <c r="D653"/>
      <c r="E653"/>
      <c r="F653"/>
      <c r="G653"/>
      <c r="H653"/>
      <c r="I653"/>
      <c r="J653"/>
      <c r="K653"/>
      <c r="L653"/>
      <c r="M653"/>
      <c r="N653"/>
      <c r="O653"/>
      <c r="P653" s="36"/>
      <c r="Q653" s="37"/>
      <c r="R653"/>
      <c r="S653"/>
      <c r="T653"/>
      <c r="U653"/>
      <c r="V653" s="39"/>
      <c r="W653"/>
      <c r="X653"/>
      <c r="Y653"/>
      <c r="Z653"/>
      <c r="AA653"/>
    </row>
    <row r="654" spans="1:27" x14ac:dyDescent="0.25">
      <c r="A654"/>
      <c r="B654" s="36"/>
      <c r="C654" s="36"/>
      <c r="D654"/>
      <c r="E654"/>
      <c r="F654"/>
      <c r="G654"/>
      <c r="H654"/>
      <c r="I654"/>
      <c r="J654"/>
      <c r="K654"/>
      <c r="L654"/>
      <c r="M654"/>
      <c r="N654"/>
      <c r="O654"/>
      <c r="P654" s="36"/>
      <c r="Q654" s="37"/>
      <c r="R654"/>
      <c r="S654"/>
      <c r="T654"/>
      <c r="U654"/>
      <c r="V654" s="39"/>
      <c r="W654"/>
      <c r="X654"/>
      <c r="Y654"/>
      <c r="Z654"/>
      <c r="AA654"/>
    </row>
    <row r="655" spans="1:27" x14ac:dyDescent="0.25">
      <c r="A655"/>
      <c r="B655" s="36"/>
      <c r="C655" s="36"/>
      <c r="D655"/>
      <c r="E655"/>
      <c r="F655"/>
      <c r="G655"/>
      <c r="H655"/>
      <c r="I655"/>
      <c r="J655"/>
      <c r="K655"/>
      <c r="L655"/>
      <c r="M655"/>
      <c r="N655"/>
      <c r="O655"/>
      <c r="P655" s="36"/>
      <c r="Q655" s="37"/>
      <c r="R655"/>
      <c r="S655"/>
      <c r="T655"/>
      <c r="U655"/>
      <c r="V655" s="39"/>
      <c r="W655"/>
      <c r="X655"/>
      <c r="Y655"/>
      <c r="Z655"/>
      <c r="AA655"/>
    </row>
    <row r="656" spans="1:27" x14ac:dyDescent="0.25">
      <c r="A656"/>
      <c r="B656" s="36"/>
      <c r="C656" s="36"/>
      <c r="D656"/>
      <c r="E656"/>
      <c r="F656"/>
      <c r="G656"/>
      <c r="H656"/>
      <c r="I656"/>
      <c r="J656"/>
      <c r="K656"/>
      <c r="L656"/>
      <c r="M656"/>
      <c r="N656"/>
      <c r="O656"/>
      <c r="P656" s="36"/>
      <c r="Q656" s="37"/>
      <c r="R656"/>
      <c r="S656"/>
      <c r="T656"/>
      <c r="U656"/>
      <c r="V656" s="39"/>
      <c r="W656"/>
      <c r="X656"/>
      <c r="Y656"/>
      <c r="Z656"/>
      <c r="AA656"/>
    </row>
    <row r="657" spans="1:27" x14ac:dyDescent="0.25">
      <c r="A657"/>
      <c r="B657" s="36"/>
      <c r="C657" s="36"/>
      <c r="D657"/>
      <c r="E657"/>
      <c r="F657"/>
      <c r="G657"/>
      <c r="H657"/>
      <c r="I657"/>
      <c r="J657"/>
      <c r="K657"/>
      <c r="L657"/>
      <c r="M657"/>
      <c r="N657"/>
      <c r="O657"/>
      <c r="P657" s="36"/>
      <c r="Q657" s="37"/>
      <c r="R657"/>
      <c r="S657"/>
      <c r="T657"/>
      <c r="U657"/>
      <c r="V657" s="39"/>
      <c r="W657"/>
      <c r="X657"/>
      <c r="Y657"/>
      <c r="Z657"/>
      <c r="AA657"/>
    </row>
    <row r="658" spans="1:27" x14ac:dyDescent="0.25">
      <c r="A658"/>
      <c r="B658" s="36"/>
      <c r="C658" s="36"/>
      <c r="D658"/>
      <c r="E658"/>
      <c r="F658"/>
      <c r="G658"/>
      <c r="H658"/>
      <c r="I658"/>
      <c r="J658"/>
      <c r="K658"/>
      <c r="L658"/>
      <c r="M658"/>
      <c r="N658"/>
      <c r="O658"/>
      <c r="P658" s="36"/>
      <c r="Q658" s="37"/>
      <c r="R658"/>
      <c r="S658"/>
      <c r="T658"/>
      <c r="U658"/>
      <c r="V658" s="39"/>
      <c r="W658"/>
      <c r="X658"/>
      <c r="Y658"/>
      <c r="Z658"/>
      <c r="AA658"/>
    </row>
    <row r="659" spans="1:27" x14ac:dyDescent="0.25">
      <c r="A659"/>
      <c r="B659" s="36"/>
      <c r="C659" s="36"/>
      <c r="D659"/>
      <c r="E659"/>
      <c r="F659"/>
      <c r="G659"/>
      <c r="H659"/>
      <c r="I659"/>
      <c r="J659"/>
      <c r="K659"/>
      <c r="L659"/>
      <c r="M659"/>
      <c r="N659"/>
      <c r="O659"/>
      <c r="P659" s="36"/>
      <c r="Q659" s="37"/>
      <c r="R659"/>
      <c r="S659"/>
      <c r="T659"/>
      <c r="U659"/>
      <c r="V659" s="39"/>
      <c r="W659"/>
      <c r="X659"/>
      <c r="Y659"/>
      <c r="Z659"/>
      <c r="AA659"/>
    </row>
    <row r="660" spans="1:27" x14ac:dyDescent="0.25">
      <c r="A660"/>
      <c r="B660" s="36"/>
      <c r="C660" s="36"/>
      <c r="D660"/>
      <c r="E660"/>
      <c r="F660"/>
      <c r="G660"/>
      <c r="H660"/>
      <c r="I660"/>
      <c r="J660"/>
      <c r="K660"/>
      <c r="L660"/>
      <c r="M660"/>
      <c r="N660"/>
      <c r="O660"/>
      <c r="P660" s="36"/>
      <c r="Q660" s="37"/>
      <c r="R660"/>
      <c r="S660"/>
      <c r="T660"/>
      <c r="U660"/>
      <c r="V660" s="39"/>
      <c r="W660"/>
      <c r="X660"/>
      <c r="Y660"/>
      <c r="Z660"/>
      <c r="AA660"/>
    </row>
    <row r="661" spans="1:27" x14ac:dyDescent="0.25">
      <c r="A661"/>
      <c r="B661" s="36"/>
      <c r="C661" s="36"/>
      <c r="D661"/>
      <c r="E661"/>
      <c r="F661"/>
      <c r="G661"/>
      <c r="H661"/>
      <c r="I661"/>
      <c r="J661"/>
      <c r="K661"/>
      <c r="L661"/>
      <c r="M661"/>
      <c r="N661"/>
      <c r="O661"/>
      <c r="P661" s="36"/>
      <c r="Q661" s="37"/>
      <c r="R661"/>
      <c r="S661"/>
      <c r="T661"/>
      <c r="U661"/>
      <c r="V661" s="39"/>
      <c r="W661"/>
      <c r="X661"/>
      <c r="Y661"/>
      <c r="Z661"/>
      <c r="AA661"/>
    </row>
    <row r="662" spans="1:27" x14ac:dyDescent="0.25">
      <c r="A662"/>
      <c r="B662" s="36"/>
      <c r="C662" s="36"/>
      <c r="D662"/>
      <c r="E662"/>
      <c r="F662"/>
      <c r="G662"/>
      <c r="H662"/>
      <c r="I662"/>
      <c r="J662"/>
      <c r="K662"/>
      <c r="L662"/>
      <c r="M662"/>
      <c r="N662"/>
      <c r="O662"/>
      <c r="P662" s="36"/>
      <c r="Q662" s="37"/>
      <c r="R662"/>
      <c r="S662"/>
      <c r="T662"/>
      <c r="U662"/>
      <c r="V662" s="39"/>
      <c r="W662"/>
      <c r="X662"/>
      <c r="Y662"/>
      <c r="Z662"/>
      <c r="AA662"/>
    </row>
    <row r="663" spans="1:27" x14ac:dyDescent="0.25">
      <c r="A663"/>
      <c r="B663" s="36"/>
      <c r="C663" s="36"/>
      <c r="D663"/>
      <c r="E663"/>
      <c r="F663"/>
      <c r="G663"/>
      <c r="H663"/>
      <c r="I663"/>
      <c r="J663"/>
      <c r="K663"/>
      <c r="L663"/>
      <c r="M663"/>
      <c r="N663"/>
      <c r="O663"/>
      <c r="P663" s="36"/>
      <c r="Q663" s="37"/>
      <c r="R663"/>
      <c r="S663"/>
      <c r="T663"/>
      <c r="U663"/>
      <c r="V663" s="39"/>
      <c r="W663"/>
      <c r="X663"/>
      <c r="Y663"/>
      <c r="Z663"/>
      <c r="AA663"/>
    </row>
    <row r="664" spans="1:27" x14ac:dyDescent="0.25">
      <c r="A664"/>
      <c r="B664" s="36"/>
      <c r="C664" s="36"/>
      <c r="D664"/>
      <c r="E664"/>
      <c r="F664"/>
      <c r="G664"/>
      <c r="H664"/>
      <c r="I664"/>
      <c r="J664"/>
      <c r="K664"/>
      <c r="L664"/>
      <c r="M664"/>
      <c r="N664"/>
      <c r="O664"/>
      <c r="P664" s="36"/>
      <c r="Q664" s="37"/>
      <c r="R664"/>
      <c r="S664"/>
      <c r="T664"/>
      <c r="U664"/>
      <c r="V664" s="39"/>
      <c r="W664"/>
      <c r="X664"/>
      <c r="Y664"/>
      <c r="Z664"/>
      <c r="AA664"/>
    </row>
    <row r="665" spans="1:27" x14ac:dyDescent="0.25">
      <c r="A665"/>
      <c r="B665" s="36"/>
      <c r="C665" s="36"/>
      <c r="D665"/>
      <c r="E665"/>
      <c r="F665"/>
      <c r="G665"/>
      <c r="H665"/>
      <c r="I665"/>
      <c r="J665"/>
      <c r="K665"/>
      <c r="L665"/>
      <c r="M665"/>
      <c r="N665"/>
      <c r="O665"/>
      <c r="P665" s="36"/>
      <c r="Q665" s="37"/>
      <c r="R665"/>
      <c r="S665"/>
      <c r="T665"/>
      <c r="U665"/>
      <c r="V665" s="39"/>
      <c r="W665"/>
      <c r="X665"/>
      <c r="Y665"/>
      <c r="Z665"/>
      <c r="AA665"/>
    </row>
    <row r="666" spans="1:27" x14ac:dyDescent="0.25">
      <c r="A666"/>
      <c r="B666" s="36"/>
      <c r="C666" s="36"/>
      <c r="D666"/>
      <c r="E666"/>
      <c r="F666"/>
      <c r="G666"/>
      <c r="H666"/>
      <c r="I666"/>
      <c r="J666"/>
      <c r="K666"/>
      <c r="L666"/>
      <c r="M666"/>
      <c r="N666"/>
      <c r="O666"/>
      <c r="P666" s="36"/>
      <c r="Q666" s="37"/>
      <c r="R666"/>
      <c r="S666"/>
      <c r="T666"/>
      <c r="U666"/>
      <c r="V666" s="39"/>
      <c r="W666"/>
      <c r="X666"/>
      <c r="Y666"/>
      <c r="Z666"/>
      <c r="AA666"/>
    </row>
    <row r="667" spans="1:27" x14ac:dyDescent="0.25">
      <c r="A667"/>
      <c r="B667" s="36"/>
      <c r="C667" s="36"/>
      <c r="D667"/>
      <c r="E667"/>
      <c r="F667"/>
      <c r="G667"/>
      <c r="H667"/>
      <c r="I667"/>
      <c r="J667"/>
      <c r="K667"/>
      <c r="L667"/>
      <c r="M667"/>
      <c r="N667"/>
      <c r="O667"/>
      <c r="P667" s="36"/>
      <c r="Q667" s="37"/>
      <c r="R667"/>
      <c r="S667"/>
      <c r="T667"/>
      <c r="U667"/>
      <c r="V667" s="39"/>
      <c r="W667"/>
      <c r="X667"/>
      <c r="Y667"/>
      <c r="Z667"/>
      <c r="AA667"/>
    </row>
    <row r="668" spans="1:27" x14ac:dyDescent="0.25">
      <c r="A668"/>
      <c r="B668" s="36"/>
      <c r="C668" s="36"/>
      <c r="D668"/>
      <c r="E668"/>
      <c r="F668"/>
      <c r="G668"/>
      <c r="H668"/>
      <c r="I668"/>
      <c r="J668"/>
      <c r="K668"/>
      <c r="L668"/>
      <c r="M668"/>
      <c r="N668"/>
      <c r="O668"/>
      <c r="P668" s="36"/>
      <c r="Q668" s="37"/>
      <c r="R668"/>
      <c r="S668"/>
      <c r="T668"/>
      <c r="U668"/>
      <c r="V668" s="39"/>
      <c r="W668"/>
      <c r="X668"/>
      <c r="Y668"/>
      <c r="Z668"/>
      <c r="AA668"/>
    </row>
    <row r="669" spans="1:27" x14ac:dyDescent="0.25">
      <c r="A669"/>
      <c r="B669" s="36"/>
      <c r="C669" s="36"/>
      <c r="D669"/>
      <c r="E669"/>
      <c r="F669"/>
      <c r="G669"/>
      <c r="H669"/>
      <c r="I669"/>
      <c r="J669"/>
      <c r="K669"/>
      <c r="L669"/>
      <c r="M669"/>
      <c r="N669"/>
      <c r="O669"/>
      <c r="P669" s="36"/>
      <c r="Q669" s="37"/>
      <c r="R669"/>
      <c r="S669"/>
      <c r="T669"/>
      <c r="U669"/>
      <c r="V669" s="39"/>
      <c r="W669"/>
      <c r="X669"/>
      <c r="Y669"/>
      <c r="Z669"/>
      <c r="AA669"/>
    </row>
    <row r="670" spans="1:27" x14ac:dyDescent="0.25">
      <c r="A670"/>
      <c r="B670" s="36"/>
      <c r="C670" s="36"/>
      <c r="D670"/>
      <c r="E670"/>
      <c r="F670"/>
      <c r="G670"/>
      <c r="H670"/>
      <c r="I670"/>
      <c r="J670"/>
      <c r="K670"/>
      <c r="L670"/>
      <c r="M670"/>
      <c r="N670"/>
      <c r="O670"/>
      <c r="P670" s="36"/>
      <c r="Q670" s="37"/>
      <c r="R670"/>
      <c r="S670"/>
      <c r="T670"/>
      <c r="U670"/>
      <c r="V670" s="39"/>
      <c r="W670"/>
      <c r="X670"/>
      <c r="Y670"/>
      <c r="Z670"/>
      <c r="AA670"/>
    </row>
    <row r="671" spans="1:27" x14ac:dyDescent="0.25">
      <c r="A671"/>
      <c r="B671" s="36"/>
      <c r="C671" s="36"/>
      <c r="D671"/>
      <c r="E671"/>
      <c r="F671"/>
      <c r="G671"/>
      <c r="H671"/>
      <c r="I671"/>
      <c r="J671"/>
      <c r="K671"/>
      <c r="L671"/>
      <c r="M671"/>
      <c r="N671"/>
      <c r="O671"/>
      <c r="P671" s="36"/>
      <c r="Q671" s="37"/>
      <c r="R671"/>
      <c r="S671"/>
      <c r="T671"/>
      <c r="U671"/>
      <c r="V671" s="39"/>
      <c r="W671"/>
      <c r="X671"/>
      <c r="Y671"/>
      <c r="Z671"/>
      <c r="AA671"/>
    </row>
    <row r="672" spans="1:27" x14ac:dyDescent="0.25">
      <c r="A672"/>
      <c r="B672" s="36"/>
      <c r="C672" s="36"/>
      <c r="D672"/>
      <c r="E672"/>
      <c r="F672"/>
      <c r="G672"/>
      <c r="H672"/>
      <c r="I672"/>
      <c r="J672"/>
      <c r="K672"/>
      <c r="L672"/>
      <c r="M672"/>
      <c r="N672"/>
      <c r="O672"/>
      <c r="P672" s="36"/>
      <c r="Q672" s="37"/>
      <c r="R672"/>
      <c r="S672"/>
      <c r="T672"/>
      <c r="U672"/>
      <c r="V672" s="39"/>
      <c r="W672"/>
      <c r="X672"/>
      <c r="Y672"/>
      <c r="Z672"/>
      <c r="AA672"/>
    </row>
    <row r="673" spans="1:27" x14ac:dyDescent="0.25">
      <c r="A673"/>
      <c r="B673" s="36"/>
      <c r="C673" s="36"/>
      <c r="D673"/>
      <c r="E673"/>
      <c r="F673"/>
      <c r="G673"/>
      <c r="H673"/>
      <c r="I673"/>
      <c r="J673"/>
      <c r="K673"/>
      <c r="L673"/>
      <c r="M673"/>
      <c r="N673"/>
      <c r="O673"/>
      <c r="P673" s="36"/>
      <c r="Q673" s="37"/>
      <c r="R673"/>
      <c r="S673"/>
      <c r="T673"/>
      <c r="U673"/>
      <c r="V673" s="39"/>
      <c r="W673"/>
      <c r="X673"/>
      <c r="Y673"/>
      <c r="Z673"/>
      <c r="AA673"/>
    </row>
    <row r="674" spans="1:27" x14ac:dyDescent="0.25">
      <c r="A674"/>
      <c r="B674" s="36"/>
      <c r="C674" s="36"/>
      <c r="D674"/>
      <c r="E674"/>
      <c r="F674"/>
      <c r="G674"/>
      <c r="H674"/>
      <c r="I674"/>
      <c r="J674"/>
      <c r="K674"/>
      <c r="L674"/>
      <c r="M674"/>
      <c r="N674"/>
      <c r="O674"/>
      <c r="P674" s="36"/>
      <c r="Q674" s="37"/>
      <c r="R674"/>
      <c r="S674"/>
      <c r="T674"/>
      <c r="U674"/>
      <c r="V674" s="39"/>
      <c r="W674"/>
      <c r="X674"/>
      <c r="Y674"/>
      <c r="Z674"/>
      <c r="AA674"/>
    </row>
    <row r="675" spans="1:27" x14ac:dyDescent="0.25">
      <c r="A675"/>
      <c r="B675" s="36"/>
      <c r="C675" s="36"/>
      <c r="D675"/>
      <c r="E675"/>
      <c r="F675"/>
      <c r="G675"/>
      <c r="H675"/>
      <c r="I675"/>
      <c r="J675"/>
      <c r="K675"/>
      <c r="L675"/>
      <c r="M675"/>
      <c r="N675"/>
      <c r="O675"/>
      <c r="P675" s="36"/>
      <c r="Q675" s="37"/>
      <c r="R675"/>
      <c r="S675"/>
      <c r="T675"/>
      <c r="U675"/>
      <c r="V675" s="39"/>
      <c r="W675"/>
      <c r="X675"/>
      <c r="Y675"/>
      <c r="Z675"/>
      <c r="AA675"/>
    </row>
    <row r="676" spans="1:27" x14ac:dyDescent="0.25">
      <c r="A676"/>
      <c r="B676" s="36"/>
      <c r="C676" s="36"/>
      <c r="D676"/>
      <c r="E676"/>
      <c r="F676"/>
      <c r="G676"/>
      <c r="H676"/>
      <c r="I676"/>
      <c r="J676"/>
      <c r="K676"/>
      <c r="L676"/>
      <c r="M676"/>
      <c r="N676"/>
      <c r="O676"/>
      <c r="P676" s="36"/>
      <c r="Q676" s="37"/>
      <c r="R676"/>
      <c r="S676"/>
      <c r="T676"/>
      <c r="U676"/>
      <c r="V676" s="39"/>
      <c r="W676"/>
      <c r="X676"/>
      <c r="Y676"/>
      <c r="Z676"/>
      <c r="AA676"/>
    </row>
    <row r="677" spans="1:27" x14ac:dyDescent="0.25">
      <c r="A677"/>
      <c r="B677" s="36"/>
      <c r="C677" s="36"/>
      <c r="D677"/>
      <c r="E677"/>
      <c r="F677"/>
      <c r="G677"/>
      <c r="H677"/>
      <c r="I677"/>
      <c r="J677"/>
      <c r="K677"/>
      <c r="L677"/>
      <c r="M677"/>
      <c r="N677"/>
      <c r="O677"/>
      <c r="P677" s="36"/>
      <c r="Q677" s="37"/>
      <c r="R677"/>
      <c r="S677"/>
      <c r="T677"/>
      <c r="U677"/>
      <c r="V677" s="39"/>
      <c r="W677"/>
      <c r="X677"/>
      <c r="Y677"/>
      <c r="Z677"/>
      <c r="AA677"/>
    </row>
    <row r="678" spans="1:27" x14ac:dyDescent="0.25">
      <c r="A678"/>
      <c r="B678" s="36"/>
      <c r="C678" s="36"/>
      <c r="D678"/>
      <c r="E678"/>
      <c r="F678"/>
      <c r="G678"/>
      <c r="H678"/>
      <c r="I678"/>
      <c r="J678"/>
      <c r="K678"/>
      <c r="L678"/>
      <c r="M678"/>
      <c r="N678"/>
      <c r="O678"/>
      <c r="P678" s="36"/>
      <c r="Q678" s="37"/>
      <c r="R678"/>
      <c r="S678"/>
      <c r="T678"/>
      <c r="U678"/>
      <c r="V678" s="39"/>
      <c r="W678"/>
      <c r="X678"/>
      <c r="Y678"/>
      <c r="Z678"/>
      <c r="AA678"/>
    </row>
    <row r="679" spans="1:27" x14ac:dyDescent="0.25">
      <c r="A679"/>
      <c r="B679" s="36"/>
      <c r="C679" s="36"/>
      <c r="D679"/>
      <c r="E679"/>
      <c r="F679"/>
      <c r="G679"/>
      <c r="H679"/>
      <c r="I679"/>
      <c r="J679"/>
      <c r="K679"/>
      <c r="L679"/>
      <c r="M679"/>
      <c r="N679"/>
      <c r="O679"/>
      <c r="P679" s="36"/>
      <c r="Q679" s="37"/>
      <c r="R679"/>
      <c r="S679"/>
      <c r="T679"/>
      <c r="U679"/>
      <c r="V679" s="39"/>
      <c r="W679"/>
      <c r="X679"/>
      <c r="Y679"/>
      <c r="Z679"/>
      <c r="AA679"/>
    </row>
    <row r="680" spans="1:27" x14ac:dyDescent="0.25">
      <c r="A680"/>
      <c r="B680" s="36"/>
      <c r="C680" s="36"/>
      <c r="D680"/>
      <c r="E680"/>
      <c r="F680"/>
      <c r="G680"/>
      <c r="H680"/>
      <c r="I680"/>
      <c r="J680"/>
      <c r="K680"/>
      <c r="L680"/>
      <c r="M680"/>
      <c r="N680"/>
      <c r="O680"/>
      <c r="P680" s="36"/>
      <c r="Q680" s="37"/>
      <c r="R680"/>
      <c r="S680"/>
      <c r="T680"/>
      <c r="U680"/>
      <c r="V680" s="39"/>
      <c r="W680"/>
      <c r="X680"/>
      <c r="Y680"/>
      <c r="Z680"/>
      <c r="AA680"/>
    </row>
    <row r="681" spans="1:27" x14ac:dyDescent="0.25">
      <c r="A681"/>
      <c r="B681" s="36"/>
      <c r="C681" s="36"/>
      <c r="D681"/>
      <c r="E681"/>
      <c r="F681"/>
      <c r="G681"/>
      <c r="H681"/>
      <c r="I681"/>
      <c r="J681"/>
      <c r="K681"/>
      <c r="L681"/>
      <c r="M681"/>
      <c r="N681"/>
      <c r="O681"/>
      <c r="P681" s="36"/>
      <c r="Q681" s="37"/>
      <c r="R681"/>
      <c r="S681"/>
      <c r="T681"/>
      <c r="U681"/>
      <c r="V681" s="39"/>
      <c r="W681"/>
      <c r="X681"/>
      <c r="Y681"/>
      <c r="Z681"/>
      <c r="AA681"/>
    </row>
    <row r="682" spans="1:27" x14ac:dyDescent="0.25">
      <c r="A682"/>
      <c r="B682" s="36"/>
      <c r="C682" s="36"/>
      <c r="D682"/>
      <c r="E682"/>
      <c r="F682"/>
      <c r="G682"/>
      <c r="H682"/>
      <c r="I682"/>
      <c r="J682"/>
      <c r="K682"/>
      <c r="L682"/>
      <c r="M682"/>
      <c r="N682"/>
      <c r="O682"/>
      <c r="P682" s="36"/>
      <c r="Q682" s="37"/>
      <c r="R682"/>
      <c r="S682"/>
      <c r="T682"/>
      <c r="U682"/>
      <c r="V682" s="39"/>
      <c r="W682"/>
      <c r="X682"/>
      <c r="Y682"/>
      <c r="Z682"/>
      <c r="AA682"/>
    </row>
    <row r="683" spans="1:27" x14ac:dyDescent="0.25">
      <c r="A683"/>
      <c r="B683" s="36"/>
      <c r="C683" s="36"/>
      <c r="D683"/>
      <c r="E683"/>
      <c r="F683"/>
      <c r="G683"/>
      <c r="H683"/>
      <c r="I683"/>
      <c r="J683"/>
      <c r="K683"/>
      <c r="L683"/>
      <c r="M683"/>
      <c r="N683"/>
      <c r="O683"/>
      <c r="P683" s="36"/>
      <c r="Q683" s="37"/>
      <c r="R683"/>
      <c r="S683"/>
      <c r="T683"/>
      <c r="U683"/>
      <c r="V683" s="39"/>
      <c r="W683"/>
      <c r="X683"/>
      <c r="Y683"/>
      <c r="Z683"/>
      <c r="AA683"/>
    </row>
    <row r="684" spans="1:27" x14ac:dyDescent="0.25">
      <c r="A684"/>
      <c r="B684" s="36"/>
      <c r="C684" s="36"/>
      <c r="D684"/>
      <c r="E684"/>
      <c r="F684"/>
      <c r="G684"/>
      <c r="H684"/>
      <c r="I684"/>
      <c r="J684"/>
      <c r="K684"/>
      <c r="L684"/>
      <c r="M684"/>
      <c r="N684"/>
      <c r="O684"/>
      <c r="P684" s="36"/>
      <c r="Q684" s="37"/>
      <c r="R684"/>
      <c r="S684"/>
      <c r="T684"/>
      <c r="U684"/>
      <c r="V684" s="39"/>
      <c r="W684"/>
      <c r="X684"/>
      <c r="Y684"/>
      <c r="Z684"/>
      <c r="AA684"/>
    </row>
    <row r="685" spans="1:27" x14ac:dyDescent="0.25">
      <c r="A685"/>
      <c r="B685" s="36"/>
      <c r="C685" s="36"/>
      <c r="D685"/>
      <c r="E685"/>
      <c r="F685"/>
      <c r="G685"/>
      <c r="H685"/>
      <c r="I685"/>
      <c r="J685"/>
      <c r="K685"/>
      <c r="L685"/>
      <c r="M685"/>
      <c r="N685"/>
      <c r="O685"/>
      <c r="P685" s="36"/>
      <c r="Q685" s="37"/>
      <c r="R685"/>
      <c r="S685"/>
      <c r="T685"/>
      <c r="U685"/>
      <c r="V685" s="39"/>
      <c r="W685"/>
      <c r="X685"/>
      <c r="Y685"/>
      <c r="Z685"/>
      <c r="AA685"/>
    </row>
    <row r="686" spans="1:27" x14ac:dyDescent="0.25">
      <c r="A686"/>
      <c r="B686" s="36"/>
      <c r="C686" s="36"/>
      <c r="D686"/>
      <c r="E686"/>
      <c r="F686"/>
      <c r="G686"/>
      <c r="H686"/>
      <c r="I686"/>
      <c r="J686"/>
      <c r="K686"/>
      <c r="L686"/>
      <c r="M686"/>
      <c r="N686"/>
      <c r="O686"/>
      <c r="P686" s="36"/>
      <c r="Q686" s="37"/>
      <c r="R686"/>
      <c r="S686"/>
      <c r="T686"/>
      <c r="U686"/>
      <c r="V686" s="39"/>
      <c r="W686"/>
      <c r="X686"/>
      <c r="Y686"/>
      <c r="Z686"/>
      <c r="AA686"/>
    </row>
    <row r="687" spans="1:27" x14ac:dyDescent="0.25">
      <c r="A687"/>
      <c r="B687" s="36"/>
      <c r="C687" s="36"/>
      <c r="D687"/>
      <c r="E687"/>
      <c r="F687"/>
      <c r="G687"/>
      <c r="H687"/>
      <c r="I687"/>
      <c r="J687"/>
      <c r="K687"/>
      <c r="L687"/>
      <c r="M687"/>
      <c r="N687"/>
      <c r="O687"/>
      <c r="P687" s="36"/>
      <c r="Q687" s="37"/>
      <c r="R687"/>
      <c r="S687"/>
      <c r="T687"/>
      <c r="U687"/>
      <c r="V687" s="39"/>
      <c r="W687"/>
      <c r="X687"/>
      <c r="Y687"/>
      <c r="Z687"/>
      <c r="AA687"/>
    </row>
    <row r="688" spans="1:27" x14ac:dyDescent="0.25">
      <c r="A688"/>
      <c r="B688" s="36"/>
      <c r="C688" s="36"/>
      <c r="D688"/>
      <c r="E688"/>
      <c r="F688"/>
      <c r="G688"/>
      <c r="H688"/>
      <c r="I688"/>
      <c r="J688"/>
      <c r="K688"/>
      <c r="L688"/>
      <c r="M688"/>
      <c r="N688"/>
      <c r="O688"/>
      <c r="P688" s="36"/>
      <c r="Q688" s="37"/>
      <c r="R688"/>
      <c r="S688"/>
      <c r="T688"/>
      <c r="U688"/>
      <c r="V688" s="39"/>
      <c r="W688"/>
      <c r="X688"/>
      <c r="Y688"/>
      <c r="Z688"/>
      <c r="AA688"/>
    </row>
    <row r="689" spans="1:27" x14ac:dyDescent="0.25">
      <c r="A689"/>
      <c r="B689" s="36"/>
      <c r="C689" s="36"/>
      <c r="D689"/>
      <c r="E689"/>
      <c r="F689"/>
      <c r="G689"/>
      <c r="H689"/>
      <c r="I689"/>
      <c r="J689"/>
      <c r="K689"/>
      <c r="L689"/>
      <c r="M689"/>
      <c r="N689"/>
      <c r="O689"/>
      <c r="P689" s="36"/>
      <c r="Q689" s="37"/>
      <c r="R689"/>
      <c r="S689"/>
      <c r="T689"/>
      <c r="U689"/>
      <c r="V689" s="39"/>
      <c r="W689"/>
      <c r="X689"/>
      <c r="Y689"/>
      <c r="Z689"/>
      <c r="AA689"/>
    </row>
    <row r="690" spans="1:27" x14ac:dyDescent="0.25">
      <c r="A690"/>
      <c r="B690" s="36"/>
      <c r="C690" s="36"/>
      <c r="D690"/>
      <c r="E690"/>
      <c r="F690"/>
      <c r="G690"/>
      <c r="H690"/>
      <c r="I690"/>
      <c r="J690"/>
      <c r="K690"/>
      <c r="L690"/>
      <c r="M690"/>
      <c r="N690"/>
      <c r="O690"/>
      <c r="P690" s="36"/>
      <c r="Q690" s="37"/>
      <c r="R690"/>
      <c r="S690"/>
      <c r="T690"/>
      <c r="U690"/>
      <c r="V690" s="39"/>
      <c r="W690"/>
      <c r="X690"/>
      <c r="Y690"/>
      <c r="Z690"/>
      <c r="AA690"/>
    </row>
    <row r="691" spans="1:27" x14ac:dyDescent="0.25">
      <c r="A691"/>
      <c r="B691" s="36"/>
      <c r="C691" s="36"/>
      <c r="D691"/>
      <c r="E691"/>
      <c r="F691"/>
      <c r="G691"/>
      <c r="H691"/>
      <c r="I691"/>
      <c r="J691"/>
      <c r="K691"/>
      <c r="L691"/>
      <c r="M691"/>
      <c r="N691"/>
      <c r="O691"/>
      <c r="P691" s="36"/>
      <c r="Q691" s="37"/>
      <c r="R691"/>
      <c r="S691"/>
      <c r="T691"/>
      <c r="U691"/>
      <c r="V691" s="39"/>
      <c r="W691"/>
      <c r="X691"/>
      <c r="Y691"/>
      <c r="Z691"/>
      <c r="AA691"/>
    </row>
    <row r="692" spans="1:27" x14ac:dyDescent="0.25">
      <c r="A692"/>
      <c r="B692" s="36"/>
      <c r="C692" s="36"/>
      <c r="D692"/>
      <c r="E692"/>
      <c r="F692"/>
      <c r="G692"/>
      <c r="H692"/>
      <c r="I692"/>
      <c r="J692"/>
      <c r="K692"/>
      <c r="L692"/>
      <c r="M692"/>
      <c r="N692"/>
      <c r="O692"/>
      <c r="P692" s="36"/>
      <c r="Q692" s="37"/>
      <c r="R692"/>
      <c r="S692"/>
      <c r="T692"/>
      <c r="U692"/>
      <c r="V692" s="39"/>
      <c r="W692"/>
      <c r="X692"/>
      <c r="Y692"/>
      <c r="Z692"/>
      <c r="AA692"/>
    </row>
    <row r="693" spans="1:27" x14ac:dyDescent="0.25">
      <c r="A693"/>
      <c r="B693" s="36"/>
      <c r="C693" s="36"/>
      <c r="D693"/>
      <c r="E693"/>
      <c r="F693"/>
      <c r="G693"/>
      <c r="H693"/>
      <c r="I693"/>
      <c r="J693"/>
      <c r="K693"/>
      <c r="L693"/>
      <c r="M693"/>
      <c r="N693"/>
      <c r="O693"/>
      <c r="P693" s="36"/>
      <c r="Q693" s="37"/>
      <c r="R693"/>
      <c r="S693"/>
      <c r="T693"/>
      <c r="U693"/>
      <c r="V693" s="39"/>
      <c r="W693"/>
      <c r="X693"/>
      <c r="Y693"/>
      <c r="Z693"/>
      <c r="AA693"/>
    </row>
    <row r="694" spans="1:27" x14ac:dyDescent="0.25">
      <c r="A694"/>
      <c r="B694" s="36"/>
      <c r="C694" s="36"/>
      <c r="D694"/>
      <c r="E694"/>
      <c r="F694"/>
      <c r="G694"/>
      <c r="H694"/>
      <c r="I694"/>
      <c r="J694"/>
      <c r="K694"/>
      <c r="L694"/>
      <c r="M694"/>
      <c r="N694"/>
      <c r="O694"/>
      <c r="P694" s="36"/>
      <c r="Q694" s="37"/>
      <c r="R694"/>
      <c r="S694"/>
      <c r="T694"/>
      <c r="U694"/>
      <c r="V694" s="39"/>
      <c r="W694"/>
      <c r="X694"/>
      <c r="Y694"/>
      <c r="Z694"/>
      <c r="AA694"/>
    </row>
    <row r="695" spans="1:27" x14ac:dyDescent="0.25">
      <c r="A695"/>
      <c r="B695" s="36"/>
      <c r="C695" s="36"/>
      <c r="D695"/>
      <c r="E695"/>
      <c r="F695"/>
      <c r="G695"/>
      <c r="H695"/>
      <c r="I695"/>
      <c r="J695"/>
      <c r="K695"/>
      <c r="L695"/>
      <c r="M695"/>
      <c r="N695"/>
      <c r="O695"/>
      <c r="P695" s="36"/>
      <c r="Q695" s="37"/>
      <c r="R695" s="44"/>
      <c r="S695"/>
      <c r="T695"/>
      <c r="U695"/>
      <c r="V695" s="39"/>
      <c r="W695"/>
      <c r="X695"/>
      <c r="Y695"/>
      <c r="Z695"/>
      <c r="AA695"/>
    </row>
    <row r="696" spans="1:27" x14ac:dyDescent="0.25">
      <c r="A696"/>
      <c r="B696" s="36"/>
      <c r="C696" s="36"/>
      <c r="D696"/>
      <c r="E696"/>
      <c r="F696"/>
      <c r="G696"/>
      <c r="H696"/>
      <c r="I696"/>
      <c r="J696"/>
      <c r="K696"/>
      <c r="L696"/>
      <c r="M696"/>
      <c r="N696"/>
      <c r="O696"/>
      <c r="P696" s="36"/>
      <c r="Q696" s="37"/>
      <c r="R696"/>
      <c r="S696"/>
      <c r="T696"/>
      <c r="U696"/>
      <c r="V696" s="39"/>
      <c r="W696"/>
      <c r="X696"/>
      <c r="Y696"/>
      <c r="Z696"/>
      <c r="AA696"/>
    </row>
    <row r="697" spans="1:27" x14ac:dyDescent="0.25">
      <c r="A697"/>
      <c r="B697" s="36"/>
      <c r="C697" s="36"/>
      <c r="D697"/>
      <c r="E697"/>
      <c r="F697"/>
      <c r="G697"/>
      <c r="H697"/>
      <c r="I697"/>
      <c r="J697"/>
      <c r="K697"/>
      <c r="L697"/>
      <c r="M697"/>
      <c r="N697"/>
      <c r="O697"/>
      <c r="P697" s="36"/>
      <c r="Q697" s="37"/>
      <c r="R697"/>
      <c r="S697"/>
      <c r="T697"/>
      <c r="U697"/>
      <c r="V697" s="39"/>
      <c r="W697"/>
      <c r="X697"/>
      <c r="Y697"/>
      <c r="Z697"/>
      <c r="AA697"/>
    </row>
    <row r="698" spans="1:27" x14ac:dyDescent="0.25">
      <c r="A698"/>
      <c r="B698" s="36"/>
      <c r="C698" s="36"/>
      <c r="D698"/>
      <c r="E698"/>
      <c r="F698"/>
      <c r="G698"/>
      <c r="H698"/>
      <c r="I698"/>
      <c r="J698"/>
      <c r="K698"/>
      <c r="L698"/>
      <c r="M698"/>
      <c r="N698"/>
      <c r="O698"/>
      <c r="P698" s="36"/>
      <c r="Q698" s="37"/>
      <c r="R698"/>
      <c r="S698"/>
      <c r="T698"/>
      <c r="U698"/>
      <c r="V698" s="39"/>
      <c r="W698"/>
      <c r="X698"/>
      <c r="Y698"/>
      <c r="Z698"/>
      <c r="AA698"/>
    </row>
    <row r="699" spans="1:27" x14ac:dyDescent="0.25">
      <c r="A699"/>
      <c r="B699" s="36"/>
      <c r="C699" s="36"/>
      <c r="D699"/>
      <c r="E699"/>
      <c r="F699"/>
      <c r="G699"/>
      <c r="H699"/>
      <c r="I699"/>
      <c r="J699"/>
      <c r="K699"/>
      <c r="L699"/>
      <c r="M699"/>
      <c r="N699"/>
      <c r="O699"/>
      <c r="P699" s="36"/>
      <c r="Q699" s="37"/>
      <c r="R699"/>
      <c r="S699"/>
      <c r="T699"/>
      <c r="U699"/>
      <c r="V699" s="39"/>
      <c r="W699"/>
      <c r="X699"/>
      <c r="Y699"/>
      <c r="Z699"/>
      <c r="AA699"/>
    </row>
    <row r="700" spans="1:27" x14ac:dyDescent="0.25">
      <c r="A700"/>
      <c r="B700" s="36"/>
      <c r="C700" s="36"/>
      <c r="D700"/>
      <c r="E700"/>
      <c r="F700"/>
      <c r="G700"/>
      <c r="H700"/>
      <c r="I700"/>
      <c r="J700"/>
      <c r="K700"/>
      <c r="L700"/>
      <c r="M700"/>
      <c r="N700"/>
      <c r="O700"/>
      <c r="P700" s="36"/>
      <c r="Q700" s="37"/>
      <c r="R700"/>
      <c r="S700"/>
      <c r="T700"/>
      <c r="U700"/>
      <c r="V700" s="39"/>
      <c r="W700"/>
      <c r="X700"/>
      <c r="Y700"/>
      <c r="Z700"/>
      <c r="AA700"/>
    </row>
    <row r="701" spans="1:27" x14ac:dyDescent="0.25">
      <c r="A701"/>
      <c r="B701" s="36"/>
      <c r="C701" s="36"/>
      <c r="D701"/>
      <c r="E701"/>
      <c r="F701"/>
      <c r="G701"/>
      <c r="H701"/>
      <c r="I701"/>
      <c r="J701"/>
      <c r="K701"/>
      <c r="L701"/>
      <c r="M701"/>
      <c r="N701"/>
      <c r="O701"/>
      <c r="P701" s="36"/>
      <c r="Q701" s="37"/>
      <c r="R701"/>
      <c r="S701"/>
      <c r="T701"/>
      <c r="U701"/>
      <c r="V701" s="39"/>
      <c r="W701"/>
      <c r="X701"/>
      <c r="Y701"/>
      <c r="Z701"/>
      <c r="AA701"/>
    </row>
    <row r="702" spans="1:27" x14ac:dyDescent="0.25">
      <c r="A702"/>
      <c r="B702" s="36"/>
      <c r="C702" s="36"/>
      <c r="D702"/>
      <c r="E702"/>
      <c r="F702"/>
      <c r="G702"/>
      <c r="H702"/>
      <c r="I702"/>
      <c r="J702"/>
      <c r="K702"/>
      <c r="L702"/>
      <c r="M702"/>
      <c r="N702"/>
      <c r="O702"/>
      <c r="P702" s="36"/>
      <c r="Q702" s="37"/>
      <c r="R702"/>
      <c r="S702"/>
      <c r="T702"/>
      <c r="U702"/>
      <c r="V702" s="39"/>
      <c r="W702"/>
      <c r="X702"/>
      <c r="Y702"/>
      <c r="Z702"/>
      <c r="AA702"/>
    </row>
    <row r="703" spans="1:27" x14ac:dyDescent="0.25">
      <c r="A703"/>
      <c r="B703" s="36"/>
      <c r="C703" s="36"/>
      <c r="D703"/>
      <c r="E703"/>
      <c r="F703"/>
      <c r="G703"/>
      <c r="H703"/>
      <c r="I703"/>
      <c r="J703"/>
      <c r="K703"/>
      <c r="L703"/>
      <c r="M703"/>
      <c r="N703"/>
      <c r="O703"/>
      <c r="P703" s="36"/>
      <c r="Q703" s="37"/>
      <c r="R703"/>
      <c r="S703"/>
      <c r="T703"/>
      <c r="U703"/>
      <c r="V703" s="39"/>
      <c r="W703"/>
      <c r="X703"/>
      <c r="Y703"/>
      <c r="Z703"/>
      <c r="AA703"/>
    </row>
    <row r="704" spans="1:27" x14ac:dyDescent="0.25">
      <c r="A704"/>
      <c r="B704" s="36"/>
      <c r="C704" s="36"/>
      <c r="D704"/>
      <c r="E704"/>
      <c r="F704"/>
      <c r="G704"/>
      <c r="H704"/>
      <c r="I704"/>
      <c r="J704"/>
      <c r="K704"/>
      <c r="L704"/>
      <c r="M704"/>
      <c r="N704"/>
      <c r="O704"/>
      <c r="P704" s="36"/>
      <c r="Q704" s="37"/>
      <c r="R704" s="44"/>
      <c r="S704"/>
      <c r="T704"/>
      <c r="U704"/>
      <c r="V704" s="39"/>
      <c r="W704"/>
      <c r="X704"/>
      <c r="Y704"/>
      <c r="Z704"/>
      <c r="AA704"/>
    </row>
    <row r="705" spans="1:27" x14ac:dyDescent="0.25">
      <c r="A705"/>
      <c r="B705" s="36"/>
      <c r="C705" s="36"/>
      <c r="D705"/>
      <c r="E705"/>
      <c r="F705"/>
      <c r="G705"/>
      <c r="H705"/>
      <c r="I705"/>
      <c r="J705"/>
      <c r="K705"/>
      <c r="L705"/>
      <c r="M705"/>
      <c r="N705"/>
      <c r="O705"/>
      <c r="P705" s="36"/>
      <c r="Q705" s="37"/>
      <c r="R705"/>
      <c r="S705"/>
      <c r="T705"/>
      <c r="U705"/>
      <c r="V705" s="39"/>
      <c r="W705"/>
      <c r="X705"/>
      <c r="Y705"/>
      <c r="Z705"/>
      <c r="AA705"/>
    </row>
    <row r="706" spans="1:27" x14ac:dyDescent="0.25">
      <c r="A706"/>
      <c r="B706" s="36"/>
      <c r="C706" s="36"/>
      <c r="D706"/>
      <c r="E706"/>
      <c r="F706"/>
      <c r="G706"/>
      <c r="H706"/>
      <c r="I706"/>
      <c r="J706"/>
      <c r="K706"/>
      <c r="L706"/>
      <c r="M706"/>
      <c r="N706"/>
      <c r="O706"/>
      <c r="P706" s="36"/>
      <c r="Q706" s="37"/>
      <c r="R706"/>
      <c r="S706"/>
      <c r="T706"/>
      <c r="U706"/>
      <c r="V706" s="39"/>
      <c r="W706"/>
      <c r="X706"/>
      <c r="Y706"/>
      <c r="Z706"/>
      <c r="AA706"/>
    </row>
    <row r="707" spans="1:27" x14ac:dyDescent="0.25">
      <c r="A707"/>
      <c r="B707" s="36"/>
      <c r="C707" s="36"/>
      <c r="D707"/>
      <c r="E707"/>
      <c r="F707"/>
      <c r="G707"/>
      <c r="H707"/>
      <c r="I707"/>
      <c r="J707"/>
      <c r="K707"/>
      <c r="L707"/>
      <c r="M707"/>
      <c r="N707"/>
      <c r="O707"/>
      <c r="P707" s="36"/>
      <c r="Q707" s="37"/>
      <c r="R707"/>
      <c r="S707"/>
      <c r="T707"/>
      <c r="U707"/>
      <c r="V707" s="39"/>
      <c r="W707"/>
      <c r="X707"/>
      <c r="Y707"/>
      <c r="Z707"/>
      <c r="AA707"/>
    </row>
    <row r="708" spans="1:27" x14ac:dyDescent="0.25">
      <c r="A708"/>
      <c r="B708" s="36"/>
      <c r="C708" s="36"/>
      <c r="D708"/>
      <c r="E708"/>
      <c r="F708"/>
      <c r="G708"/>
      <c r="H708"/>
      <c r="I708"/>
      <c r="J708"/>
      <c r="K708"/>
      <c r="L708"/>
      <c r="M708"/>
      <c r="N708"/>
      <c r="O708"/>
      <c r="P708" s="36"/>
      <c r="Q708" s="37"/>
      <c r="R708"/>
      <c r="S708"/>
      <c r="T708"/>
      <c r="U708"/>
      <c r="V708" s="39"/>
      <c r="W708"/>
      <c r="X708"/>
      <c r="Y708"/>
      <c r="Z708"/>
      <c r="AA708"/>
    </row>
    <row r="709" spans="1:27" x14ac:dyDescent="0.25">
      <c r="A709"/>
      <c r="B709" s="36"/>
      <c r="C709" s="36"/>
      <c r="D709"/>
      <c r="E709"/>
      <c r="F709"/>
      <c r="G709"/>
      <c r="H709"/>
      <c r="I709"/>
      <c r="J709"/>
      <c r="K709"/>
      <c r="L709"/>
      <c r="M709"/>
      <c r="N709"/>
      <c r="O709"/>
      <c r="P709" s="36"/>
      <c r="Q709" s="37"/>
      <c r="R709"/>
      <c r="S709"/>
      <c r="T709"/>
      <c r="U709"/>
      <c r="V709" s="39"/>
      <c r="W709"/>
      <c r="X709"/>
      <c r="Y709"/>
      <c r="Z709"/>
      <c r="AA709"/>
    </row>
    <row r="710" spans="1:27" x14ac:dyDescent="0.25">
      <c r="A710"/>
      <c r="B710" s="36"/>
      <c r="C710" s="36"/>
      <c r="D710"/>
      <c r="E710"/>
      <c r="F710"/>
      <c r="G710"/>
      <c r="H710"/>
      <c r="I710"/>
      <c r="J710"/>
      <c r="K710"/>
      <c r="L710"/>
      <c r="M710"/>
      <c r="N710"/>
      <c r="O710"/>
      <c r="P710" s="36"/>
      <c r="Q710" s="37"/>
      <c r="R710"/>
      <c r="S710"/>
      <c r="T710"/>
      <c r="U710"/>
      <c r="V710" s="39"/>
      <c r="W710"/>
      <c r="X710"/>
      <c r="Y710"/>
      <c r="Z710"/>
      <c r="AA710"/>
    </row>
    <row r="711" spans="1:27" x14ac:dyDescent="0.25">
      <c r="A711"/>
      <c r="B711" s="36"/>
      <c r="C711" s="36"/>
      <c r="D711"/>
      <c r="E711"/>
      <c r="F711"/>
      <c r="G711"/>
      <c r="H711"/>
      <c r="I711"/>
      <c r="J711"/>
      <c r="K711"/>
      <c r="L711"/>
      <c r="M711"/>
      <c r="N711"/>
      <c r="O711"/>
      <c r="P711" s="36"/>
      <c r="Q711" s="37"/>
      <c r="R711"/>
      <c r="S711"/>
      <c r="T711"/>
      <c r="U711"/>
      <c r="V711" s="39"/>
      <c r="W711"/>
      <c r="X711"/>
      <c r="Y711"/>
      <c r="Z711"/>
      <c r="AA711"/>
    </row>
    <row r="712" spans="1:27" x14ac:dyDescent="0.25">
      <c r="A712"/>
      <c r="B712" s="36"/>
      <c r="C712" s="36"/>
      <c r="D712"/>
      <c r="E712"/>
      <c r="F712"/>
      <c r="G712"/>
      <c r="H712"/>
      <c r="I712"/>
      <c r="J712"/>
      <c r="K712"/>
      <c r="L712"/>
      <c r="M712"/>
      <c r="N712"/>
      <c r="O712"/>
      <c r="P712" s="36"/>
      <c r="Q712" s="37"/>
      <c r="R712"/>
      <c r="S712"/>
      <c r="T712"/>
      <c r="U712"/>
      <c r="V712" s="39"/>
      <c r="W712"/>
      <c r="X712"/>
      <c r="Y712"/>
      <c r="Z712"/>
      <c r="AA712"/>
    </row>
    <row r="713" spans="1:27" x14ac:dyDescent="0.25">
      <c r="A713"/>
      <c r="B713" s="36"/>
      <c r="C713" s="36"/>
      <c r="D713"/>
      <c r="E713"/>
      <c r="F713"/>
      <c r="G713"/>
      <c r="H713"/>
      <c r="I713"/>
      <c r="J713"/>
      <c r="K713"/>
      <c r="L713"/>
      <c r="M713"/>
      <c r="N713"/>
      <c r="O713"/>
      <c r="P713" s="36"/>
      <c r="Q713" s="37"/>
      <c r="R713"/>
      <c r="S713"/>
      <c r="T713"/>
      <c r="U713"/>
      <c r="V713" s="39"/>
      <c r="W713"/>
      <c r="X713"/>
      <c r="Y713"/>
      <c r="Z713"/>
      <c r="AA713"/>
    </row>
    <row r="714" spans="1:27" x14ac:dyDescent="0.25">
      <c r="A714"/>
      <c r="B714" s="36"/>
      <c r="C714" s="36"/>
      <c r="D714"/>
      <c r="E714"/>
      <c r="F714"/>
      <c r="G714"/>
      <c r="H714"/>
      <c r="I714"/>
      <c r="J714"/>
      <c r="K714"/>
      <c r="L714"/>
      <c r="M714"/>
      <c r="N714"/>
      <c r="O714"/>
      <c r="P714" s="36"/>
      <c r="Q714" s="37"/>
      <c r="R714"/>
      <c r="S714"/>
      <c r="T714"/>
      <c r="U714"/>
      <c r="V714" s="39"/>
      <c r="W714"/>
      <c r="X714"/>
      <c r="Y714"/>
      <c r="Z714"/>
      <c r="AA714"/>
    </row>
    <row r="715" spans="1:27" x14ac:dyDescent="0.25">
      <c r="A715"/>
      <c r="B715" s="36"/>
      <c r="C715" s="36"/>
      <c r="D715"/>
      <c r="E715"/>
      <c r="F715"/>
      <c r="G715"/>
      <c r="H715"/>
      <c r="I715"/>
      <c r="J715"/>
      <c r="K715"/>
      <c r="L715"/>
      <c r="M715"/>
      <c r="N715"/>
      <c r="O715"/>
      <c r="P715" s="36"/>
      <c r="Q715" s="37"/>
      <c r="R715"/>
      <c r="S715"/>
      <c r="T715"/>
      <c r="U715"/>
      <c r="V715" s="39"/>
      <c r="W715"/>
      <c r="X715"/>
      <c r="Y715"/>
      <c r="Z715"/>
      <c r="AA715"/>
    </row>
    <row r="716" spans="1:27" x14ac:dyDescent="0.25">
      <c r="A716"/>
      <c r="B716" s="36"/>
      <c r="C716" s="36"/>
      <c r="D716"/>
      <c r="E716"/>
      <c r="F716"/>
      <c r="G716"/>
      <c r="H716"/>
      <c r="I716"/>
      <c r="J716"/>
      <c r="K716"/>
      <c r="L716"/>
      <c r="M716"/>
      <c r="N716"/>
      <c r="O716"/>
      <c r="P716" s="36"/>
      <c r="Q716" s="37"/>
      <c r="R716"/>
      <c r="S716"/>
      <c r="T716"/>
      <c r="U716"/>
      <c r="V716" s="39"/>
      <c r="W716"/>
      <c r="X716"/>
      <c r="Y716"/>
      <c r="Z716"/>
      <c r="AA716"/>
    </row>
    <row r="717" spans="1:27" x14ac:dyDescent="0.25">
      <c r="A717"/>
      <c r="B717" s="36"/>
      <c r="C717" s="36"/>
      <c r="D717"/>
      <c r="E717"/>
      <c r="F717"/>
      <c r="G717"/>
      <c r="H717"/>
      <c r="I717"/>
      <c r="J717"/>
      <c r="K717"/>
      <c r="L717"/>
      <c r="M717"/>
      <c r="N717"/>
      <c r="O717"/>
      <c r="P717" s="36"/>
      <c r="Q717" s="37"/>
      <c r="R717"/>
      <c r="S717"/>
      <c r="T717"/>
      <c r="U717"/>
      <c r="V717" s="39"/>
      <c r="W717"/>
      <c r="X717"/>
      <c r="Y717"/>
      <c r="Z717"/>
      <c r="AA717"/>
    </row>
    <row r="718" spans="1:27" x14ac:dyDescent="0.25">
      <c r="A718"/>
      <c r="B718" s="36"/>
      <c r="C718" s="36"/>
      <c r="D718"/>
      <c r="E718"/>
      <c r="F718"/>
      <c r="G718"/>
      <c r="H718"/>
      <c r="I718"/>
      <c r="J718"/>
      <c r="K718"/>
      <c r="L718"/>
      <c r="M718"/>
      <c r="N718"/>
      <c r="O718"/>
      <c r="P718" s="36"/>
      <c r="Q718" s="37"/>
      <c r="R718"/>
      <c r="S718"/>
      <c r="T718"/>
      <c r="U718"/>
      <c r="V718" s="39"/>
      <c r="W718"/>
      <c r="X718"/>
      <c r="Y718"/>
      <c r="Z718"/>
      <c r="AA718"/>
    </row>
    <row r="719" spans="1:27" x14ac:dyDescent="0.25">
      <c r="A719"/>
      <c r="B719" s="36"/>
      <c r="C719" s="36"/>
      <c r="D719"/>
      <c r="E719"/>
      <c r="F719"/>
      <c r="G719"/>
      <c r="H719"/>
      <c r="I719"/>
      <c r="J719"/>
      <c r="K719"/>
      <c r="L719"/>
      <c r="M719"/>
      <c r="N719"/>
      <c r="O719"/>
      <c r="P719" s="36"/>
      <c r="Q719" s="37"/>
      <c r="R719"/>
      <c r="S719"/>
      <c r="T719"/>
      <c r="U719"/>
      <c r="V719" s="39"/>
      <c r="W719"/>
      <c r="X719"/>
      <c r="Y719"/>
      <c r="Z719"/>
      <c r="AA719"/>
    </row>
    <row r="720" spans="1:27" x14ac:dyDescent="0.25">
      <c r="A720"/>
      <c r="B720" s="36"/>
      <c r="C720" s="36"/>
      <c r="D720"/>
      <c r="E720"/>
      <c r="F720"/>
      <c r="G720"/>
      <c r="H720"/>
      <c r="I720"/>
      <c r="J720"/>
      <c r="K720"/>
      <c r="L720"/>
      <c r="M720"/>
      <c r="N720"/>
      <c r="O720"/>
      <c r="P720" s="36"/>
      <c r="Q720" s="37"/>
      <c r="R720"/>
      <c r="S720"/>
      <c r="T720"/>
      <c r="U720"/>
      <c r="V720" s="39"/>
      <c r="W720"/>
      <c r="X720"/>
      <c r="Y720"/>
      <c r="Z720"/>
      <c r="AA720"/>
    </row>
    <row r="721" spans="1:27" x14ac:dyDescent="0.25">
      <c r="A721"/>
      <c r="B721" s="36"/>
      <c r="C721" s="36"/>
      <c r="D721"/>
      <c r="E721"/>
      <c r="F721"/>
      <c r="G721"/>
      <c r="H721"/>
      <c r="I721"/>
      <c r="J721"/>
      <c r="K721"/>
      <c r="L721"/>
      <c r="M721"/>
      <c r="N721"/>
      <c r="O721"/>
      <c r="P721" s="36"/>
      <c r="Q721" s="37"/>
      <c r="R721"/>
      <c r="S721"/>
      <c r="T721"/>
      <c r="U721"/>
      <c r="V721" s="39"/>
      <c r="W721"/>
      <c r="X721"/>
      <c r="Y721"/>
      <c r="Z721"/>
      <c r="AA721"/>
    </row>
    <row r="722" spans="1:27" x14ac:dyDescent="0.25">
      <c r="A722"/>
      <c r="B722" s="36"/>
      <c r="C722" s="36"/>
      <c r="D722"/>
      <c r="E722"/>
      <c r="F722"/>
      <c r="G722"/>
      <c r="H722"/>
      <c r="I722"/>
      <c r="J722"/>
      <c r="K722"/>
      <c r="L722"/>
      <c r="M722"/>
      <c r="N722"/>
      <c r="O722"/>
      <c r="P722" s="36"/>
      <c r="Q722" s="37"/>
      <c r="R722"/>
      <c r="S722"/>
      <c r="T722"/>
      <c r="U722"/>
      <c r="V722" s="39"/>
      <c r="W722"/>
      <c r="X722"/>
      <c r="Y722"/>
      <c r="Z722"/>
      <c r="AA722"/>
    </row>
    <row r="723" spans="1:27" x14ac:dyDescent="0.25">
      <c r="A723"/>
      <c r="B723" s="36"/>
      <c r="C723" s="36"/>
      <c r="D723"/>
      <c r="E723"/>
      <c r="F723"/>
      <c r="G723"/>
      <c r="H723"/>
      <c r="I723"/>
      <c r="J723"/>
      <c r="K723"/>
      <c r="L723"/>
      <c r="M723"/>
      <c r="N723"/>
      <c r="O723"/>
      <c r="P723" s="36"/>
      <c r="Q723" s="37"/>
      <c r="R723"/>
      <c r="S723"/>
      <c r="T723"/>
      <c r="U723"/>
      <c r="V723" s="39"/>
      <c r="W723"/>
      <c r="X723"/>
      <c r="Y723"/>
      <c r="Z723"/>
      <c r="AA723"/>
    </row>
    <row r="724" spans="1:27" x14ac:dyDescent="0.25">
      <c r="A724"/>
      <c r="B724" s="36"/>
      <c r="C724" s="36"/>
      <c r="D724"/>
      <c r="E724"/>
      <c r="F724"/>
      <c r="G724"/>
      <c r="H724"/>
      <c r="I724"/>
      <c r="J724"/>
      <c r="K724"/>
      <c r="L724"/>
      <c r="M724"/>
      <c r="N724"/>
      <c r="O724"/>
      <c r="P724" s="36"/>
      <c r="Q724" s="37"/>
      <c r="R724"/>
      <c r="S724"/>
      <c r="T724"/>
      <c r="U724"/>
      <c r="V724" s="39"/>
      <c r="W724"/>
      <c r="X724"/>
      <c r="Y724"/>
      <c r="Z724"/>
      <c r="AA724"/>
    </row>
    <row r="725" spans="1:27" x14ac:dyDescent="0.25">
      <c r="A725"/>
      <c r="B725" s="36"/>
      <c r="C725" s="36"/>
      <c r="D725"/>
      <c r="E725"/>
      <c r="F725"/>
      <c r="G725"/>
      <c r="H725"/>
      <c r="I725"/>
      <c r="J725"/>
      <c r="K725"/>
      <c r="L725"/>
      <c r="M725"/>
      <c r="N725"/>
      <c r="O725"/>
      <c r="P725" s="36"/>
      <c r="Q725" s="37"/>
      <c r="R725"/>
      <c r="S725"/>
      <c r="T725"/>
      <c r="U725"/>
      <c r="V725" s="39"/>
      <c r="W725"/>
      <c r="X725"/>
      <c r="Y725"/>
      <c r="Z725"/>
      <c r="AA725"/>
    </row>
    <row r="726" spans="1:27" x14ac:dyDescent="0.25">
      <c r="A726"/>
      <c r="B726" s="36"/>
      <c r="C726" s="36"/>
      <c r="D726"/>
      <c r="E726"/>
      <c r="F726"/>
      <c r="G726"/>
      <c r="H726"/>
      <c r="I726"/>
      <c r="J726"/>
      <c r="K726"/>
      <c r="L726"/>
      <c r="M726"/>
      <c r="N726"/>
      <c r="O726"/>
      <c r="P726" s="36"/>
      <c r="Q726" s="37"/>
      <c r="R726"/>
      <c r="S726"/>
      <c r="T726"/>
      <c r="U726"/>
      <c r="V726" s="39"/>
      <c r="W726"/>
      <c r="X726"/>
      <c r="Y726"/>
      <c r="Z726"/>
      <c r="AA726"/>
    </row>
    <row r="727" spans="1:27" x14ac:dyDescent="0.25">
      <c r="A727"/>
      <c r="B727" s="36"/>
      <c r="C727" s="36"/>
      <c r="D727"/>
      <c r="E727"/>
      <c r="F727"/>
      <c r="G727"/>
      <c r="H727"/>
      <c r="I727"/>
      <c r="J727"/>
      <c r="K727"/>
      <c r="L727"/>
      <c r="M727"/>
      <c r="N727"/>
      <c r="O727"/>
      <c r="P727" s="36"/>
      <c r="Q727" s="37"/>
      <c r="R727"/>
      <c r="S727"/>
      <c r="T727"/>
      <c r="U727"/>
      <c r="V727" s="39"/>
      <c r="W727"/>
      <c r="X727"/>
      <c r="Y727"/>
      <c r="Z727"/>
      <c r="AA727"/>
    </row>
    <row r="728" spans="1:27" x14ac:dyDescent="0.25">
      <c r="A728"/>
      <c r="B728" s="36"/>
      <c r="C728" s="36"/>
      <c r="D728"/>
      <c r="E728"/>
      <c r="F728"/>
      <c r="G728"/>
      <c r="H728"/>
      <c r="I728"/>
      <c r="J728"/>
      <c r="K728"/>
      <c r="L728"/>
      <c r="M728"/>
      <c r="N728"/>
      <c r="O728"/>
      <c r="P728" s="36"/>
      <c r="Q728" s="37"/>
      <c r="R728"/>
      <c r="S728"/>
      <c r="T728"/>
      <c r="U728"/>
      <c r="V728" s="39"/>
      <c r="W728"/>
      <c r="X728"/>
      <c r="Y728"/>
      <c r="Z728"/>
      <c r="AA728"/>
    </row>
    <row r="729" spans="1:27" x14ac:dyDescent="0.25">
      <c r="A729"/>
      <c r="B729" s="36"/>
      <c r="C729" s="36"/>
      <c r="D729"/>
      <c r="E729"/>
      <c r="F729"/>
      <c r="G729"/>
      <c r="H729"/>
      <c r="I729"/>
      <c r="J729"/>
      <c r="K729"/>
      <c r="L729"/>
      <c r="M729"/>
      <c r="N729"/>
      <c r="O729"/>
      <c r="P729" s="36"/>
      <c r="Q729" s="37"/>
      <c r="R729"/>
      <c r="S729"/>
      <c r="T729"/>
      <c r="U729"/>
      <c r="V729" s="39"/>
      <c r="W729"/>
      <c r="X729"/>
      <c r="Y729"/>
      <c r="Z729"/>
      <c r="AA729"/>
    </row>
    <row r="730" spans="1:27" x14ac:dyDescent="0.25">
      <c r="A730"/>
      <c r="B730" s="36"/>
      <c r="C730" s="36"/>
      <c r="D730"/>
      <c r="E730"/>
      <c r="F730"/>
      <c r="G730"/>
      <c r="H730"/>
      <c r="I730"/>
      <c r="J730"/>
      <c r="K730"/>
      <c r="L730"/>
      <c r="M730"/>
      <c r="N730"/>
      <c r="O730"/>
      <c r="P730" s="36"/>
      <c r="Q730" s="37"/>
      <c r="R730"/>
      <c r="S730"/>
      <c r="T730"/>
      <c r="U730"/>
      <c r="V730" s="39"/>
      <c r="W730"/>
      <c r="X730"/>
      <c r="Y730"/>
      <c r="Z730"/>
      <c r="AA730"/>
    </row>
    <row r="731" spans="1:27" x14ac:dyDescent="0.25">
      <c r="A731"/>
      <c r="B731" s="36"/>
      <c r="C731" s="36"/>
      <c r="D731"/>
      <c r="E731"/>
      <c r="F731"/>
      <c r="G731"/>
      <c r="H731"/>
      <c r="I731"/>
      <c r="J731"/>
      <c r="K731"/>
      <c r="L731"/>
      <c r="M731"/>
      <c r="N731"/>
      <c r="O731"/>
      <c r="P731" s="36"/>
      <c r="Q731" s="37"/>
      <c r="R731"/>
      <c r="S731"/>
      <c r="T731"/>
      <c r="U731"/>
      <c r="V731" s="39"/>
      <c r="W731"/>
      <c r="X731"/>
      <c r="Y731"/>
      <c r="Z731"/>
      <c r="AA731"/>
    </row>
    <row r="732" spans="1:27" x14ac:dyDescent="0.25">
      <c r="A732"/>
      <c r="B732" s="36"/>
      <c r="C732" s="36"/>
      <c r="D732"/>
      <c r="E732"/>
      <c r="F732"/>
      <c r="G732"/>
      <c r="H732"/>
      <c r="I732"/>
      <c r="J732"/>
      <c r="K732"/>
      <c r="L732"/>
      <c r="M732"/>
      <c r="N732"/>
      <c r="O732"/>
      <c r="P732" s="36"/>
      <c r="Q732" s="37"/>
      <c r="R732"/>
      <c r="S732"/>
      <c r="T732"/>
      <c r="U732"/>
      <c r="V732" s="39"/>
      <c r="W732"/>
      <c r="X732"/>
      <c r="Y732"/>
      <c r="Z732"/>
      <c r="AA732"/>
    </row>
    <row r="733" spans="1:27" x14ac:dyDescent="0.25">
      <c r="A733"/>
      <c r="B733" s="36"/>
      <c r="C733" s="36"/>
      <c r="D733"/>
      <c r="E733"/>
      <c r="F733"/>
      <c r="G733"/>
      <c r="H733"/>
      <c r="I733"/>
      <c r="J733"/>
      <c r="K733"/>
      <c r="L733"/>
      <c r="M733"/>
      <c r="N733"/>
      <c r="O733"/>
      <c r="P733" s="36"/>
      <c r="Q733" s="37"/>
      <c r="R733"/>
      <c r="S733"/>
      <c r="T733"/>
      <c r="U733"/>
      <c r="V733" s="39"/>
      <c r="W733"/>
      <c r="X733"/>
      <c r="Y733"/>
      <c r="Z733"/>
      <c r="AA733"/>
    </row>
    <row r="734" spans="1:27" x14ac:dyDescent="0.25">
      <c r="A734"/>
      <c r="B734" s="36"/>
      <c r="C734" s="36"/>
      <c r="D734"/>
      <c r="E734"/>
      <c r="F734"/>
      <c r="G734"/>
      <c r="H734"/>
      <c r="I734"/>
      <c r="J734"/>
      <c r="K734"/>
      <c r="L734"/>
      <c r="M734"/>
      <c r="N734"/>
      <c r="O734"/>
      <c r="P734" s="36"/>
      <c r="Q734" s="37"/>
      <c r="R734"/>
      <c r="S734"/>
      <c r="T734"/>
      <c r="U734"/>
      <c r="V734" s="39"/>
      <c r="W734"/>
      <c r="X734"/>
      <c r="Y734"/>
      <c r="Z734"/>
      <c r="AA734"/>
    </row>
    <row r="735" spans="1:27" x14ac:dyDescent="0.25">
      <c r="A735"/>
      <c r="B735" s="36"/>
      <c r="C735" s="36"/>
      <c r="D735"/>
      <c r="E735"/>
      <c r="F735"/>
      <c r="G735"/>
      <c r="H735"/>
      <c r="I735"/>
      <c r="J735"/>
      <c r="K735"/>
      <c r="L735"/>
      <c r="M735"/>
      <c r="N735"/>
      <c r="O735"/>
      <c r="P735" s="36"/>
      <c r="Q735" s="37"/>
      <c r="R735"/>
      <c r="S735"/>
      <c r="T735"/>
      <c r="U735"/>
      <c r="V735" s="39"/>
      <c r="W735"/>
      <c r="X735"/>
      <c r="Y735"/>
      <c r="Z735"/>
      <c r="AA735"/>
    </row>
    <row r="736" spans="1:27" x14ac:dyDescent="0.25">
      <c r="A736"/>
      <c r="B736" s="36"/>
      <c r="C736" s="36"/>
      <c r="D736"/>
      <c r="E736"/>
      <c r="F736"/>
      <c r="G736"/>
      <c r="H736"/>
      <c r="I736"/>
      <c r="J736"/>
      <c r="K736"/>
      <c r="L736"/>
      <c r="M736"/>
      <c r="N736"/>
      <c r="O736"/>
      <c r="P736" s="36"/>
      <c r="Q736" s="37"/>
      <c r="R736"/>
      <c r="S736"/>
      <c r="T736"/>
      <c r="U736"/>
      <c r="V736" s="39"/>
      <c r="W736"/>
      <c r="X736"/>
      <c r="Y736"/>
      <c r="Z736"/>
      <c r="AA736"/>
    </row>
    <row r="737" spans="1:27" x14ac:dyDescent="0.25">
      <c r="A737"/>
      <c r="B737" s="36"/>
      <c r="C737" s="36"/>
      <c r="D737"/>
      <c r="E737"/>
      <c r="F737"/>
      <c r="G737"/>
      <c r="H737"/>
      <c r="I737"/>
      <c r="J737"/>
      <c r="K737"/>
      <c r="L737"/>
      <c r="M737"/>
      <c r="N737"/>
      <c r="O737"/>
      <c r="P737" s="36"/>
      <c r="Q737" s="37"/>
      <c r="R737"/>
      <c r="S737"/>
      <c r="T737"/>
      <c r="U737"/>
      <c r="V737" s="39"/>
      <c r="W737"/>
      <c r="X737"/>
      <c r="Y737"/>
      <c r="Z737"/>
      <c r="AA737"/>
    </row>
    <row r="738" spans="1:27" x14ac:dyDescent="0.25">
      <c r="A738"/>
      <c r="B738" s="36"/>
      <c r="C738" s="36"/>
      <c r="D738"/>
      <c r="E738"/>
      <c r="F738"/>
      <c r="G738"/>
      <c r="H738"/>
      <c r="I738"/>
      <c r="J738"/>
      <c r="K738"/>
      <c r="L738"/>
      <c r="M738"/>
      <c r="N738"/>
      <c r="O738"/>
      <c r="P738" s="36"/>
      <c r="Q738" s="37"/>
      <c r="R738"/>
      <c r="S738"/>
      <c r="T738"/>
      <c r="U738"/>
      <c r="V738" s="39"/>
      <c r="W738"/>
      <c r="X738"/>
      <c r="Y738"/>
      <c r="Z738"/>
      <c r="AA738"/>
    </row>
    <row r="739" spans="1:27" x14ac:dyDescent="0.25">
      <c r="A739"/>
      <c r="B739" s="36"/>
      <c r="C739" s="36"/>
      <c r="D739"/>
      <c r="E739"/>
      <c r="F739"/>
      <c r="G739"/>
      <c r="H739"/>
      <c r="I739"/>
      <c r="J739"/>
      <c r="K739"/>
      <c r="L739"/>
      <c r="M739"/>
      <c r="N739"/>
      <c r="O739"/>
      <c r="P739" s="36"/>
      <c r="Q739" s="37"/>
      <c r="R739"/>
      <c r="S739"/>
      <c r="T739"/>
      <c r="U739"/>
      <c r="V739" s="39"/>
      <c r="W739"/>
      <c r="X739"/>
      <c r="Y739"/>
      <c r="Z739"/>
      <c r="AA739"/>
    </row>
    <row r="740" spans="1:27" x14ac:dyDescent="0.25">
      <c r="A740"/>
      <c r="B740" s="36"/>
      <c r="C740" s="36"/>
      <c r="D740"/>
      <c r="E740"/>
      <c r="F740"/>
      <c r="G740"/>
      <c r="H740"/>
      <c r="I740"/>
      <c r="J740"/>
      <c r="K740"/>
      <c r="L740"/>
      <c r="M740"/>
      <c r="N740"/>
      <c r="O740"/>
      <c r="P740" s="36"/>
      <c r="Q740" s="37"/>
      <c r="R740"/>
      <c r="S740"/>
      <c r="T740"/>
      <c r="U740"/>
      <c r="V740" s="39"/>
      <c r="W740"/>
      <c r="X740"/>
      <c r="Y740"/>
      <c r="Z740"/>
      <c r="AA740"/>
    </row>
    <row r="741" spans="1:27" x14ac:dyDescent="0.25">
      <c r="A741"/>
      <c r="B741" s="36"/>
      <c r="C741" s="36"/>
      <c r="D741"/>
      <c r="E741"/>
      <c r="F741"/>
      <c r="G741"/>
      <c r="H741"/>
      <c r="I741"/>
      <c r="J741"/>
      <c r="K741"/>
      <c r="L741"/>
      <c r="M741"/>
      <c r="N741"/>
      <c r="O741"/>
      <c r="P741" s="36"/>
      <c r="Q741" s="37"/>
      <c r="R741"/>
      <c r="S741"/>
      <c r="T741"/>
      <c r="U741"/>
      <c r="V741" s="39"/>
      <c r="W741"/>
      <c r="X741"/>
      <c r="Y741"/>
      <c r="Z741"/>
      <c r="AA741"/>
    </row>
    <row r="742" spans="1:27" x14ac:dyDescent="0.25">
      <c r="A742"/>
      <c r="B742" s="36"/>
      <c r="C742" s="36"/>
      <c r="D742"/>
      <c r="E742"/>
      <c r="F742"/>
      <c r="G742"/>
      <c r="H742"/>
      <c r="I742"/>
      <c r="J742"/>
      <c r="K742"/>
      <c r="L742"/>
      <c r="M742"/>
      <c r="N742"/>
      <c r="O742"/>
      <c r="P742" s="36"/>
      <c r="Q742" s="37"/>
      <c r="R742"/>
      <c r="S742"/>
      <c r="T742"/>
      <c r="U742"/>
      <c r="V742" s="39"/>
      <c r="W742"/>
      <c r="X742"/>
      <c r="Y742"/>
      <c r="Z742"/>
      <c r="AA742"/>
    </row>
    <row r="743" spans="1:27" x14ac:dyDescent="0.25">
      <c r="A743"/>
      <c r="B743" s="36"/>
      <c r="C743" s="36"/>
      <c r="D743"/>
      <c r="E743"/>
      <c r="F743"/>
      <c r="G743"/>
      <c r="H743"/>
      <c r="I743"/>
      <c r="J743"/>
      <c r="K743"/>
      <c r="L743"/>
      <c r="M743"/>
      <c r="N743"/>
      <c r="O743"/>
      <c r="P743" s="36"/>
      <c r="Q743" s="37"/>
      <c r="R743"/>
      <c r="S743"/>
      <c r="T743"/>
      <c r="U743"/>
      <c r="V743" s="39"/>
      <c r="W743"/>
      <c r="X743"/>
      <c r="Y743"/>
      <c r="Z743"/>
      <c r="AA743"/>
    </row>
    <row r="744" spans="1:27" x14ac:dyDescent="0.25">
      <c r="A744"/>
      <c r="B744" s="36"/>
      <c r="C744" s="36"/>
      <c r="D744"/>
      <c r="E744"/>
      <c r="F744"/>
      <c r="G744"/>
      <c r="H744"/>
      <c r="I744"/>
      <c r="J744"/>
      <c r="K744"/>
      <c r="L744"/>
      <c r="M744"/>
      <c r="N744"/>
      <c r="O744"/>
      <c r="P744" s="36"/>
      <c r="Q744" s="37"/>
      <c r="R744"/>
      <c r="S744"/>
      <c r="T744"/>
      <c r="U744"/>
      <c r="V744" s="39"/>
      <c r="W744"/>
      <c r="X744"/>
      <c r="Y744"/>
      <c r="Z744"/>
      <c r="AA744"/>
    </row>
    <row r="745" spans="1:27" x14ac:dyDescent="0.25">
      <c r="A745"/>
      <c r="B745" s="36"/>
      <c r="C745" s="36"/>
      <c r="D745"/>
      <c r="E745"/>
      <c r="F745"/>
      <c r="G745"/>
      <c r="H745"/>
      <c r="I745"/>
      <c r="J745"/>
      <c r="K745"/>
      <c r="L745"/>
      <c r="M745"/>
      <c r="N745"/>
      <c r="O745"/>
      <c r="P745" s="36"/>
      <c r="Q745" s="37"/>
      <c r="R745"/>
      <c r="S745"/>
      <c r="T745"/>
      <c r="U745"/>
      <c r="V745" s="39"/>
      <c r="W745"/>
      <c r="X745"/>
      <c r="Y745"/>
      <c r="Z745"/>
      <c r="AA745"/>
    </row>
    <row r="746" spans="1:27" x14ac:dyDescent="0.25">
      <c r="A746"/>
      <c r="B746" s="36"/>
      <c r="C746" s="36"/>
      <c r="D746"/>
      <c r="E746"/>
      <c r="F746"/>
      <c r="G746"/>
      <c r="H746"/>
      <c r="I746"/>
      <c r="J746"/>
      <c r="K746"/>
      <c r="L746"/>
      <c r="M746"/>
      <c r="N746"/>
      <c r="O746"/>
      <c r="P746" s="36"/>
      <c r="Q746" s="37"/>
      <c r="R746"/>
      <c r="S746"/>
      <c r="T746"/>
      <c r="U746"/>
      <c r="V746" s="39"/>
      <c r="W746"/>
      <c r="X746"/>
      <c r="Y746"/>
      <c r="Z746"/>
      <c r="AA746"/>
    </row>
    <row r="747" spans="1:27" x14ac:dyDescent="0.25">
      <c r="A747"/>
      <c r="B747" s="36"/>
      <c r="C747" s="36"/>
      <c r="D747"/>
      <c r="E747"/>
      <c r="F747"/>
      <c r="G747"/>
      <c r="H747"/>
      <c r="I747"/>
      <c r="J747"/>
      <c r="K747"/>
      <c r="L747"/>
      <c r="M747"/>
      <c r="N747"/>
      <c r="O747"/>
      <c r="P747" s="36"/>
      <c r="Q747" s="37"/>
      <c r="R747"/>
      <c r="S747"/>
      <c r="T747"/>
      <c r="U747"/>
      <c r="V747" s="39"/>
      <c r="W747"/>
      <c r="X747"/>
      <c r="Y747"/>
      <c r="Z747"/>
      <c r="AA747"/>
    </row>
    <row r="748" spans="1:27" x14ac:dyDescent="0.25">
      <c r="A748"/>
      <c r="B748" s="36"/>
      <c r="C748" s="36"/>
      <c r="D748"/>
      <c r="E748"/>
      <c r="F748"/>
      <c r="G748"/>
      <c r="H748"/>
      <c r="I748"/>
      <c r="J748"/>
      <c r="K748"/>
      <c r="L748"/>
      <c r="M748"/>
      <c r="N748"/>
      <c r="O748"/>
      <c r="P748" s="36"/>
      <c r="Q748" s="37"/>
      <c r="R748"/>
      <c r="S748"/>
      <c r="T748"/>
      <c r="U748"/>
      <c r="V748" s="39"/>
      <c r="W748"/>
      <c r="X748"/>
      <c r="Y748"/>
      <c r="Z748"/>
      <c r="AA748"/>
    </row>
    <row r="749" spans="1:27" x14ac:dyDescent="0.25">
      <c r="A749"/>
      <c r="B749" s="36"/>
      <c r="C749" s="36"/>
      <c r="D749"/>
      <c r="E749"/>
      <c r="F749"/>
      <c r="G749"/>
      <c r="H749"/>
      <c r="I749"/>
      <c r="J749"/>
      <c r="K749"/>
      <c r="L749"/>
      <c r="M749"/>
      <c r="N749"/>
      <c r="O749"/>
      <c r="P749" s="36"/>
      <c r="Q749" s="37"/>
      <c r="R749"/>
      <c r="S749"/>
      <c r="T749"/>
      <c r="U749"/>
      <c r="V749" s="39"/>
      <c r="W749"/>
      <c r="X749"/>
      <c r="Y749"/>
      <c r="Z749"/>
      <c r="AA749"/>
    </row>
    <row r="750" spans="1:27" x14ac:dyDescent="0.25">
      <c r="A750"/>
      <c r="B750" s="36"/>
      <c r="C750" s="36"/>
      <c r="D750"/>
      <c r="E750"/>
      <c r="F750"/>
      <c r="G750"/>
      <c r="H750"/>
      <c r="I750"/>
      <c r="J750"/>
      <c r="K750"/>
      <c r="L750"/>
      <c r="M750"/>
      <c r="N750"/>
      <c r="O750"/>
      <c r="P750" s="36"/>
      <c r="Q750" s="37"/>
      <c r="R750"/>
      <c r="S750"/>
      <c r="T750"/>
      <c r="U750"/>
      <c r="V750" s="39"/>
      <c r="W750"/>
      <c r="X750"/>
      <c r="Y750"/>
      <c r="Z750"/>
      <c r="AA750"/>
    </row>
    <row r="751" spans="1:27" x14ac:dyDescent="0.25">
      <c r="A751"/>
      <c r="B751" s="36"/>
      <c r="C751" s="36"/>
      <c r="D751"/>
      <c r="E751"/>
      <c r="F751"/>
      <c r="G751"/>
      <c r="H751"/>
      <c r="I751"/>
      <c r="J751"/>
      <c r="K751"/>
      <c r="L751"/>
      <c r="M751"/>
      <c r="N751"/>
      <c r="O751"/>
      <c r="P751" s="36"/>
      <c r="Q751" s="37"/>
      <c r="R751"/>
      <c r="S751"/>
      <c r="T751"/>
      <c r="U751"/>
      <c r="V751" s="39"/>
      <c r="W751"/>
      <c r="X751"/>
      <c r="Y751"/>
      <c r="Z751"/>
      <c r="AA751"/>
    </row>
    <row r="752" spans="1:27" x14ac:dyDescent="0.25">
      <c r="A752"/>
      <c r="B752" s="36"/>
      <c r="C752" s="36"/>
      <c r="D752"/>
      <c r="E752"/>
      <c r="F752"/>
      <c r="G752"/>
      <c r="H752"/>
      <c r="I752"/>
      <c r="J752"/>
      <c r="K752"/>
      <c r="L752"/>
      <c r="M752"/>
      <c r="N752"/>
      <c r="O752"/>
      <c r="P752" s="36"/>
      <c r="Q752" s="37"/>
      <c r="R752"/>
      <c r="S752"/>
      <c r="T752"/>
      <c r="U752"/>
      <c r="V752" s="39"/>
      <c r="W752"/>
      <c r="X752"/>
      <c r="Y752"/>
      <c r="Z752"/>
      <c r="AA752"/>
    </row>
    <row r="753" spans="1:27" x14ac:dyDescent="0.25">
      <c r="A753"/>
      <c r="B753" s="36"/>
      <c r="C753" s="36"/>
      <c r="D753"/>
      <c r="E753"/>
      <c r="F753"/>
      <c r="G753"/>
      <c r="H753"/>
      <c r="I753"/>
      <c r="J753"/>
      <c r="K753"/>
      <c r="L753"/>
      <c r="M753"/>
      <c r="N753"/>
      <c r="O753"/>
      <c r="P753" s="36"/>
      <c r="Q753" s="37"/>
      <c r="R753"/>
      <c r="S753"/>
      <c r="T753"/>
      <c r="U753"/>
      <c r="V753" s="39"/>
      <c r="W753"/>
      <c r="X753"/>
      <c r="Y753"/>
      <c r="Z753"/>
      <c r="AA753"/>
    </row>
    <row r="754" spans="1:27" x14ac:dyDescent="0.25">
      <c r="A754"/>
      <c r="B754" s="36"/>
      <c r="C754" s="36"/>
      <c r="D754"/>
      <c r="E754"/>
      <c r="F754"/>
      <c r="G754"/>
      <c r="H754"/>
      <c r="I754"/>
      <c r="J754"/>
      <c r="K754"/>
      <c r="L754"/>
      <c r="M754"/>
      <c r="N754"/>
      <c r="O754"/>
      <c r="P754" s="36"/>
      <c r="Q754" s="37"/>
      <c r="R754"/>
      <c r="S754"/>
      <c r="T754"/>
      <c r="U754"/>
      <c r="V754" s="39"/>
      <c r="W754"/>
      <c r="X754"/>
      <c r="Y754"/>
      <c r="Z754"/>
      <c r="AA754"/>
    </row>
    <row r="755" spans="1:27" x14ac:dyDescent="0.25">
      <c r="A755"/>
      <c r="B755" s="36"/>
      <c r="C755" s="36"/>
      <c r="D755"/>
      <c r="E755"/>
      <c r="F755"/>
      <c r="G755"/>
      <c r="H755"/>
      <c r="I755"/>
      <c r="J755"/>
      <c r="K755"/>
      <c r="L755"/>
      <c r="M755"/>
      <c r="N755"/>
      <c r="O755"/>
      <c r="P755" s="36"/>
      <c r="Q755" s="37"/>
      <c r="R755"/>
      <c r="S755"/>
      <c r="T755"/>
      <c r="U755"/>
      <c r="V755" s="39"/>
      <c r="W755"/>
      <c r="X755"/>
      <c r="Y755"/>
      <c r="Z755"/>
      <c r="AA755"/>
    </row>
    <row r="756" spans="1:27" x14ac:dyDescent="0.25">
      <c r="A756"/>
      <c r="B756" s="36"/>
      <c r="C756" s="36"/>
      <c r="D756"/>
      <c r="E756"/>
      <c r="F756"/>
      <c r="G756"/>
      <c r="H756"/>
      <c r="I756"/>
      <c r="J756"/>
      <c r="K756"/>
      <c r="L756"/>
      <c r="M756"/>
      <c r="N756"/>
      <c r="O756"/>
      <c r="P756" s="36"/>
      <c r="Q756" s="37"/>
      <c r="R756"/>
      <c r="S756"/>
      <c r="T756"/>
      <c r="U756"/>
      <c r="V756" s="39"/>
      <c r="W756"/>
      <c r="X756"/>
      <c r="Y756"/>
      <c r="Z756"/>
      <c r="AA756"/>
    </row>
    <row r="757" spans="1:27" x14ac:dyDescent="0.25">
      <c r="A757"/>
      <c r="B757" s="36"/>
      <c r="C757" s="36"/>
      <c r="D757"/>
      <c r="E757"/>
      <c r="F757"/>
      <c r="G757"/>
      <c r="H757"/>
      <c r="I757"/>
      <c r="J757"/>
      <c r="K757"/>
      <c r="L757"/>
      <c r="M757"/>
      <c r="N757"/>
      <c r="O757"/>
      <c r="P757" s="36"/>
      <c r="Q757" s="37"/>
      <c r="R757"/>
      <c r="S757"/>
      <c r="T757"/>
      <c r="U757"/>
      <c r="V757" s="39"/>
      <c r="W757"/>
      <c r="X757"/>
      <c r="Y757"/>
      <c r="Z757"/>
      <c r="AA757"/>
    </row>
    <row r="758" spans="1:27" x14ac:dyDescent="0.25">
      <c r="A758"/>
      <c r="B758" s="36"/>
      <c r="C758" s="36"/>
      <c r="D758"/>
      <c r="E758"/>
      <c r="F758"/>
      <c r="G758"/>
      <c r="H758"/>
      <c r="I758"/>
      <c r="J758"/>
      <c r="K758"/>
      <c r="L758"/>
      <c r="M758"/>
      <c r="N758"/>
      <c r="O758"/>
      <c r="P758" s="36"/>
      <c r="Q758" s="37"/>
      <c r="R758"/>
      <c r="S758"/>
      <c r="T758"/>
      <c r="U758"/>
      <c r="V758" s="39"/>
      <c r="W758"/>
      <c r="X758"/>
      <c r="Y758"/>
      <c r="Z758"/>
      <c r="AA758"/>
    </row>
    <row r="759" spans="1:27" x14ac:dyDescent="0.25">
      <c r="A759"/>
      <c r="B759" s="36"/>
      <c r="C759" s="36"/>
      <c r="D759"/>
      <c r="E759"/>
      <c r="F759"/>
      <c r="G759"/>
      <c r="H759"/>
      <c r="I759"/>
      <c r="J759"/>
      <c r="K759"/>
      <c r="L759"/>
      <c r="M759"/>
      <c r="N759"/>
      <c r="O759"/>
      <c r="P759" s="36"/>
      <c r="Q759" s="37"/>
      <c r="R759"/>
      <c r="S759"/>
      <c r="T759"/>
      <c r="U759"/>
      <c r="V759" s="39"/>
      <c r="W759"/>
      <c r="X759"/>
      <c r="Y759"/>
      <c r="Z759"/>
      <c r="AA759"/>
    </row>
    <row r="760" spans="1:27" x14ac:dyDescent="0.25">
      <c r="A760"/>
      <c r="B760" s="36"/>
      <c r="C760" s="36"/>
      <c r="D760"/>
      <c r="E760"/>
      <c r="F760"/>
      <c r="G760"/>
      <c r="H760"/>
      <c r="I760"/>
      <c r="J760"/>
      <c r="K760"/>
      <c r="L760"/>
      <c r="M760"/>
      <c r="N760"/>
      <c r="O760"/>
      <c r="P760" s="36"/>
      <c r="Q760" s="37"/>
      <c r="R760"/>
      <c r="S760"/>
      <c r="T760"/>
      <c r="U760"/>
      <c r="V760" s="39"/>
      <c r="W760"/>
      <c r="X760"/>
      <c r="Y760"/>
      <c r="Z760"/>
      <c r="AA760"/>
    </row>
    <row r="761" spans="1:27" x14ac:dyDescent="0.25">
      <c r="A761"/>
      <c r="B761" s="36"/>
      <c r="C761" s="36"/>
      <c r="D761"/>
      <c r="E761"/>
      <c r="F761"/>
      <c r="G761"/>
      <c r="H761"/>
      <c r="I761"/>
      <c r="J761"/>
      <c r="K761"/>
      <c r="L761"/>
      <c r="M761"/>
      <c r="N761"/>
      <c r="O761"/>
      <c r="P761" s="36"/>
      <c r="Q761" s="37"/>
      <c r="R761"/>
      <c r="S761"/>
      <c r="T761"/>
      <c r="U761"/>
      <c r="V761" s="39"/>
      <c r="W761"/>
      <c r="X761"/>
      <c r="Y761"/>
      <c r="Z761"/>
      <c r="AA761"/>
    </row>
    <row r="762" spans="1:27" x14ac:dyDescent="0.25">
      <c r="A762"/>
      <c r="B762" s="36"/>
      <c r="C762" s="36"/>
      <c r="D762"/>
      <c r="E762"/>
      <c r="F762"/>
      <c r="G762"/>
      <c r="H762"/>
      <c r="I762"/>
      <c r="J762"/>
      <c r="K762"/>
      <c r="L762"/>
      <c r="M762"/>
      <c r="N762"/>
      <c r="O762"/>
      <c r="P762" s="36"/>
      <c r="Q762" s="37"/>
      <c r="R762"/>
      <c r="S762"/>
      <c r="T762"/>
      <c r="U762"/>
      <c r="V762" s="39"/>
      <c r="W762"/>
      <c r="X762"/>
      <c r="Y762"/>
      <c r="Z762"/>
      <c r="AA762"/>
    </row>
    <row r="763" spans="1:27" x14ac:dyDescent="0.25">
      <c r="A763"/>
      <c r="B763" s="36"/>
      <c r="C763" s="36"/>
      <c r="D763"/>
      <c r="E763"/>
      <c r="F763"/>
      <c r="G763"/>
      <c r="H763"/>
      <c r="I763"/>
      <c r="J763"/>
      <c r="K763"/>
      <c r="L763"/>
      <c r="M763"/>
      <c r="N763"/>
      <c r="O763"/>
      <c r="P763" s="36"/>
      <c r="Q763" s="37"/>
      <c r="R763"/>
      <c r="S763"/>
      <c r="T763"/>
      <c r="U763"/>
      <c r="V763" s="39"/>
      <c r="W763"/>
      <c r="X763"/>
      <c r="Y763"/>
      <c r="Z763"/>
      <c r="AA763"/>
    </row>
    <row r="764" spans="1:27" x14ac:dyDescent="0.25">
      <c r="A764"/>
      <c r="B764" s="36"/>
      <c r="C764" s="36"/>
      <c r="D764"/>
      <c r="E764"/>
      <c r="F764"/>
      <c r="G764"/>
      <c r="H764"/>
      <c r="I764"/>
      <c r="J764"/>
      <c r="K764"/>
      <c r="L764"/>
      <c r="M764"/>
      <c r="N764"/>
      <c r="O764"/>
      <c r="P764" s="36"/>
      <c r="Q764" s="37"/>
      <c r="R764"/>
      <c r="S764"/>
      <c r="T764"/>
      <c r="U764"/>
      <c r="V764" s="39"/>
      <c r="W764"/>
      <c r="X764"/>
      <c r="Y764"/>
      <c r="Z764"/>
      <c r="AA764"/>
    </row>
    <row r="765" spans="1:27" x14ac:dyDescent="0.25">
      <c r="A765"/>
      <c r="B765" s="36"/>
      <c r="C765" s="36"/>
      <c r="D765"/>
      <c r="E765"/>
      <c r="F765"/>
      <c r="G765"/>
      <c r="H765"/>
      <c r="I765"/>
      <c r="J765"/>
      <c r="K765"/>
      <c r="L765"/>
      <c r="M765"/>
      <c r="N765"/>
      <c r="O765"/>
      <c r="P765" s="36"/>
      <c r="Q765" s="37"/>
      <c r="R765"/>
      <c r="S765"/>
      <c r="T765"/>
      <c r="U765"/>
      <c r="V765" s="39"/>
      <c r="W765"/>
      <c r="X765"/>
      <c r="Y765"/>
      <c r="Z765"/>
      <c r="AA765"/>
    </row>
    <row r="766" spans="1:27" x14ac:dyDescent="0.25">
      <c r="A766"/>
      <c r="B766" s="36"/>
      <c r="C766" s="36"/>
      <c r="D766"/>
      <c r="E766"/>
      <c r="F766"/>
      <c r="G766"/>
      <c r="H766"/>
      <c r="I766"/>
      <c r="J766"/>
      <c r="K766"/>
      <c r="L766"/>
      <c r="M766"/>
      <c r="N766"/>
      <c r="O766"/>
      <c r="P766" s="36"/>
      <c r="Q766" s="37"/>
      <c r="R766"/>
      <c r="S766"/>
      <c r="T766"/>
      <c r="U766"/>
      <c r="V766" s="39"/>
      <c r="W766"/>
      <c r="X766"/>
      <c r="Y766"/>
      <c r="Z766"/>
      <c r="AA766"/>
    </row>
    <row r="767" spans="1:27" x14ac:dyDescent="0.25">
      <c r="A767"/>
      <c r="B767" s="36"/>
      <c r="C767" s="36"/>
      <c r="D767"/>
      <c r="E767"/>
      <c r="F767"/>
      <c r="G767"/>
      <c r="H767"/>
      <c r="I767"/>
      <c r="J767"/>
      <c r="K767"/>
      <c r="L767"/>
      <c r="M767"/>
      <c r="N767"/>
      <c r="O767"/>
      <c r="P767" s="36"/>
      <c r="Q767" s="37"/>
      <c r="R767"/>
      <c r="S767"/>
      <c r="T767"/>
      <c r="U767"/>
      <c r="V767" s="39"/>
      <c r="W767"/>
      <c r="X767"/>
      <c r="Y767"/>
      <c r="Z767"/>
      <c r="AA767"/>
    </row>
    <row r="768" spans="1:27" x14ac:dyDescent="0.25">
      <c r="A768"/>
      <c r="B768" s="36"/>
      <c r="C768" s="36"/>
      <c r="D768"/>
      <c r="E768"/>
      <c r="F768"/>
      <c r="G768"/>
      <c r="H768"/>
      <c r="I768"/>
      <c r="J768"/>
      <c r="K768"/>
      <c r="L768"/>
      <c r="M768"/>
      <c r="N768"/>
      <c r="O768"/>
      <c r="P768" s="36"/>
      <c r="Q768" s="37"/>
      <c r="R768"/>
      <c r="S768"/>
      <c r="T768"/>
      <c r="U768"/>
      <c r="V768" s="39"/>
      <c r="W768"/>
      <c r="X768"/>
      <c r="Y768"/>
      <c r="Z768"/>
      <c r="AA768"/>
    </row>
    <row r="769" spans="1:27" x14ac:dyDescent="0.25">
      <c r="A769"/>
      <c r="B769" s="36"/>
      <c r="C769" s="36"/>
      <c r="D769"/>
      <c r="E769"/>
      <c r="F769"/>
      <c r="G769"/>
      <c r="H769"/>
      <c r="I769"/>
      <c r="J769"/>
      <c r="K769"/>
      <c r="L769"/>
      <c r="M769"/>
      <c r="N769"/>
      <c r="O769"/>
      <c r="P769" s="36"/>
      <c r="Q769" s="37"/>
      <c r="R769"/>
      <c r="S769"/>
      <c r="T769"/>
      <c r="U769"/>
      <c r="V769" s="39"/>
      <c r="W769"/>
      <c r="X769"/>
      <c r="Y769"/>
      <c r="Z769"/>
      <c r="AA769"/>
    </row>
    <row r="770" spans="1:27" x14ac:dyDescent="0.25">
      <c r="A770"/>
      <c r="B770" s="36"/>
      <c r="C770" s="36"/>
      <c r="D770"/>
      <c r="E770"/>
      <c r="F770"/>
      <c r="G770"/>
      <c r="H770"/>
      <c r="I770"/>
      <c r="J770"/>
      <c r="K770"/>
      <c r="L770"/>
      <c r="M770"/>
      <c r="N770"/>
      <c r="O770"/>
      <c r="P770" s="36"/>
      <c r="Q770" s="37"/>
      <c r="R770"/>
      <c r="S770"/>
      <c r="T770"/>
      <c r="U770"/>
      <c r="V770" s="39"/>
      <c r="W770"/>
      <c r="X770"/>
      <c r="Y770"/>
      <c r="Z770"/>
      <c r="AA770"/>
    </row>
    <row r="771" spans="1:27" x14ac:dyDescent="0.25">
      <c r="A771"/>
      <c r="B771" s="36"/>
      <c r="C771" s="36"/>
      <c r="D771"/>
      <c r="E771"/>
      <c r="F771"/>
      <c r="G771"/>
      <c r="H771"/>
      <c r="I771"/>
      <c r="J771"/>
      <c r="K771"/>
      <c r="L771"/>
      <c r="M771"/>
      <c r="N771"/>
      <c r="O771"/>
      <c r="P771" s="36"/>
      <c r="Q771" s="37"/>
      <c r="R771"/>
      <c r="S771"/>
      <c r="T771"/>
      <c r="U771"/>
      <c r="V771" s="39"/>
      <c r="W771"/>
      <c r="X771"/>
      <c r="Y771"/>
      <c r="Z771"/>
      <c r="AA771"/>
    </row>
    <row r="772" spans="1:27" x14ac:dyDescent="0.25">
      <c r="A772"/>
      <c r="B772" s="36"/>
      <c r="C772" s="36"/>
      <c r="D772"/>
      <c r="E772"/>
      <c r="F772"/>
      <c r="G772"/>
      <c r="H772"/>
      <c r="I772"/>
      <c r="J772"/>
      <c r="K772"/>
      <c r="L772"/>
      <c r="M772"/>
      <c r="N772"/>
      <c r="O772"/>
      <c r="P772" s="36"/>
      <c r="Q772" s="37"/>
      <c r="R772"/>
      <c r="S772"/>
      <c r="T772"/>
      <c r="U772"/>
      <c r="V772" s="39"/>
      <c r="W772"/>
      <c r="X772"/>
      <c r="Y772"/>
      <c r="Z772"/>
      <c r="AA772"/>
    </row>
    <row r="773" spans="1:27" x14ac:dyDescent="0.25">
      <c r="A773"/>
      <c r="B773" s="36"/>
      <c r="C773" s="36"/>
      <c r="D773"/>
      <c r="E773"/>
      <c r="F773"/>
      <c r="G773"/>
      <c r="H773"/>
      <c r="I773"/>
      <c r="J773"/>
      <c r="K773"/>
      <c r="L773"/>
      <c r="M773"/>
      <c r="N773"/>
      <c r="O773"/>
      <c r="P773" s="36"/>
      <c r="Q773" s="37"/>
      <c r="R773"/>
      <c r="S773"/>
      <c r="T773"/>
      <c r="U773"/>
      <c r="V773" s="39"/>
      <c r="W773"/>
      <c r="X773"/>
      <c r="Y773"/>
      <c r="Z773"/>
      <c r="AA773"/>
    </row>
    <row r="774" spans="1:27" x14ac:dyDescent="0.25">
      <c r="A774"/>
      <c r="B774" s="36"/>
      <c r="C774" s="36"/>
      <c r="D774"/>
      <c r="E774"/>
      <c r="F774"/>
      <c r="G774"/>
      <c r="H774"/>
      <c r="I774"/>
      <c r="J774"/>
      <c r="K774"/>
      <c r="L774"/>
      <c r="M774"/>
      <c r="N774"/>
      <c r="O774"/>
      <c r="P774" s="36"/>
      <c r="Q774" s="37"/>
      <c r="R774"/>
      <c r="S774"/>
      <c r="T774"/>
      <c r="U774"/>
      <c r="V774" s="39"/>
      <c r="W774"/>
      <c r="X774"/>
      <c r="Y774"/>
      <c r="Z774"/>
      <c r="AA774"/>
    </row>
    <row r="775" spans="1:27" x14ac:dyDescent="0.25">
      <c r="A775"/>
      <c r="B775" s="36"/>
      <c r="C775" s="36"/>
      <c r="D775"/>
      <c r="E775"/>
      <c r="F775"/>
      <c r="G775"/>
      <c r="H775"/>
      <c r="I775"/>
      <c r="J775"/>
      <c r="K775"/>
      <c r="L775"/>
      <c r="M775"/>
      <c r="N775"/>
      <c r="O775"/>
      <c r="P775" s="36"/>
      <c r="Q775" s="37"/>
      <c r="R775"/>
      <c r="S775"/>
      <c r="T775"/>
      <c r="U775"/>
      <c r="V775" s="39"/>
      <c r="W775"/>
      <c r="X775"/>
      <c r="Y775"/>
      <c r="Z775"/>
      <c r="AA775"/>
    </row>
    <row r="776" spans="1:27" x14ac:dyDescent="0.25">
      <c r="A776"/>
      <c r="B776" s="36"/>
      <c r="C776" s="36"/>
      <c r="D776"/>
      <c r="E776"/>
      <c r="F776"/>
      <c r="G776"/>
      <c r="H776"/>
      <c r="I776"/>
      <c r="J776"/>
      <c r="K776"/>
      <c r="L776"/>
      <c r="M776"/>
      <c r="N776"/>
      <c r="O776"/>
      <c r="P776" s="36"/>
      <c r="Q776" s="37"/>
      <c r="R776"/>
      <c r="S776"/>
      <c r="T776"/>
      <c r="U776"/>
      <c r="V776" s="39"/>
      <c r="W776"/>
      <c r="X776"/>
      <c r="Y776"/>
      <c r="Z776"/>
      <c r="AA776"/>
    </row>
    <row r="777" spans="1:27" x14ac:dyDescent="0.25">
      <c r="A777"/>
      <c r="B777" s="36"/>
      <c r="C777" s="36"/>
      <c r="D777"/>
      <c r="E777"/>
      <c r="F777"/>
      <c r="G777"/>
      <c r="H777"/>
      <c r="I777"/>
      <c r="J777"/>
      <c r="K777"/>
      <c r="L777"/>
      <c r="M777"/>
      <c r="N777"/>
      <c r="O777"/>
      <c r="P777" s="36"/>
      <c r="Q777" s="37"/>
      <c r="R777"/>
      <c r="S777"/>
      <c r="T777"/>
      <c r="U777"/>
      <c r="V777" s="39"/>
      <c r="W777"/>
      <c r="X777"/>
      <c r="Y777"/>
      <c r="Z777"/>
      <c r="AA777"/>
    </row>
    <row r="778" spans="1:27" x14ac:dyDescent="0.25">
      <c r="A778"/>
      <c r="B778" s="36"/>
      <c r="C778" s="36"/>
      <c r="D778"/>
      <c r="E778"/>
      <c r="F778"/>
      <c r="G778"/>
      <c r="H778"/>
      <c r="I778"/>
      <c r="J778"/>
      <c r="K778"/>
      <c r="L778"/>
      <c r="M778"/>
      <c r="N778"/>
      <c r="O778"/>
      <c r="P778" s="36"/>
      <c r="Q778" s="37"/>
      <c r="R778"/>
      <c r="S778"/>
      <c r="T778"/>
      <c r="U778"/>
      <c r="V778" s="39"/>
      <c r="W778"/>
      <c r="X778"/>
      <c r="Y778"/>
      <c r="Z778"/>
      <c r="AA778"/>
    </row>
    <row r="779" spans="1:27" x14ac:dyDescent="0.25">
      <c r="A779"/>
      <c r="B779" s="36"/>
      <c r="C779" s="36"/>
      <c r="D779"/>
      <c r="E779"/>
      <c r="F779"/>
      <c r="G779"/>
      <c r="H779"/>
      <c r="I779"/>
      <c r="J779"/>
      <c r="K779"/>
      <c r="L779"/>
      <c r="M779"/>
      <c r="N779"/>
      <c r="O779"/>
      <c r="P779" s="36"/>
      <c r="Q779" s="37"/>
      <c r="R779"/>
      <c r="S779"/>
      <c r="T779"/>
      <c r="U779"/>
      <c r="V779" s="39"/>
      <c r="W779"/>
      <c r="X779"/>
      <c r="Y779"/>
      <c r="Z779"/>
      <c r="AA779"/>
    </row>
    <row r="780" spans="1:27" x14ac:dyDescent="0.25">
      <c r="A780"/>
      <c r="B780" s="36"/>
      <c r="C780" s="36"/>
      <c r="D780"/>
      <c r="E780"/>
      <c r="F780"/>
      <c r="G780"/>
      <c r="H780"/>
      <c r="I780"/>
      <c r="J780"/>
      <c r="K780"/>
      <c r="L780"/>
      <c r="M780"/>
      <c r="N780"/>
      <c r="O780"/>
      <c r="P780" s="36"/>
      <c r="Q780" s="37"/>
      <c r="R780"/>
      <c r="S780"/>
      <c r="T780"/>
      <c r="U780"/>
      <c r="V780" s="39"/>
      <c r="W780"/>
      <c r="X780"/>
      <c r="Y780"/>
      <c r="Z780"/>
      <c r="AA780"/>
    </row>
    <row r="781" spans="1:27" x14ac:dyDescent="0.25">
      <c r="A781"/>
      <c r="B781" s="36"/>
      <c r="C781" s="36"/>
      <c r="D781"/>
      <c r="E781"/>
      <c r="F781"/>
      <c r="G781"/>
      <c r="H781"/>
      <c r="I781"/>
      <c r="J781"/>
      <c r="K781"/>
      <c r="L781"/>
      <c r="M781"/>
      <c r="N781"/>
      <c r="O781"/>
      <c r="P781" s="36"/>
      <c r="Q781" s="37"/>
      <c r="R781"/>
      <c r="S781"/>
      <c r="T781"/>
      <c r="U781"/>
      <c r="V781" s="39"/>
      <c r="W781"/>
      <c r="X781"/>
      <c r="Y781"/>
      <c r="Z781"/>
      <c r="AA781"/>
    </row>
    <row r="782" spans="1:27" x14ac:dyDescent="0.25">
      <c r="A782"/>
      <c r="B782" s="36"/>
      <c r="C782" s="36"/>
      <c r="D782"/>
      <c r="E782"/>
      <c r="F782"/>
      <c r="G782"/>
      <c r="H782"/>
      <c r="I782"/>
      <c r="J782"/>
      <c r="K782"/>
      <c r="L782"/>
      <c r="M782"/>
      <c r="N782"/>
      <c r="O782"/>
      <c r="P782" s="36"/>
      <c r="Q782" s="37"/>
      <c r="R782"/>
      <c r="S782"/>
      <c r="T782"/>
      <c r="U782"/>
      <c r="V782" s="39"/>
      <c r="W782"/>
      <c r="X782"/>
      <c r="Y782"/>
      <c r="Z782"/>
      <c r="AA782"/>
    </row>
    <row r="783" spans="1:27" x14ac:dyDescent="0.25">
      <c r="A783"/>
      <c r="B783" s="36"/>
      <c r="C783" s="36"/>
      <c r="D783"/>
      <c r="E783"/>
      <c r="F783"/>
      <c r="G783"/>
      <c r="H783"/>
      <c r="I783"/>
      <c r="J783"/>
      <c r="K783"/>
      <c r="L783"/>
      <c r="M783"/>
      <c r="N783"/>
      <c r="O783"/>
      <c r="P783" s="36"/>
      <c r="Q783" s="37"/>
      <c r="R783"/>
      <c r="S783"/>
      <c r="T783"/>
      <c r="U783"/>
      <c r="V783" s="39"/>
      <c r="W783"/>
      <c r="X783"/>
      <c r="Y783"/>
      <c r="Z783"/>
      <c r="AA783"/>
    </row>
    <row r="784" spans="1:27" x14ac:dyDescent="0.25">
      <c r="A784"/>
      <c r="B784" s="36"/>
      <c r="C784" s="36"/>
      <c r="D784"/>
      <c r="E784"/>
      <c r="F784"/>
      <c r="G784"/>
      <c r="H784"/>
      <c r="I784"/>
      <c r="J784"/>
      <c r="K784"/>
      <c r="L784"/>
      <c r="M784"/>
      <c r="N784"/>
      <c r="O784"/>
      <c r="P784" s="36"/>
      <c r="Q784" s="37"/>
      <c r="R784"/>
      <c r="S784"/>
      <c r="T784"/>
      <c r="U784"/>
      <c r="V784" s="39"/>
      <c r="W784"/>
      <c r="X784"/>
      <c r="Y784"/>
      <c r="Z784"/>
      <c r="AA784"/>
    </row>
    <row r="785" spans="1:27" x14ac:dyDescent="0.25">
      <c r="A785"/>
      <c r="B785" s="36"/>
      <c r="C785" s="36"/>
      <c r="D785"/>
      <c r="E785"/>
      <c r="F785"/>
      <c r="G785"/>
      <c r="H785"/>
      <c r="I785"/>
      <c r="J785"/>
      <c r="K785"/>
      <c r="L785"/>
      <c r="M785"/>
      <c r="N785"/>
      <c r="O785"/>
      <c r="P785" s="36"/>
      <c r="Q785" s="37"/>
      <c r="R785"/>
      <c r="S785"/>
      <c r="T785"/>
      <c r="U785"/>
      <c r="V785" s="39"/>
      <c r="W785"/>
      <c r="X785"/>
      <c r="Y785"/>
      <c r="Z785"/>
      <c r="AA785"/>
    </row>
    <row r="786" spans="1:27" x14ac:dyDescent="0.25">
      <c r="A786"/>
      <c r="B786" s="36"/>
      <c r="C786" s="36"/>
      <c r="D786"/>
      <c r="E786"/>
      <c r="F786"/>
      <c r="G786"/>
      <c r="H786"/>
      <c r="I786"/>
      <c r="J786"/>
      <c r="K786"/>
      <c r="L786"/>
      <c r="M786"/>
      <c r="N786"/>
      <c r="O786"/>
      <c r="P786" s="36"/>
      <c r="Q786" s="37"/>
      <c r="R786"/>
      <c r="S786"/>
      <c r="T786"/>
      <c r="U786"/>
      <c r="V786" s="39"/>
      <c r="W786"/>
      <c r="X786"/>
      <c r="Y786"/>
      <c r="Z786"/>
      <c r="AA786"/>
    </row>
    <row r="787" spans="1:27" x14ac:dyDescent="0.25">
      <c r="A787"/>
      <c r="B787" s="36"/>
      <c r="C787" s="36"/>
      <c r="D787"/>
      <c r="E787"/>
      <c r="F787"/>
      <c r="G787"/>
      <c r="H787"/>
      <c r="I787"/>
      <c r="J787"/>
      <c r="K787"/>
      <c r="L787"/>
      <c r="M787"/>
      <c r="N787"/>
      <c r="O787"/>
      <c r="P787" s="36"/>
      <c r="Q787" s="37"/>
      <c r="R787"/>
      <c r="S787"/>
      <c r="T787"/>
      <c r="U787"/>
      <c r="V787" s="39"/>
      <c r="W787"/>
      <c r="X787"/>
      <c r="Y787"/>
      <c r="Z787"/>
      <c r="AA787"/>
    </row>
    <row r="788" spans="1:27" x14ac:dyDescent="0.25">
      <c r="A788"/>
      <c r="B788" s="36"/>
      <c r="C788" s="36"/>
      <c r="D788"/>
      <c r="E788"/>
      <c r="F788"/>
      <c r="G788"/>
      <c r="H788"/>
      <c r="I788"/>
      <c r="J788"/>
      <c r="K788"/>
      <c r="L788"/>
      <c r="M788"/>
      <c r="N788"/>
      <c r="O788"/>
      <c r="P788" s="36"/>
      <c r="Q788" s="37"/>
      <c r="R788"/>
      <c r="S788"/>
      <c r="T788"/>
      <c r="U788"/>
      <c r="V788" s="39"/>
      <c r="W788"/>
      <c r="X788"/>
      <c r="Y788"/>
      <c r="Z788"/>
      <c r="AA788"/>
    </row>
    <row r="789" spans="1:27" x14ac:dyDescent="0.25">
      <c r="A789"/>
      <c r="B789" s="36"/>
      <c r="C789" s="36"/>
      <c r="D789"/>
      <c r="E789"/>
      <c r="F789"/>
      <c r="G789"/>
      <c r="H789"/>
      <c r="I789"/>
      <c r="J789"/>
      <c r="K789"/>
      <c r="L789"/>
      <c r="M789"/>
      <c r="N789"/>
      <c r="O789"/>
      <c r="P789" s="36"/>
      <c r="Q789" s="37"/>
      <c r="R789"/>
      <c r="S789"/>
      <c r="T789"/>
      <c r="U789"/>
      <c r="V789" s="39"/>
      <c r="W789"/>
      <c r="X789"/>
      <c r="Y789"/>
      <c r="Z789"/>
      <c r="AA789"/>
    </row>
    <row r="790" spans="1:27" x14ac:dyDescent="0.25">
      <c r="A790"/>
      <c r="B790" s="36"/>
      <c r="C790" s="36"/>
      <c r="D790"/>
      <c r="E790"/>
      <c r="F790"/>
      <c r="G790"/>
      <c r="H790"/>
      <c r="I790"/>
      <c r="J790"/>
      <c r="K790"/>
      <c r="L790"/>
      <c r="M790"/>
      <c r="N790"/>
      <c r="O790"/>
      <c r="P790" s="36"/>
      <c r="Q790" s="37"/>
      <c r="R790"/>
      <c r="S790"/>
      <c r="T790"/>
      <c r="U790"/>
      <c r="V790" s="39"/>
      <c r="W790"/>
      <c r="X790"/>
      <c r="Y790"/>
      <c r="Z790"/>
      <c r="AA790"/>
    </row>
    <row r="791" spans="1:27" x14ac:dyDescent="0.25">
      <c r="A791"/>
      <c r="B791" s="36"/>
      <c r="C791" s="36"/>
      <c r="D791"/>
      <c r="E791"/>
      <c r="F791"/>
      <c r="G791"/>
      <c r="H791"/>
      <c r="I791"/>
      <c r="J791"/>
      <c r="K791"/>
      <c r="L791"/>
      <c r="M791"/>
      <c r="N791"/>
      <c r="O791"/>
      <c r="P791" s="36"/>
      <c r="Q791" s="37"/>
      <c r="R791"/>
      <c r="S791"/>
      <c r="T791"/>
      <c r="U791"/>
      <c r="V791" s="39"/>
      <c r="W791"/>
      <c r="X791"/>
      <c r="Y791"/>
      <c r="Z791"/>
      <c r="AA791"/>
    </row>
    <row r="792" spans="1:27" x14ac:dyDescent="0.25">
      <c r="A792"/>
      <c r="B792" s="36"/>
      <c r="C792" s="36"/>
      <c r="D792"/>
      <c r="E792"/>
      <c r="F792"/>
      <c r="G792"/>
      <c r="H792"/>
      <c r="I792"/>
      <c r="J792"/>
      <c r="K792"/>
      <c r="L792"/>
      <c r="M792"/>
      <c r="N792"/>
      <c r="O792"/>
      <c r="P792" s="36"/>
      <c r="Q792" s="37"/>
      <c r="R792"/>
      <c r="S792"/>
      <c r="T792"/>
      <c r="U792"/>
      <c r="V792" s="39"/>
      <c r="W792"/>
      <c r="X792"/>
      <c r="Y792"/>
      <c r="Z792"/>
      <c r="AA792"/>
    </row>
    <row r="793" spans="1:27" x14ac:dyDescent="0.25">
      <c r="A793"/>
      <c r="B793" s="36"/>
      <c r="C793" s="36"/>
      <c r="D793"/>
      <c r="E793"/>
      <c r="F793"/>
      <c r="G793"/>
      <c r="H793"/>
      <c r="I793"/>
      <c r="J793"/>
      <c r="K793"/>
      <c r="L793"/>
      <c r="M793"/>
      <c r="N793"/>
      <c r="O793"/>
      <c r="P793" s="36"/>
      <c r="Q793" s="37"/>
      <c r="R793"/>
      <c r="S793"/>
      <c r="T793"/>
      <c r="U793"/>
      <c r="V793" s="39"/>
      <c r="W793"/>
      <c r="X793"/>
      <c r="Y793"/>
      <c r="Z793"/>
      <c r="AA793"/>
    </row>
    <row r="794" spans="1:27" x14ac:dyDescent="0.25">
      <c r="A794"/>
      <c r="B794" s="36"/>
      <c r="C794" s="36"/>
      <c r="D794"/>
      <c r="E794"/>
      <c r="F794"/>
      <c r="G794"/>
      <c r="H794"/>
      <c r="I794"/>
      <c r="J794"/>
      <c r="K794"/>
      <c r="L794"/>
      <c r="M794"/>
      <c r="N794"/>
      <c r="O794"/>
      <c r="P794" s="36"/>
      <c r="Q794" s="37"/>
      <c r="R794"/>
      <c r="S794"/>
      <c r="T794"/>
      <c r="U794"/>
      <c r="V794" s="39"/>
      <c r="W794"/>
      <c r="X794"/>
      <c r="Y794"/>
      <c r="Z794"/>
      <c r="AA794"/>
    </row>
    <row r="795" spans="1:27" x14ac:dyDescent="0.25">
      <c r="A795"/>
      <c r="B795" s="36"/>
      <c r="C795" s="36"/>
      <c r="D795"/>
      <c r="E795"/>
      <c r="F795"/>
      <c r="G795"/>
      <c r="H795"/>
      <c r="I795"/>
      <c r="J795"/>
      <c r="K795"/>
      <c r="L795"/>
      <c r="M795"/>
      <c r="N795"/>
      <c r="O795"/>
      <c r="P795" s="36"/>
      <c r="Q795" s="37"/>
      <c r="R795"/>
      <c r="S795"/>
      <c r="T795"/>
      <c r="U795"/>
      <c r="V795" s="39"/>
      <c r="W795"/>
      <c r="X795"/>
      <c r="Y795"/>
      <c r="Z795"/>
      <c r="AA795"/>
    </row>
    <row r="796" spans="1:27" x14ac:dyDescent="0.25">
      <c r="A796"/>
      <c r="B796" s="36"/>
      <c r="C796" s="36"/>
      <c r="D796"/>
      <c r="E796"/>
      <c r="F796"/>
      <c r="G796"/>
      <c r="H796"/>
      <c r="I796"/>
      <c r="J796"/>
      <c r="K796"/>
      <c r="L796"/>
      <c r="M796"/>
      <c r="N796"/>
      <c r="O796"/>
      <c r="P796" s="36"/>
      <c r="Q796" s="37"/>
      <c r="R796"/>
      <c r="S796"/>
      <c r="T796"/>
      <c r="U796"/>
      <c r="V796" s="39"/>
      <c r="W796"/>
      <c r="X796"/>
      <c r="Y796"/>
      <c r="Z796"/>
      <c r="AA796"/>
    </row>
    <row r="797" spans="1:27" x14ac:dyDescent="0.25">
      <c r="A797"/>
      <c r="B797" s="36"/>
      <c r="C797" s="36"/>
      <c r="D797"/>
      <c r="E797"/>
      <c r="F797"/>
      <c r="G797"/>
      <c r="H797"/>
      <c r="I797"/>
      <c r="J797"/>
      <c r="K797"/>
      <c r="L797"/>
      <c r="M797"/>
      <c r="N797"/>
      <c r="O797"/>
      <c r="P797" s="36"/>
      <c r="Q797" s="37"/>
      <c r="R797"/>
      <c r="S797"/>
      <c r="T797"/>
      <c r="U797"/>
      <c r="V797" s="39"/>
      <c r="W797"/>
      <c r="X797"/>
      <c r="Y797"/>
      <c r="Z797"/>
      <c r="AA797"/>
    </row>
    <row r="798" spans="1:27" x14ac:dyDescent="0.25">
      <c r="A798"/>
      <c r="B798" s="36"/>
      <c r="C798" s="36"/>
      <c r="D798"/>
      <c r="E798"/>
      <c r="F798"/>
      <c r="G798"/>
      <c r="H798"/>
      <c r="I798"/>
      <c r="J798"/>
      <c r="K798"/>
      <c r="L798"/>
      <c r="M798"/>
      <c r="N798"/>
      <c r="O798"/>
      <c r="P798" s="36"/>
      <c r="Q798" s="37"/>
      <c r="R798"/>
      <c r="S798"/>
      <c r="T798"/>
      <c r="U798"/>
      <c r="V798" s="39"/>
      <c r="W798"/>
      <c r="X798"/>
      <c r="Y798"/>
      <c r="Z798"/>
      <c r="AA798"/>
    </row>
    <row r="799" spans="1:27" x14ac:dyDescent="0.25">
      <c r="A799"/>
      <c r="B799" s="36"/>
      <c r="C799" s="36"/>
      <c r="D799"/>
      <c r="E799"/>
      <c r="F799"/>
      <c r="G799"/>
      <c r="H799"/>
      <c r="I799"/>
      <c r="J799"/>
      <c r="K799"/>
      <c r="L799"/>
      <c r="M799"/>
      <c r="N799"/>
      <c r="O799"/>
      <c r="P799" s="36"/>
      <c r="Q799" s="37"/>
      <c r="R799"/>
      <c r="S799"/>
      <c r="T799"/>
      <c r="U799"/>
      <c r="V799" s="39"/>
      <c r="W799"/>
      <c r="X799"/>
      <c r="Y799"/>
      <c r="Z799"/>
      <c r="AA799"/>
    </row>
    <row r="800" spans="1:27" x14ac:dyDescent="0.25">
      <c r="A800"/>
      <c r="B800" s="36"/>
      <c r="C800" s="36"/>
      <c r="D800"/>
      <c r="E800"/>
      <c r="F800"/>
      <c r="G800"/>
      <c r="H800"/>
      <c r="I800"/>
      <c r="J800"/>
      <c r="K800"/>
      <c r="L800"/>
      <c r="M800"/>
      <c r="N800"/>
      <c r="O800"/>
      <c r="P800" s="36"/>
      <c r="Q800" s="37"/>
      <c r="R800"/>
      <c r="S800"/>
      <c r="T800"/>
      <c r="U800"/>
      <c r="V800" s="39"/>
      <c r="W800"/>
      <c r="X800"/>
      <c r="Y800"/>
      <c r="Z800"/>
      <c r="AA800"/>
    </row>
    <row r="801" spans="1:27" x14ac:dyDescent="0.25">
      <c r="A801"/>
      <c r="B801" s="36"/>
      <c r="C801" s="36"/>
      <c r="D801"/>
      <c r="E801"/>
      <c r="F801"/>
      <c r="G801"/>
      <c r="H801"/>
      <c r="I801"/>
      <c r="J801"/>
      <c r="K801"/>
      <c r="L801"/>
      <c r="M801"/>
      <c r="N801"/>
      <c r="O801"/>
      <c r="P801" s="36"/>
      <c r="Q801" s="37"/>
      <c r="R801"/>
      <c r="S801"/>
      <c r="T801"/>
      <c r="U801"/>
      <c r="V801" s="39"/>
      <c r="W801"/>
      <c r="X801"/>
      <c r="Y801"/>
      <c r="Z801"/>
      <c r="AA801"/>
    </row>
    <row r="802" spans="1:27" x14ac:dyDescent="0.25">
      <c r="A802"/>
      <c r="B802" s="36"/>
      <c r="C802" s="36"/>
      <c r="D802"/>
      <c r="E802"/>
      <c r="F802"/>
      <c r="G802"/>
      <c r="H802"/>
      <c r="I802"/>
      <c r="J802"/>
      <c r="K802"/>
      <c r="L802"/>
      <c r="M802"/>
      <c r="N802"/>
      <c r="O802"/>
      <c r="P802" s="36"/>
      <c r="Q802" s="37"/>
      <c r="R802"/>
      <c r="S802"/>
      <c r="T802"/>
      <c r="U802"/>
      <c r="V802" s="39"/>
      <c r="W802"/>
      <c r="X802"/>
      <c r="Y802"/>
      <c r="Z802"/>
      <c r="AA802"/>
    </row>
    <row r="803" spans="1:27" x14ac:dyDescent="0.25">
      <c r="A803"/>
      <c r="B803" s="36"/>
      <c r="C803" s="36"/>
      <c r="D803"/>
      <c r="E803"/>
      <c r="F803"/>
      <c r="G803"/>
      <c r="H803"/>
      <c r="I803"/>
      <c r="J803"/>
      <c r="K803"/>
      <c r="L803"/>
      <c r="M803"/>
      <c r="N803"/>
      <c r="O803"/>
      <c r="P803" s="36"/>
      <c r="Q803" s="37"/>
      <c r="R803"/>
      <c r="S803"/>
      <c r="T803"/>
      <c r="U803"/>
      <c r="V803" s="39"/>
      <c r="W803"/>
      <c r="X803"/>
      <c r="Y803"/>
      <c r="Z803"/>
      <c r="AA803"/>
    </row>
    <row r="804" spans="1:27" x14ac:dyDescent="0.25">
      <c r="A804"/>
      <c r="B804" s="36"/>
      <c r="C804" s="36"/>
      <c r="D804"/>
      <c r="E804"/>
      <c r="F804"/>
      <c r="G804"/>
      <c r="H804"/>
      <c r="I804"/>
      <c r="J804"/>
      <c r="K804"/>
      <c r="L804"/>
      <c r="M804"/>
      <c r="N804"/>
      <c r="O804"/>
      <c r="P804" s="36"/>
      <c r="Q804" s="37"/>
      <c r="R804"/>
      <c r="S804"/>
      <c r="T804"/>
      <c r="U804"/>
      <c r="V804" s="39"/>
      <c r="W804"/>
      <c r="X804"/>
      <c r="Y804"/>
      <c r="Z804"/>
      <c r="AA804"/>
    </row>
    <row r="805" spans="1:27" x14ac:dyDescent="0.25">
      <c r="A805"/>
      <c r="B805" s="36"/>
      <c r="C805" s="36"/>
      <c r="D805"/>
      <c r="E805"/>
      <c r="F805"/>
      <c r="G805"/>
      <c r="H805"/>
      <c r="I805"/>
      <c r="J805"/>
      <c r="K805"/>
      <c r="L805"/>
      <c r="M805"/>
      <c r="N805"/>
      <c r="O805"/>
      <c r="P805" s="36"/>
      <c r="Q805" s="37"/>
      <c r="R805"/>
      <c r="S805"/>
      <c r="T805"/>
      <c r="U805"/>
      <c r="V805" s="39"/>
      <c r="W805"/>
      <c r="X805"/>
      <c r="Y805"/>
      <c r="Z805"/>
      <c r="AA805"/>
    </row>
    <row r="806" spans="1:27" x14ac:dyDescent="0.25">
      <c r="A806"/>
      <c r="B806" s="36"/>
      <c r="C806" s="36"/>
      <c r="D806"/>
      <c r="E806"/>
      <c r="F806"/>
      <c r="G806"/>
      <c r="H806"/>
      <c r="I806"/>
      <c r="J806"/>
      <c r="K806"/>
      <c r="L806"/>
      <c r="M806"/>
      <c r="N806"/>
      <c r="O806"/>
      <c r="P806" s="36"/>
      <c r="Q806" s="37"/>
      <c r="R806"/>
      <c r="S806"/>
      <c r="T806"/>
      <c r="U806"/>
      <c r="V806" s="39"/>
      <c r="W806"/>
      <c r="X806"/>
      <c r="Y806"/>
      <c r="Z806"/>
      <c r="AA806"/>
    </row>
    <row r="807" spans="1:27" x14ac:dyDescent="0.25">
      <c r="A807"/>
      <c r="B807" s="36"/>
      <c r="C807" s="36"/>
      <c r="D807"/>
      <c r="E807"/>
      <c r="F807"/>
      <c r="G807"/>
      <c r="H807"/>
      <c r="I807"/>
      <c r="J807"/>
      <c r="K807"/>
      <c r="L807"/>
      <c r="M807"/>
      <c r="N807"/>
      <c r="O807"/>
      <c r="P807" s="36"/>
      <c r="Q807" s="37"/>
      <c r="R807"/>
      <c r="S807"/>
      <c r="T807"/>
      <c r="U807"/>
      <c r="V807" s="39"/>
      <c r="W807"/>
      <c r="X807"/>
      <c r="Y807"/>
      <c r="Z807"/>
      <c r="AA807"/>
    </row>
    <row r="808" spans="1:27" x14ac:dyDescent="0.25">
      <c r="A808"/>
      <c r="B808" s="36"/>
      <c r="C808" s="36"/>
      <c r="D808"/>
      <c r="E808"/>
      <c r="F808"/>
      <c r="G808"/>
      <c r="H808"/>
      <c r="I808"/>
      <c r="J808"/>
      <c r="K808"/>
      <c r="L808"/>
      <c r="M808"/>
      <c r="N808"/>
      <c r="O808"/>
      <c r="P808" s="36"/>
      <c r="Q808" s="37"/>
      <c r="R808"/>
      <c r="S808"/>
      <c r="T808"/>
      <c r="U808"/>
      <c r="V808" s="39"/>
      <c r="W808"/>
      <c r="X808"/>
      <c r="Y808"/>
      <c r="Z808"/>
      <c r="AA808"/>
    </row>
    <row r="809" spans="1:27" x14ac:dyDescent="0.25">
      <c r="A809"/>
      <c r="B809" s="36"/>
      <c r="C809" s="36"/>
      <c r="D809"/>
      <c r="E809"/>
      <c r="F809"/>
      <c r="G809"/>
      <c r="H809"/>
      <c r="I809"/>
      <c r="J809"/>
      <c r="K809"/>
      <c r="L809"/>
      <c r="M809"/>
      <c r="N809"/>
      <c r="O809"/>
      <c r="P809" s="36"/>
      <c r="Q809" s="37"/>
      <c r="R809"/>
      <c r="S809"/>
      <c r="T809"/>
      <c r="U809"/>
      <c r="V809" s="39"/>
      <c r="W809"/>
      <c r="X809"/>
      <c r="Y809"/>
      <c r="Z809"/>
      <c r="AA809"/>
    </row>
    <row r="810" spans="1:27" x14ac:dyDescent="0.25">
      <c r="A810"/>
      <c r="B810" s="36"/>
      <c r="C810" s="36"/>
      <c r="D810"/>
      <c r="E810"/>
      <c r="F810"/>
      <c r="G810"/>
      <c r="H810"/>
      <c r="I810"/>
      <c r="J810"/>
      <c r="K810"/>
      <c r="L810"/>
      <c r="M810"/>
      <c r="N810"/>
      <c r="O810"/>
      <c r="P810" s="36"/>
      <c r="Q810" s="37"/>
      <c r="R810"/>
      <c r="S810"/>
      <c r="T810"/>
      <c r="U810"/>
      <c r="V810" s="39"/>
      <c r="W810"/>
      <c r="X810"/>
      <c r="Y810"/>
      <c r="Z810"/>
      <c r="AA810"/>
    </row>
    <row r="811" spans="1:27" x14ac:dyDescent="0.25">
      <c r="A811"/>
      <c r="B811" s="36"/>
      <c r="C811" s="36"/>
      <c r="D811"/>
      <c r="E811"/>
      <c r="F811"/>
      <c r="G811"/>
      <c r="H811"/>
      <c r="I811"/>
      <c r="J811"/>
      <c r="K811"/>
      <c r="L811"/>
      <c r="M811"/>
      <c r="N811"/>
      <c r="O811"/>
      <c r="P811" s="36"/>
      <c r="Q811" s="37"/>
      <c r="R811"/>
      <c r="S811"/>
      <c r="T811"/>
      <c r="U811"/>
      <c r="V811" s="39"/>
      <c r="W811"/>
      <c r="X811"/>
      <c r="Y811"/>
      <c r="Z811"/>
      <c r="AA811"/>
    </row>
    <row r="812" spans="1:27" x14ac:dyDescent="0.25">
      <c r="A812"/>
      <c r="B812" s="36"/>
      <c r="C812" s="36"/>
      <c r="D812"/>
      <c r="E812"/>
      <c r="F812"/>
      <c r="G812"/>
      <c r="H812"/>
      <c r="I812"/>
      <c r="J812"/>
      <c r="K812"/>
      <c r="L812"/>
      <c r="M812"/>
      <c r="N812"/>
      <c r="O812"/>
      <c r="P812" s="36"/>
      <c r="Q812" s="37"/>
      <c r="R812"/>
      <c r="S812"/>
      <c r="T812"/>
      <c r="U812"/>
      <c r="V812" s="39"/>
      <c r="W812"/>
      <c r="X812"/>
      <c r="Y812"/>
      <c r="Z812"/>
      <c r="AA812"/>
    </row>
    <row r="813" spans="1:27" x14ac:dyDescent="0.25">
      <c r="A813"/>
      <c r="B813" s="36"/>
      <c r="C813" s="36"/>
      <c r="D813"/>
      <c r="E813"/>
      <c r="F813"/>
      <c r="G813"/>
      <c r="H813"/>
      <c r="I813"/>
      <c r="J813"/>
      <c r="K813"/>
      <c r="L813"/>
      <c r="M813"/>
      <c r="N813"/>
      <c r="O813"/>
      <c r="P813" s="36"/>
      <c r="Q813" s="37"/>
      <c r="R813"/>
      <c r="S813"/>
      <c r="T813"/>
      <c r="U813"/>
      <c r="V813" s="39"/>
      <c r="W813"/>
      <c r="X813"/>
      <c r="Y813"/>
      <c r="Z813"/>
      <c r="AA813"/>
    </row>
    <row r="814" spans="1:27" x14ac:dyDescent="0.25">
      <c r="A814"/>
      <c r="B814" s="36"/>
      <c r="C814" s="36"/>
      <c r="D814"/>
      <c r="E814"/>
      <c r="F814"/>
      <c r="G814"/>
      <c r="H814"/>
      <c r="I814"/>
      <c r="J814"/>
      <c r="K814"/>
      <c r="L814"/>
      <c r="M814"/>
      <c r="N814"/>
      <c r="O814"/>
      <c r="P814" s="36"/>
      <c r="Q814" s="37"/>
      <c r="R814"/>
      <c r="S814"/>
      <c r="T814"/>
      <c r="U814"/>
      <c r="V814" s="39"/>
      <c r="W814"/>
      <c r="X814"/>
      <c r="Y814"/>
      <c r="Z814"/>
      <c r="AA814"/>
    </row>
    <row r="815" spans="1:27" x14ac:dyDescent="0.25">
      <c r="A815"/>
      <c r="B815" s="36"/>
      <c r="C815" s="36"/>
      <c r="D815"/>
      <c r="E815"/>
      <c r="F815"/>
      <c r="G815"/>
      <c r="H815"/>
      <c r="I815"/>
      <c r="J815"/>
      <c r="K815"/>
      <c r="L815"/>
      <c r="M815"/>
      <c r="N815"/>
      <c r="O815"/>
      <c r="P815" s="36"/>
      <c r="Q815" s="37"/>
      <c r="R815"/>
      <c r="S815"/>
      <c r="T815"/>
      <c r="U815"/>
      <c r="V815" s="39"/>
      <c r="W815"/>
      <c r="X815"/>
      <c r="Y815"/>
      <c r="Z815"/>
      <c r="AA815"/>
    </row>
    <row r="816" spans="1:27" x14ac:dyDescent="0.25">
      <c r="A816"/>
      <c r="B816" s="36"/>
      <c r="C816" s="36"/>
      <c r="D816"/>
      <c r="E816"/>
      <c r="F816"/>
      <c r="G816"/>
      <c r="H816"/>
      <c r="I816"/>
      <c r="J816"/>
      <c r="K816"/>
      <c r="L816"/>
      <c r="M816"/>
      <c r="N816"/>
      <c r="O816"/>
      <c r="P816" s="36"/>
      <c r="Q816" s="37"/>
      <c r="R816"/>
      <c r="S816"/>
      <c r="T816"/>
      <c r="U816"/>
      <c r="V816" s="39"/>
      <c r="W816"/>
      <c r="X816"/>
      <c r="Y816"/>
      <c r="Z816"/>
      <c r="AA816"/>
    </row>
    <row r="817" spans="1:27" x14ac:dyDescent="0.25">
      <c r="A817"/>
      <c r="B817" s="36"/>
      <c r="C817" s="36"/>
      <c r="D817"/>
      <c r="E817"/>
      <c r="F817"/>
      <c r="G817"/>
      <c r="H817"/>
      <c r="I817"/>
      <c r="J817"/>
      <c r="K817"/>
      <c r="L817"/>
      <c r="M817"/>
      <c r="N817"/>
      <c r="O817"/>
      <c r="P817" s="36"/>
      <c r="Q817" s="37"/>
      <c r="R817"/>
      <c r="S817"/>
      <c r="T817"/>
      <c r="U817"/>
      <c r="V817" s="39"/>
      <c r="W817"/>
      <c r="X817"/>
      <c r="Y817"/>
      <c r="Z817"/>
      <c r="AA817"/>
    </row>
    <row r="818" spans="1:27" x14ac:dyDescent="0.25">
      <c r="A818"/>
      <c r="B818" s="36"/>
      <c r="C818" s="36"/>
      <c r="D818"/>
      <c r="E818"/>
      <c r="F818"/>
      <c r="G818"/>
      <c r="H818"/>
      <c r="I818"/>
      <c r="J818"/>
      <c r="K818"/>
      <c r="L818"/>
      <c r="M818"/>
      <c r="N818"/>
      <c r="O818"/>
      <c r="P818" s="36"/>
      <c r="Q818" s="37"/>
      <c r="R818"/>
      <c r="S818"/>
      <c r="T818"/>
      <c r="U818"/>
      <c r="V818" s="39"/>
      <c r="W818"/>
      <c r="X818"/>
      <c r="Y818"/>
      <c r="Z818"/>
      <c r="AA818"/>
    </row>
    <row r="819" spans="1:27" x14ac:dyDescent="0.25">
      <c r="A819"/>
      <c r="B819" s="36"/>
      <c r="C819" s="36"/>
      <c r="D819"/>
      <c r="E819"/>
      <c r="F819"/>
      <c r="G819"/>
      <c r="H819"/>
      <c r="I819"/>
      <c r="J819"/>
      <c r="K819"/>
      <c r="L819"/>
      <c r="M819"/>
      <c r="N819"/>
      <c r="O819"/>
      <c r="P819" s="36"/>
      <c r="Q819" s="37"/>
      <c r="R819"/>
      <c r="S819"/>
      <c r="T819"/>
      <c r="U819"/>
      <c r="V819" s="39"/>
      <c r="W819"/>
      <c r="X819"/>
      <c r="Y819"/>
      <c r="Z819"/>
      <c r="AA819"/>
    </row>
    <row r="820" spans="1:27" x14ac:dyDescent="0.25">
      <c r="A820"/>
      <c r="B820" s="36"/>
      <c r="C820" s="36"/>
      <c r="D820"/>
      <c r="E820"/>
      <c r="F820"/>
      <c r="G820"/>
      <c r="H820"/>
      <c r="I820"/>
      <c r="J820"/>
      <c r="K820"/>
      <c r="L820"/>
      <c r="M820"/>
      <c r="N820"/>
      <c r="O820"/>
      <c r="P820" s="36"/>
      <c r="Q820" s="37"/>
      <c r="R820"/>
      <c r="S820"/>
      <c r="T820"/>
      <c r="U820"/>
      <c r="V820" s="39"/>
      <c r="W820"/>
      <c r="X820"/>
      <c r="Y820"/>
      <c r="Z820"/>
      <c r="AA820"/>
    </row>
    <row r="821" spans="1:27" x14ac:dyDescent="0.25">
      <c r="A821"/>
      <c r="B821" s="36"/>
      <c r="C821" s="36"/>
      <c r="D821"/>
      <c r="E821"/>
      <c r="F821"/>
      <c r="G821"/>
      <c r="H821"/>
      <c r="I821"/>
      <c r="J821"/>
      <c r="K821"/>
      <c r="L821"/>
      <c r="M821"/>
      <c r="N821"/>
      <c r="O821"/>
      <c r="P821" s="36"/>
      <c r="Q821" s="37"/>
      <c r="R821"/>
      <c r="S821"/>
      <c r="T821"/>
      <c r="U821"/>
      <c r="V821" s="39"/>
      <c r="W821"/>
      <c r="X821"/>
      <c r="Y821"/>
      <c r="Z821"/>
      <c r="AA821"/>
    </row>
    <row r="822" spans="1:27" x14ac:dyDescent="0.25">
      <c r="A822"/>
      <c r="B822" s="36"/>
      <c r="C822" s="36"/>
      <c r="D822"/>
      <c r="E822"/>
      <c r="F822"/>
      <c r="G822"/>
      <c r="H822"/>
      <c r="I822"/>
      <c r="J822"/>
      <c r="K822"/>
      <c r="L822"/>
      <c r="M822"/>
      <c r="N822"/>
      <c r="O822"/>
      <c r="P822" s="36"/>
      <c r="Q822" s="37"/>
      <c r="R822"/>
      <c r="S822"/>
      <c r="T822"/>
      <c r="U822"/>
      <c r="V822" s="39"/>
      <c r="W822"/>
      <c r="X822"/>
      <c r="Y822"/>
      <c r="Z822"/>
      <c r="AA822"/>
    </row>
    <row r="823" spans="1:27" x14ac:dyDescent="0.25">
      <c r="A823"/>
      <c r="B823" s="36"/>
      <c r="C823" s="36"/>
      <c r="D823"/>
      <c r="E823"/>
      <c r="F823"/>
      <c r="G823"/>
      <c r="H823"/>
      <c r="I823"/>
      <c r="J823"/>
      <c r="K823"/>
      <c r="L823"/>
      <c r="M823"/>
      <c r="N823"/>
      <c r="O823"/>
      <c r="P823" s="36"/>
      <c r="Q823" s="37"/>
      <c r="R823"/>
      <c r="S823"/>
      <c r="T823"/>
      <c r="U823"/>
      <c r="V823" s="39"/>
      <c r="W823"/>
      <c r="X823"/>
      <c r="Y823"/>
      <c r="Z823"/>
      <c r="AA823"/>
    </row>
    <row r="824" spans="1:27" x14ac:dyDescent="0.25">
      <c r="A824"/>
      <c r="B824" s="36"/>
      <c r="C824" s="36"/>
      <c r="D824"/>
      <c r="E824"/>
      <c r="F824"/>
      <c r="G824"/>
      <c r="H824"/>
      <c r="I824"/>
      <c r="J824"/>
      <c r="K824"/>
      <c r="L824"/>
      <c r="M824"/>
      <c r="N824"/>
      <c r="O824"/>
      <c r="P824" s="36"/>
      <c r="Q824" s="37"/>
      <c r="R824"/>
      <c r="S824"/>
      <c r="T824"/>
      <c r="U824"/>
      <c r="V824" s="39"/>
      <c r="W824"/>
      <c r="X824"/>
      <c r="Y824"/>
      <c r="Z824"/>
      <c r="AA824"/>
    </row>
    <row r="825" spans="1:27" x14ac:dyDescent="0.25">
      <c r="A825"/>
      <c r="B825" s="36"/>
      <c r="C825" s="36"/>
      <c r="D825"/>
      <c r="E825"/>
      <c r="F825"/>
      <c r="G825"/>
      <c r="H825"/>
      <c r="I825"/>
      <c r="J825"/>
      <c r="K825"/>
      <c r="L825"/>
      <c r="M825"/>
      <c r="N825"/>
      <c r="O825"/>
      <c r="P825" s="36"/>
      <c r="Q825" s="37"/>
      <c r="R825"/>
      <c r="S825"/>
      <c r="T825"/>
      <c r="U825"/>
      <c r="V825" s="39"/>
      <c r="W825"/>
      <c r="X825"/>
      <c r="Y825"/>
      <c r="Z825"/>
      <c r="AA825"/>
    </row>
    <row r="826" spans="1:27" x14ac:dyDescent="0.25">
      <c r="A826"/>
      <c r="B826" s="36"/>
      <c r="C826" s="36"/>
      <c r="D826"/>
      <c r="E826"/>
      <c r="F826"/>
      <c r="G826"/>
      <c r="H826"/>
      <c r="I826"/>
      <c r="J826"/>
      <c r="K826"/>
      <c r="L826"/>
      <c r="M826"/>
      <c r="N826"/>
      <c r="O826"/>
      <c r="P826" s="36"/>
      <c r="Q826" s="37"/>
      <c r="R826" s="44"/>
      <c r="S826"/>
      <c r="T826"/>
      <c r="U826"/>
      <c r="V826" s="39"/>
      <c r="W826"/>
      <c r="X826"/>
      <c r="Y826"/>
      <c r="Z826"/>
      <c r="AA826"/>
    </row>
    <row r="827" spans="1:27" x14ac:dyDescent="0.25">
      <c r="A827"/>
      <c r="B827" s="36"/>
      <c r="C827" s="36"/>
      <c r="D827"/>
      <c r="E827"/>
      <c r="F827"/>
      <c r="G827"/>
      <c r="H827"/>
      <c r="I827"/>
      <c r="J827"/>
      <c r="K827"/>
      <c r="L827"/>
      <c r="M827"/>
      <c r="N827"/>
      <c r="O827"/>
      <c r="P827" s="36"/>
      <c r="Q827" s="37"/>
      <c r="R827"/>
      <c r="S827"/>
      <c r="T827"/>
      <c r="U827"/>
      <c r="V827" s="39"/>
      <c r="W827"/>
      <c r="X827"/>
      <c r="Y827"/>
      <c r="Z827"/>
      <c r="AA827"/>
    </row>
    <row r="828" spans="1:27" x14ac:dyDescent="0.25">
      <c r="A828"/>
      <c r="B828" s="36"/>
      <c r="C828" s="36"/>
      <c r="D828"/>
      <c r="E828"/>
      <c r="F828"/>
      <c r="G828"/>
      <c r="H828"/>
      <c r="I828"/>
      <c r="J828"/>
      <c r="K828"/>
      <c r="L828"/>
      <c r="M828"/>
      <c r="N828"/>
      <c r="O828"/>
      <c r="P828" s="36"/>
      <c r="Q828" s="37"/>
      <c r="R828"/>
      <c r="S828"/>
      <c r="T828"/>
      <c r="U828"/>
      <c r="V828" s="39"/>
      <c r="W828"/>
      <c r="X828"/>
      <c r="Y828"/>
      <c r="Z828"/>
      <c r="AA828"/>
    </row>
    <row r="829" spans="1:27" x14ac:dyDescent="0.25">
      <c r="A829"/>
      <c r="B829" s="36"/>
      <c r="C829" s="36"/>
      <c r="D829"/>
      <c r="E829"/>
      <c r="F829"/>
      <c r="G829"/>
      <c r="H829"/>
      <c r="I829"/>
      <c r="J829"/>
      <c r="K829"/>
      <c r="L829"/>
      <c r="M829"/>
      <c r="N829"/>
      <c r="O829"/>
      <c r="P829" s="36"/>
      <c r="Q829" s="37"/>
      <c r="R829"/>
      <c r="S829"/>
      <c r="T829"/>
      <c r="U829"/>
      <c r="V829" s="39"/>
      <c r="W829"/>
      <c r="X829"/>
      <c r="Y829"/>
      <c r="Z829"/>
      <c r="AA829"/>
    </row>
    <row r="830" spans="1:27" x14ac:dyDescent="0.25">
      <c r="A830"/>
      <c r="B830" s="36"/>
      <c r="C830" s="36"/>
      <c r="D830"/>
      <c r="E830"/>
      <c r="F830"/>
      <c r="G830"/>
      <c r="H830"/>
      <c r="I830"/>
      <c r="J830"/>
      <c r="K830"/>
      <c r="L830"/>
      <c r="M830"/>
      <c r="N830"/>
      <c r="O830"/>
      <c r="P830" s="36"/>
      <c r="Q830" s="37"/>
      <c r="R830"/>
      <c r="S830"/>
      <c r="T830"/>
      <c r="U830"/>
      <c r="V830" s="39"/>
      <c r="W830"/>
      <c r="X830"/>
      <c r="Y830"/>
      <c r="Z830"/>
      <c r="AA830"/>
    </row>
    <row r="831" spans="1:27" x14ac:dyDescent="0.25">
      <c r="A831"/>
      <c r="B831" s="36"/>
      <c r="C831" s="36"/>
      <c r="D831"/>
      <c r="E831"/>
      <c r="F831"/>
      <c r="G831"/>
      <c r="H831"/>
      <c r="I831"/>
      <c r="J831"/>
      <c r="K831"/>
      <c r="L831"/>
      <c r="M831"/>
      <c r="N831"/>
      <c r="O831"/>
      <c r="P831" s="36"/>
      <c r="Q831" s="37"/>
      <c r="R831"/>
      <c r="S831"/>
      <c r="T831"/>
      <c r="U831"/>
      <c r="V831" s="39"/>
      <c r="W831"/>
      <c r="X831"/>
      <c r="Y831"/>
      <c r="Z831"/>
      <c r="AA831"/>
    </row>
    <row r="832" spans="1:27" x14ac:dyDescent="0.25">
      <c r="A832"/>
      <c r="B832" s="36"/>
      <c r="C832" s="36"/>
      <c r="D832"/>
      <c r="E832"/>
      <c r="F832"/>
      <c r="G832"/>
      <c r="H832"/>
      <c r="I832"/>
      <c r="J832"/>
      <c r="K832"/>
      <c r="L832"/>
      <c r="M832"/>
      <c r="N832"/>
      <c r="O832"/>
      <c r="P832" s="36"/>
      <c r="Q832" s="37"/>
      <c r="R832"/>
      <c r="S832"/>
      <c r="T832"/>
      <c r="U832"/>
      <c r="V832" s="39"/>
      <c r="W832"/>
      <c r="X832"/>
      <c r="Y832"/>
      <c r="Z832"/>
      <c r="AA832"/>
    </row>
    <row r="833" spans="1:27" x14ac:dyDescent="0.25">
      <c r="A833"/>
      <c r="B833" s="36"/>
      <c r="C833" s="36"/>
      <c r="D833"/>
      <c r="E833"/>
      <c r="F833"/>
      <c r="G833"/>
      <c r="H833"/>
      <c r="I833"/>
      <c r="J833"/>
      <c r="K833"/>
      <c r="L833"/>
      <c r="M833"/>
      <c r="N833"/>
      <c r="O833"/>
      <c r="P833" s="36"/>
      <c r="Q833" s="37"/>
      <c r="R833"/>
      <c r="S833"/>
      <c r="T833"/>
      <c r="U833"/>
      <c r="V833" s="39"/>
      <c r="W833"/>
      <c r="X833"/>
      <c r="Y833"/>
      <c r="Z833"/>
      <c r="AA833"/>
    </row>
    <row r="834" spans="1:27" x14ac:dyDescent="0.25">
      <c r="A834"/>
      <c r="B834" s="36"/>
      <c r="C834" s="36"/>
      <c r="D834"/>
      <c r="E834"/>
      <c r="F834"/>
      <c r="G834"/>
      <c r="H834"/>
      <c r="I834"/>
      <c r="J834"/>
      <c r="K834"/>
      <c r="L834"/>
      <c r="M834"/>
      <c r="N834"/>
      <c r="O834"/>
      <c r="P834" s="36"/>
      <c r="Q834" s="37"/>
      <c r="R834"/>
      <c r="S834"/>
      <c r="T834"/>
      <c r="U834"/>
      <c r="V834" s="39"/>
      <c r="W834"/>
      <c r="X834"/>
      <c r="Y834"/>
      <c r="Z834"/>
      <c r="AA834"/>
    </row>
    <row r="835" spans="1:27" x14ac:dyDescent="0.25">
      <c r="A835"/>
      <c r="B835" s="36"/>
      <c r="C835" s="36"/>
      <c r="D835"/>
      <c r="E835"/>
      <c r="F835"/>
      <c r="G835"/>
      <c r="H835"/>
      <c r="I835"/>
      <c r="J835"/>
      <c r="K835"/>
      <c r="L835"/>
      <c r="M835"/>
      <c r="N835"/>
      <c r="O835"/>
      <c r="P835" s="36"/>
      <c r="Q835" s="37"/>
      <c r="R835"/>
      <c r="S835"/>
      <c r="T835"/>
      <c r="U835"/>
      <c r="V835" s="39"/>
      <c r="W835"/>
      <c r="X835"/>
      <c r="Y835"/>
      <c r="Z835"/>
      <c r="AA835"/>
    </row>
    <row r="836" spans="1:27" x14ac:dyDescent="0.25">
      <c r="A836"/>
      <c r="B836" s="36"/>
      <c r="C836" s="36"/>
      <c r="D836"/>
      <c r="E836"/>
      <c r="F836"/>
      <c r="G836"/>
      <c r="H836"/>
      <c r="I836"/>
      <c r="J836"/>
      <c r="K836"/>
      <c r="L836"/>
      <c r="M836"/>
      <c r="N836"/>
      <c r="O836"/>
      <c r="P836" s="36"/>
      <c r="Q836" s="37"/>
      <c r="R836"/>
      <c r="S836"/>
      <c r="T836"/>
      <c r="U836"/>
      <c r="V836" s="39"/>
      <c r="W836"/>
      <c r="X836"/>
      <c r="Y836"/>
      <c r="Z836"/>
      <c r="AA836"/>
    </row>
    <row r="837" spans="1:27" x14ac:dyDescent="0.25">
      <c r="A837"/>
      <c r="B837" s="36"/>
      <c r="C837" s="36"/>
      <c r="D837"/>
      <c r="E837"/>
      <c r="F837"/>
      <c r="G837"/>
      <c r="H837"/>
      <c r="I837"/>
      <c r="J837"/>
      <c r="K837"/>
      <c r="L837"/>
      <c r="M837"/>
      <c r="N837"/>
      <c r="O837"/>
      <c r="P837" s="36"/>
      <c r="Q837" s="37"/>
      <c r="R837"/>
      <c r="S837"/>
      <c r="T837"/>
      <c r="U837"/>
      <c r="V837" s="39"/>
      <c r="W837"/>
      <c r="X837"/>
      <c r="Y837"/>
      <c r="Z837"/>
      <c r="AA837"/>
    </row>
    <row r="838" spans="1:27" x14ac:dyDescent="0.25">
      <c r="A838"/>
      <c r="B838" s="36"/>
      <c r="C838" s="36"/>
      <c r="D838"/>
      <c r="E838"/>
      <c r="F838"/>
      <c r="G838"/>
      <c r="H838"/>
      <c r="I838"/>
      <c r="J838"/>
      <c r="K838"/>
      <c r="L838"/>
      <c r="M838"/>
      <c r="N838"/>
      <c r="O838"/>
      <c r="P838" s="36"/>
      <c r="Q838" s="37"/>
      <c r="R838"/>
      <c r="S838"/>
      <c r="T838"/>
      <c r="U838"/>
      <c r="V838" s="39"/>
      <c r="W838"/>
      <c r="X838"/>
      <c r="Y838"/>
      <c r="Z838"/>
      <c r="AA838"/>
    </row>
    <row r="839" spans="1:27" x14ac:dyDescent="0.25">
      <c r="A839"/>
      <c r="B839" s="36"/>
      <c r="C839" s="36"/>
      <c r="D839"/>
      <c r="E839"/>
      <c r="F839"/>
      <c r="G839"/>
      <c r="H839"/>
      <c r="I839"/>
      <c r="J839"/>
      <c r="K839"/>
      <c r="L839"/>
      <c r="M839"/>
      <c r="N839"/>
      <c r="O839"/>
      <c r="P839" s="36"/>
      <c r="Q839" s="37"/>
      <c r="R839"/>
      <c r="S839"/>
      <c r="T839"/>
      <c r="U839"/>
      <c r="V839" s="39"/>
      <c r="W839"/>
      <c r="X839"/>
      <c r="Y839"/>
      <c r="Z839"/>
      <c r="AA839"/>
    </row>
    <row r="840" spans="1:27" x14ac:dyDescent="0.25">
      <c r="A840"/>
      <c r="B840" s="36"/>
      <c r="C840" s="36"/>
      <c r="D840"/>
      <c r="E840"/>
      <c r="F840"/>
      <c r="G840"/>
      <c r="H840"/>
      <c r="I840"/>
      <c r="J840"/>
      <c r="K840"/>
      <c r="L840"/>
      <c r="M840"/>
      <c r="N840"/>
      <c r="O840"/>
      <c r="P840" s="36"/>
      <c r="Q840" s="37"/>
      <c r="R840"/>
      <c r="S840"/>
      <c r="T840"/>
      <c r="U840"/>
      <c r="V840" s="39"/>
      <c r="W840"/>
      <c r="X840"/>
      <c r="Y840"/>
      <c r="Z840"/>
      <c r="AA840"/>
    </row>
    <row r="841" spans="1:27" x14ac:dyDescent="0.25">
      <c r="A841"/>
      <c r="B841" s="36"/>
      <c r="C841" s="36"/>
      <c r="D841"/>
      <c r="E841"/>
      <c r="F841"/>
      <c r="G841"/>
      <c r="H841"/>
      <c r="I841"/>
      <c r="J841"/>
      <c r="K841"/>
      <c r="L841"/>
      <c r="M841"/>
      <c r="N841"/>
      <c r="O841"/>
      <c r="P841" s="36"/>
      <c r="Q841" s="37"/>
      <c r="R841"/>
      <c r="S841"/>
      <c r="T841"/>
      <c r="U841"/>
      <c r="V841" s="39"/>
      <c r="W841"/>
      <c r="X841"/>
      <c r="Y841"/>
      <c r="Z841"/>
      <c r="AA841"/>
    </row>
    <row r="842" spans="1:27" x14ac:dyDescent="0.25">
      <c r="A842"/>
      <c r="B842" s="36"/>
      <c r="C842" s="36"/>
      <c r="D842"/>
      <c r="E842"/>
      <c r="F842"/>
      <c r="G842"/>
      <c r="H842"/>
      <c r="I842"/>
      <c r="J842"/>
      <c r="K842"/>
      <c r="L842"/>
      <c r="M842"/>
      <c r="N842"/>
      <c r="O842"/>
      <c r="P842" s="36"/>
      <c r="Q842" s="37"/>
      <c r="R842"/>
      <c r="S842"/>
      <c r="T842"/>
      <c r="U842"/>
      <c r="V842" s="39"/>
      <c r="W842"/>
      <c r="X842"/>
      <c r="Y842"/>
      <c r="Z842"/>
      <c r="AA842"/>
    </row>
    <row r="843" spans="1:27" x14ac:dyDescent="0.25">
      <c r="A843"/>
      <c r="B843" s="36"/>
      <c r="C843" s="36"/>
      <c r="D843"/>
      <c r="E843"/>
      <c r="F843"/>
      <c r="G843"/>
      <c r="H843"/>
      <c r="I843"/>
      <c r="J843"/>
      <c r="K843"/>
      <c r="L843"/>
      <c r="M843"/>
      <c r="N843"/>
      <c r="O843"/>
      <c r="P843" s="36"/>
      <c r="Q843" s="37"/>
      <c r="R843"/>
      <c r="S843"/>
      <c r="T843"/>
      <c r="U843"/>
      <c r="V843" s="39"/>
      <c r="W843"/>
      <c r="X843"/>
      <c r="Y843"/>
      <c r="Z843"/>
      <c r="AA843"/>
    </row>
    <row r="844" spans="1:27" x14ac:dyDescent="0.25">
      <c r="A844"/>
      <c r="B844" s="36"/>
      <c r="C844" s="36"/>
      <c r="D844"/>
      <c r="E844"/>
      <c r="F844"/>
      <c r="G844"/>
      <c r="H844"/>
      <c r="I844"/>
      <c r="J844"/>
      <c r="K844"/>
      <c r="L844"/>
      <c r="M844"/>
      <c r="N844"/>
      <c r="O844"/>
      <c r="P844" s="36"/>
      <c r="Q844" s="37"/>
      <c r="R844"/>
      <c r="S844"/>
      <c r="T844"/>
      <c r="U844"/>
      <c r="V844" s="39"/>
      <c r="W844"/>
      <c r="X844"/>
      <c r="Y844"/>
      <c r="Z844"/>
      <c r="AA844"/>
    </row>
    <row r="845" spans="1:27" x14ac:dyDescent="0.25">
      <c r="A845"/>
      <c r="B845" s="36"/>
      <c r="C845" s="36"/>
      <c r="D845"/>
      <c r="E845"/>
      <c r="F845"/>
      <c r="G845"/>
      <c r="H845"/>
      <c r="I845"/>
      <c r="J845"/>
      <c r="K845"/>
      <c r="L845"/>
      <c r="M845"/>
      <c r="N845"/>
      <c r="O845"/>
      <c r="P845" s="36"/>
      <c r="Q845" s="37"/>
      <c r="R845"/>
      <c r="S845"/>
      <c r="T845"/>
      <c r="U845"/>
      <c r="V845" s="39"/>
      <c r="W845"/>
      <c r="X845"/>
      <c r="Y845"/>
      <c r="Z845"/>
      <c r="AA845"/>
    </row>
    <row r="846" spans="1:27" x14ac:dyDescent="0.25">
      <c r="A846"/>
      <c r="B846" s="36"/>
      <c r="C846" s="36"/>
      <c r="D846"/>
      <c r="E846"/>
      <c r="F846"/>
      <c r="G846"/>
      <c r="H846"/>
      <c r="I846"/>
      <c r="J846"/>
      <c r="K846"/>
      <c r="L846"/>
      <c r="M846"/>
      <c r="N846"/>
      <c r="O846"/>
      <c r="P846" s="36"/>
      <c r="Q846" s="37"/>
      <c r="R846"/>
      <c r="S846"/>
      <c r="T846"/>
      <c r="U846"/>
      <c r="V846" s="39"/>
      <c r="W846"/>
      <c r="X846"/>
      <c r="Y846"/>
      <c r="Z846"/>
      <c r="AA846"/>
    </row>
    <row r="847" spans="1:27" x14ac:dyDescent="0.25">
      <c r="A847"/>
      <c r="B847" s="36"/>
      <c r="C847" s="36"/>
      <c r="D847"/>
      <c r="E847"/>
      <c r="F847"/>
      <c r="G847"/>
      <c r="H847"/>
      <c r="I847"/>
      <c r="J847"/>
      <c r="K847"/>
      <c r="L847"/>
      <c r="M847"/>
      <c r="N847"/>
      <c r="O847"/>
      <c r="P847" s="36"/>
      <c r="Q847" s="37"/>
      <c r="R847"/>
      <c r="S847"/>
      <c r="T847"/>
      <c r="U847"/>
      <c r="V847" s="39"/>
      <c r="W847"/>
      <c r="X847"/>
      <c r="Y847"/>
      <c r="Z847"/>
      <c r="AA847"/>
    </row>
    <row r="848" spans="1:27" x14ac:dyDescent="0.25">
      <c r="A848"/>
      <c r="B848" s="36"/>
      <c r="C848" s="36"/>
      <c r="D848"/>
      <c r="E848"/>
      <c r="F848"/>
      <c r="G848"/>
      <c r="H848"/>
      <c r="I848"/>
      <c r="J848"/>
      <c r="K848"/>
      <c r="L848"/>
      <c r="M848"/>
      <c r="N848"/>
      <c r="O848"/>
      <c r="P848" s="36"/>
      <c r="Q848" s="37"/>
      <c r="R848"/>
      <c r="S848"/>
      <c r="T848"/>
      <c r="U848"/>
      <c r="V848" s="39"/>
      <c r="W848"/>
      <c r="X848"/>
      <c r="Y848"/>
      <c r="Z848"/>
      <c r="AA848"/>
    </row>
    <row r="849" spans="1:27" x14ac:dyDescent="0.25">
      <c r="A849"/>
      <c r="B849" s="36"/>
      <c r="C849" s="36"/>
      <c r="D849"/>
      <c r="E849"/>
      <c r="F849"/>
      <c r="G849"/>
      <c r="H849"/>
      <c r="I849"/>
      <c r="J849"/>
      <c r="K849"/>
      <c r="L849"/>
      <c r="M849"/>
      <c r="N849"/>
      <c r="O849"/>
      <c r="P849" s="36"/>
      <c r="Q849" s="37"/>
      <c r="R849"/>
      <c r="S849"/>
      <c r="T849"/>
      <c r="U849"/>
      <c r="V849" s="39"/>
      <c r="W849"/>
      <c r="X849"/>
      <c r="Y849"/>
      <c r="Z849"/>
      <c r="AA849"/>
    </row>
    <row r="850" spans="1:27" x14ac:dyDescent="0.25">
      <c r="A850"/>
      <c r="B850" s="36"/>
      <c r="C850" s="36"/>
      <c r="D850"/>
      <c r="E850"/>
      <c r="F850"/>
      <c r="G850"/>
      <c r="H850"/>
      <c r="I850"/>
      <c r="J850"/>
      <c r="K850"/>
      <c r="L850"/>
      <c r="M850"/>
      <c r="N850"/>
      <c r="O850"/>
      <c r="P850" s="36"/>
      <c r="Q850" s="37"/>
      <c r="R850"/>
      <c r="S850"/>
      <c r="T850"/>
      <c r="U850"/>
      <c r="V850" s="39"/>
      <c r="W850"/>
      <c r="X850"/>
      <c r="Y850"/>
      <c r="Z850"/>
      <c r="AA850"/>
    </row>
    <row r="851" spans="1:27" x14ac:dyDescent="0.25">
      <c r="A851"/>
      <c r="B851" s="36"/>
      <c r="C851" s="36"/>
      <c r="D851"/>
      <c r="E851"/>
      <c r="F851"/>
      <c r="G851"/>
      <c r="H851"/>
      <c r="I851"/>
      <c r="J851"/>
      <c r="K851"/>
      <c r="L851"/>
      <c r="M851"/>
      <c r="N851"/>
      <c r="O851"/>
      <c r="P851" s="36"/>
      <c r="Q851" s="37"/>
      <c r="R851"/>
      <c r="S851"/>
      <c r="T851"/>
      <c r="U851"/>
      <c r="V851" s="39"/>
      <c r="W851"/>
      <c r="X851"/>
      <c r="Y851"/>
      <c r="Z851"/>
      <c r="AA851"/>
    </row>
    <row r="852" spans="1:27" x14ac:dyDescent="0.25">
      <c r="A852"/>
      <c r="B852" s="36"/>
      <c r="C852" s="36"/>
      <c r="D852"/>
      <c r="E852"/>
      <c r="F852"/>
      <c r="G852"/>
      <c r="H852"/>
      <c r="I852"/>
      <c r="J852"/>
      <c r="K852"/>
      <c r="L852"/>
      <c r="M852"/>
      <c r="N852"/>
      <c r="O852"/>
      <c r="P852" s="36"/>
      <c r="Q852" s="37"/>
      <c r="R852"/>
      <c r="S852"/>
      <c r="T852"/>
      <c r="U852"/>
      <c r="V852" s="39"/>
      <c r="W852"/>
      <c r="X852"/>
      <c r="Y852"/>
      <c r="Z852"/>
      <c r="AA852"/>
    </row>
    <row r="853" spans="1:27" x14ac:dyDescent="0.25">
      <c r="A853"/>
      <c r="B853" s="36"/>
      <c r="C853" s="36"/>
      <c r="D853"/>
      <c r="E853"/>
      <c r="F853"/>
      <c r="G853"/>
      <c r="H853"/>
      <c r="I853"/>
      <c r="J853"/>
      <c r="K853"/>
      <c r="L853"/>
      <c r="M853"/>
      <c r="N853"/>
      <c r="O853"/>
      <c r="P853" s="36"/>
      <c r="Q853" s="37"/>
      <c r="R853"/>
      <c r="S853"/>
      <c r="T853"/>
      <c r="U853"/>
      <c r="V853" s="39"/>
      <c r="W853"/>
      <c r="X853"/>
      <c r="Y853"/>
      <c r="Z853"/>
      <c r="AA853"/>
    </row>
    <row r="854" spans="1:27" x14ac:dyDescent="0.25">
      <c r="A854"/>
      <c r="B854" s="36"/>
      <c r="C854" s="36"/>
      <c r="D854"/>
      <c r="E854"/>
      <c r="F854"/>
      <c r="G854"/>
      <c r="H854"/>
      <c r="I854"/>
      <c r="J854"/>
      <c r="K854"/>
      <c r="L854"/>
      <c r="M854"/>
      <c r="N854"/>
      <c r="O854"/>
      <c r="P854" s="36"/>
      <c r="Q854" s="37"/>
      <c r="R854"/>
      <c r="S854"/>
      <c r="T854"/>
      <c r="U854"/>
      <c r="V854" s="39"/>
      <c r="W854"/>
      <c r="X854"/>
      <c r="Y854"/>
      <c r="Z854"/>
      <c r="AA854"/>
    </row>
    <row r="855" spans="1:27" x14ac:dyDescent="0.25">
      <c r="A855"/>
      <c r="B855" s="36"/>
      <c r="C855" s="36"/>
      <c r="D855"/>
      <c r="E855"/>
      <c r="F855"/>
      <c r="G855"/>
      <c r="H855"/>
      <c r="I855"/>
      <c r="J855"/>
      <c r="K855"/>
      <c r="L855"/>
      <c r="M855"/>
      <c r="N855"/>
      <c r="O855"/>
      <c r="P855" s="36"/>
      <c r="Q855" s="37"/>
      <c r="R855"/>
      <c r="S855"/>
      <c r="T855"/>
      <c r="U855"/>
      <c r="V855" s="39"/>
      <c r="W855"/>
      <c r="X855"/>
      <c r="Y855"/>
      <c r="Z855"/>
      <c r="AA855"/>
    </row>
    <row r="856" spans="1:27" x14ac:dyDescent="0.25">
      <c r="A856"/>
      <c r="B856" s="36"/>
      <c r="C856" s="36"/>
      <c r="D856"/>
      <c r="E856"/>
      <c r="F856"/>
      <c r="G856"/>
      <c r="H856"/>
      <c r="I856"/>
      <c r="J856"/>
      <c r="K856"/>
      <c r="L856"/>
      <c r="M856"/>
      <c r="N856"/>
      <c r="O856"/>
      <c r="P856" s="36"/>
      <c r="Q856" s="37"/>
      <c r="R856"/>
      <c r="S856"/>
      <c r="T856"/>
      <c r="U856"/>
      <c r="V856" s="39"/>
      <c r="W856"/>
      <c r="X856"/>
      <c r="Y856"/>
      <c r="Z856"/>
      <c r="AA856"/>
    </row>
    <row r="857" spans="1:27" x14ac:dyDescent="0.25">
      <c r="A857"/>
      <c r="B857" s="36"/>
      <c r="C857" s="36"/>
      <c r="D857"/>
      <c r="E857"/>
      <c r="F857"/>
      <c r="G857"/>
      <c r="H857"/>
      <c r="I857"/>
      <c r="J857"/>
      <c r="K857"/>
      <c r="L857"/>
      <c r="M857"/>
      <c r="N857"/>
      <c r="O857"/>
      <c r="P857" s="36"/>
      <c r="Q857" s="37"/>
      <c r="R857"/>
      <c r="S857"/>
      <c r="T857"/>
      <c r="U857"/>
      <c r="V857" s="39"/>
      <c r="W857"/>
      <c r="X857"/>
      <c r="Y857"/>
      <c r="Z857"/>
      <c r="AA857"/>
    </row>
    <row r="858" spans="1:27" x14ac:dyDescent="0.25">
      <c r="A858"/>
      <c r="B858" s="36"/>
      <c r="C858" s="36"/>
      <c r="D858"/>
      <c r="E858"/>
      <c r="F858"/>
      <c r="G858"/>
      <c r="H858"/>
      <c r="I858"/>
      <c r="J858"/>
      <c r="K858"/>
      <c r="L858"/>
      <c r="M858"/>
      <c r="N858"/>
      <c r="O858"/>
      <c r="P858" s="36"/>
      <c r="Q858" s="37"/>
      <c r="R858"/>
      <c r="S858"/>
      <c r="T858"/>
      <c r="U858"/>
      <c r="V858" s="39"/>
      <c r="W858"/>
      <c r="X858"/>
      <c r="Y858"/>
      <c r="Z858"/>
      <c r="AA858"/>
    </row>
    <row r="859" spans="1:27" x14ac:dyDescent="0.25">
      <c r="A859"/>
      <c r="B859" s="36"/>
      <c r="C859" s="36"/>
      <c r="D859"/>
      <c r="E859"/>
      <c r="F859"/>
      <c r="G859"/>
      <c r="H859"/>
      <c r="I859"/>
      <c r="J859"/>
      <c r="K859"/>
      <c r="L859"/>
      <c r="M859"/>
      <c r="N859"/>
      <c r="O859"/>
      <c r="P859" s="36"/>
      <c r="Q859" s="37"/>
      <c r="R859"/>
      <c r="S859"/>
      <c r="T859"/>
      <c r="U859"/>
      <c r="V859" s="39"/>
      <c r="W859"/>
      <c r="X859"/>
      <c r="Y859"/>
      <c r="Z859"/>
      <c r="AA859"/>
    </row>
    <row r="860" spans="1:27" x14ac:dyDescent="0.25">
      <c r="A860"/>
      <c r="B860" s="36"/>
      <c r="C860" s="36"/>
      <c r="D860"/>
      <c r="E860"/>
      <c r="F860"/>
      <c r="G860"/>
      <c r="H860"/>
      <c r="I860"/>
      <c r="J860"/>
      <c r="K860"/>
      <c r="L860"/>
      <c r="M860"/>
      <c r="N860"/>
      <c r="O860"/>
      <c r="P860" s="36"/>
      <c r="Q860" s="37"/>
      <c r="R860"/>
      <c r="S860"/>
      <c r="T860"/>
      <c r="U860"/>
      <c r="V860" s="39"/>
      <c r="W860"/>
      <c r="X860"/>
      <c r="Y860"/>
      <c r="Z860"/>
      <c r="AA860"/>
    </row>
    <row r="861" spans="1:27" x14ac:dyDescent="0.25">
      <c r="A861"/>
      <c r="B861" s="36"/>
      <c r="C861" s="36"/>
      <c r="D861"/>
      <c r="E861"/>
      <c r="F861"/>
      <c r="G861"/>
      <c r="H861"/>
      <c r="I861"/>
      <c r="J861"/>
      <c r="K861"/>
      <c r="L861"/>
      <c r="M861"/>
      <c r="N861"/>
      <c r="O861"/>
      <c r="P861" s="36"/>
      <c r="Q861" s="37"/>
      <c r="R861"/>
      <c r="S861"/>
      <c r="T861"/>
      <c r="U861"/>
      <c r="V861" s="39"/>
      <c r="W861"/>
      <c r="X861"/>
      <c r="Y861"/>
      <c r="Z861"/>
      <c r="AA861"/>
    </row>
    <row r="862" spans="1:27" x14ac:dyDescent="0.25">
      <c r="A862"/>
      <c r="B862" s="36"/>
      <c r="C862" s="36"/>
      <c r="D862"/>
      <c r="E862"/>
      <c r="F862"/>
      <c r="G862"/>
      <c r="H862"/>
      <c r="I862"/>
      <c r="J862"/>
      <c r="K862"/>
      <c r="L862"/>
      <c r="M862"/>
      <c r="N862"/>
      <c r="O862"/>
      <c r="P862" s="36"/>
      <c r="Q862" s="37"/>
      <c r="R862" s="44"/>
      <c r="S862"/>
      <c r="T862"/>
      <c r="U862"/>
      <c r="V862" s="39"/>
      <c r="W862"/>
      <c r="X862"/>
      <c r="Y862"/>
      <c r="Z862"/>
      <c r="AA862"/>
    </row>
    <row r="863" spans="1:27" x14ac:dyDescent="0.25">
      <c r="A863"/>
      <c r="B863" s="36"/>
      <c r="C863" s="36"/>
      <c r="D863"/>
      <c r="E863"/>
      <c r="F863"/>
      <c r="G863"/>
      <c r="H863"/>
      <c r="I863"/>
      <c r="J863"/>
      <c r="K863"/>
      <c r="L863"/>
      <c r="M863"/>
      <c r="N863"/>
      <c r="O863"/>
      <c r="P863" s="36"/>
      <c r="Q863" s="37"/>
      <c r="R863"/>
      <c r="S863"/>
      <c r="T863"/>
      <c r="U863"/>
      <c r="V863" s="39"/>
      <c r="W863"/>
      <c r="X863"/>
      <c r="Y863"/>
      <c r="Z863"/>
      <c r="AA863"/>
    </row>
    <row r="864" spans="1:27" x14ac:dyDescent="0.25">
      <c r="A864"/>
      <c r="B864" s="36"/>
      <c r="C864" s="36"/>
      <c r="D864"/>
      <c r="E864"/>
      <c r="F864"/>
      <c r="G864"/>
      <c r="H864"/>
      <c r="I864"/>
      <c r="J864"/>
      <c r="K864"/>
      <c r="L864"/>
      <c r="M864"/>
      <c r="N864"/>
      <c r="O864"/>
      <c r="P864" s="36"/>
      <c r="Q864" s="37"/>
      <c r="R864"/>
      <c r="S864"/>
      <c r="T864"/>
      <c r="U864"/>
      <c r="V864" s="39"/>
      <c r="W864"/>
      <c r="X864"/>
      <c r="Y864"/>
      <c r="Z864"/>
      <c r="AA864"/>
    </row>
    <row r="865" spans="1:27" x14ac:dyDescent="0.25">
      <c r="A865"/>
      <c r="B865" s="36"/>
      <c r="C865" s="36"/>
      <c r="D865"/>
      <c r="E865"/>
      <c r="F865"/>
      <c r="G865"/>
      <c r="H865"/>
      <c r="I865"/>
      <c r="J865"/>
      <c r="K865"/>
      <c r="L865"/>
      <c r="M865"/>
      <c r="N865"/>
      <c r="O865"/>
      <c r="P865" s="36"/>
      <c r="Q865" s="37"/>
      <c r="R865"/>
      <c r="S865"/>
      <c r="T865"/>
      <c r="U865"/>
      <c r="V865" s="39"/>
      <c r="W865"/>
      <c r="X865"/>
      <c r="Y865"/>
      <c r="Z865"/>
      <c r="AA865"/>
    </row>
    <row r="866" spans="1:27" x14ac:dyDescent="0.25">
      <c r="A866"/>
      <c r="B866" s="36"/>
      <c r="C866" s="36"/>
      <c r="D866"/>
      <c r="E866"/>
      <c r="F866"/>
      <c r="G866"/>
      <c r="H866"/>
      <c r="I866"/>
      <c r="J866"/>
      <c r="K866"/>
      <c r="L866"/>
      <c r="M866"/>
      <c r="N866"/>
      <c r="O866"/>
      <c r="P866" s="36"/>
      <c r="Q866" s="37"/>
      <c r="R866"/>
      <c r="S866"/>
      <c r="T866"/>
      <c r="U866"/>
      <c r="V866" s="39"/>
      <c r="W866"/>
      <c r="X866"/>
      <c r="Y866"/>
      <c r="Z866"/>
      <c r="AA866"/>
    </row>
    <row r="867" spans="1:27" x14ac:dyDescent="0.25">
      <c r="A867"/>
      <c r="B867" s="36"/>
      <c r="C867" s="36"/>
      <c r="D867"/>
      <c r="E867"/>
      <c r="F867"/>
      <c r="G867"/>
      <c r="H867"/>
      <c r="I867"/>
      <c r="J867"/>
      <c r="K867"/>
      <c r="L867"/>
      <c r="M867"/>
      <c r="N867"/>
      <c r="O867"/>
      <c r="P867" s="36"/>
      <c r="Q867" s="37"/>
      <c r="R867"/>
      <c r="S867"/>
      <c r="T867"/>
      <c r="U867"/>
      <c r="V867" s="39"/>
      <c r="W867"/>
      <c r="X867"/>
      <c r="Y867"/>
      <c r="Z867"/>
      <c r="AA867"/>
    </row>
    <row r="868" spans="1:27" x14ac:dyDescent="0.25">
      <c r="A868"/>
      <c r="B868" s="36"/>
      <c r="C868" s="36"/>
      <c r="D868"/>
      <c r="E868"/>
      <c r="F868"/>
      <c r="G868"/>
      <c r="H868"/>
      <c r="I868"/>
      <c r="J868"/>
      <c r="K868"/>
      <c r="L868"/>
      <c r="M868"/>
      <c r="N868"/>
      <c r="O868"/>
      <c r="P868" s="36"/>
      <c r="Q868" s="37"/>
      <c r="R868"/>
      <c r="S868"/>
      <c r="T868"/>
      <c r="U868"/>
      <c r="V868" s="39"/>
      <c r="W868"/>
      <c r="X868"/>
      <c r="Y868"/>
      <c r="Z868"/>
      <c r="AA868"/>
    </row>
    <row r="869" spans="1:27" x14ac:dyDescent="0.25">
      <c r="A869"/>
      <c r="B869" s="36"/>
      <c r="C869" s="36"/>
      <c r="D869"/>
      <c r="E869"/>
      <c r="F869"/>
      <c r="G869"/>
      <c r="H869"/>
      <c r="I869"/>
      <c r="J869"/>
      <c r="K869"/>
      <c r="L869"/>
      <c r="M869"/>
      <c r="N869"/>
      <c r="O869"/>
      <c r="P869" s="36"/>
      <c r="Q869" s="37"/>
      <c r="R869"/>
      <c r="S869"/>
      <c r="T869"/>
      <c r="U869"/>
      <c r="V869" s="39"/>
      <c r="W869"/>
      <c r="X869"/>
      <c r="Y869"/>
      <c r="Z869"/>
      <c r="AA869"/>
    </row>
    <row r="870" spans="1:27" x14ac:dyDescent="0.25">
      <c r="A870"/>
      <c r="B870" s="36"/>
      <c r="C870" s="36"/>
      <c r="D870"/>
      <c r="E870"/>
      <c r="F870"/>
      <c r="G870"/>
      <c r="H870"/>
      <c r="I870"/>
      <c r="J870"/>
      <c r="K870"/>
      <c r="L870"/>
      <c r="M870"/>
      <c r="N870"/>
      <c r="O870"/>
      <c r="P870" s="36"/>
      <c r="Q870" s="37"/>
      <c r="R870"/>
      <c r="S870"/>
      <c r="T870"/>
      <c r="U870"/>
      <c r="V870" s="39"/>
      <c r="W870"/>
      <c r="X870"/>
      <c r="Y870"/>
      <c r="Z870"/>
      <c r="AA870"/>
    </row>
    <row r="871" spans="1:27" x14ac:dyDescent="0.25">
      <c r="A871"/>
      <c r="B871" s="36"/>
      <c r="C871" s="36"/>
      <c r="D871"/>
      <c r="E871"/>
      <c r="F871"/>
      <c r="G871"/>
      <c r="H871"/>
      <c r="I871"/>
      <c r="J871"/>
      <c r="K871"/>
      <c r="L871"/>
      <c r="M871"/>
      <c r="N871"/>
      <c r="O871"/>
      <c r="P871" s="36"/>
      <c r="Q871" s="37"/>
      <c r="R871"/>
      <c r="S871"/>
      <c r="T871"/>
      <c r="U871"/>
      <c r="V871" s="39"/>
      <c r="W871"/>
      <c r="X871"/>
      <c r="Y871"/>
      <c r="Z871"/>
      <c r="AA871"/>
    </row>
    <row r="872" spans="1:27" x14ac:dyDescent="0.25">
      <c r="A872"/>
      <c r="B872" s="36"/>
      <c r="C872" s="36"/>
      <c r="D872"/>
      <c r="E872"/>
      <c r="F872"/>
      <c r="G872"/>
      <c r="H872"/>
      <c r="I872"/>
      <c r="J872"/>
      <c r="K872"/>
      <c r="L872"/>
      <c r="M872"/>
      <c r="N872"/>
      <c r="O872"/>
      <c r="P872" s="36"/>
      <c r="Q872" s="37"/>
      <c r="R872"/>
      <c r="S872"/>
      <c r="T872"/>
      <c r="U872"/>
      <c r="V872" s="39"/>
      <c r="W872"/>
      <c r="X872"/>
      <c r="Y872"/>
      <c r="Z872"/>
      <c r="AA872"/>
    </row>
    <row r="873" spans="1:27" x14ac:dyDescent="0.25">
      <c r="A873"/>
      <c r="B873" s="36"/>
      <c r="C873" s="36"/>
      <c r="D873"/>
      <c r="E873"/>
      <c r="F873"/>
      <c r="G873"/>
      <c r="H873"/>
      <c r="I873"/>
      <c r="J873"/>
      <c r="K873"/>
      <c r="L873"/>
      <c r="M873"/>
      <c r="N873"/>
      <c r="O873"/>
      <c r="P873" s="36"/>
      <c r="Q873" s="37"/>
      <c r="R873"/>
      <c r="S873"/>
      <c r="T873"/>
      <c r="U873"/>
      <c r="V873" s="39"/>
      <c r="W873"/>
      <c r="X873"/>
      <c r="Y873"/>
      <c r="Z873"/>
      <c r="AA873"/>
    </row>
    <row r="874" spans="1:27" x14ac:dyDescent="0.25">
      <c r="A874"/>
      <c r="B874" s="36"/>
      <c r="C874" s="36"/>
      <c r="D874"/>
      <c r="E874"/>
      <c r="F874"/>
      <c r="G874"/>
      <c r="H874"/>
      <c r="I874"/>
      <c r="J874"/>
      <c r="K874"/>
      <c r="L874"/>
      <c r="M874"/>
      <c r="N874"/>
      <c r="O874"/>
      <c r="P874" s="36"/>
      <c r="Q874" s="37"/>
      <c r="R874"/>
      <c r="S874"/>
      <c r="T874"/>
      <c r="U874"/>
      <c r="V874" s="39"/>
      <c r="W874"/>
      <c r="X874"/>
      <c r="Y874"/>
      <c r="Z874"/>
      <c r="AA874"/>
    </row>
    <row r="875" spans="1:27" x14ac:dyDescent="0.25">
      <c r="A875"/>
      <c r="B875" s="36"/>
      <c r="C875" s="36"/>
      <c r="D875"/>
      <c r="E875"/>
      <c r="F875"/>
      <c r="G875"/>
      <c r="H875"/>
      <c r="I875"/>
      <c r="J875"/>
      <c r="K875"/>
      <c r="L875"/>
      <c r="M875"/>
      <c r="N875"/>
      <c r="O875"/>
      <c r="P875" s="36"/>
      <c r="Q875" s="37"/>
      <c r="R875"/>
      <c r="S875"/>
      <c r="T875"/>
      <c r="U875"/>
      <c r="V875" s="39"/>
      <c r="W875"/>
      <c r="X875"/>
      <c r="Y875"/>
      <c r="Z875"/>
      <c r="AA875"/>
    </row>
    <row r="876" spans="1:27" x14ac:dyDescent="0.25">
      <c r="A876"/>
      <c r="B876" s="36"/>
      <c r="C876" s="36"/>
      <c r="D876"/>
      <c r="E876"/>
      <c r="F876"/>
      <c r="G876"/>
      <c r="H876"/>
      <c r="I876"/>
      <c r="J876"/>
      <c r="K876"/>
      <c r="L876"/>
      <c r="M876"/>
      <c r="N876"/>
      <c r="O876"/>
      <c r="P876" s="36"/>
      <c r="Q876" s="37"/>
      <c r="R876"/>
      <c r="S876"/>
      <c r="T876"/>
      <c r="U876"/>
      <c r="V876" s="39"/>
      <c r="W876"/>
      <c r="X876"/>
      <c r="Y876"/>
      <c r="Z876"/>
      <c r="AA876"/>
    </row>
    <row r="877" spans="1:27" x14ac:dyDescent="0.25">
      <c r="A877"/>
      <c r="B877" s="36"/>
      <c r="C877" s="36"/>
      <c r="D877"/>
      <c r="E877"/>
      <c r="F877"/>
      <c r="G877"/>
      <c r="H877"/>
      <c r="I877"/>
      <c r="J877"/>
      <c r="K877"/>
      <c r="L877"/>
      <c r="M877"/>
      <c r="N877"/>
      <c r="O877"/>
      <c r="P877" s="36"/>
      <c r="Q877" s="37"/>
      <c r="R877"/>
      <c r="S877"/>
      <c r="T877"/>
      <c r="U877"/>
      <c r="V877" s="39"/>
      <c r="W877"/>
      <c r="X877"/>
      <c r="Y877"/>
      <c r="Z877"/>
      <c r="AA877"/>
    </row>
    <row r="878" spans="1:27" x14ac:dyDescent="0.25">
      <c r="A878"/>
      <c r="B878" s="36"/>
      <c r="C878" s="36"/>
      <c r="D878"/>
      <c r="E878"/>
      <c r="F878"/>
      <c r="G878"/>
      <c r="H878"/>
      <c r="I878"/>
      <c r="J878"/>
      <c r="K878"/>
      <c r="L878"/>
      <c r="M878"/>
      <c r="N878"/>
      <c r="O878"/>
      <c r="P878" s="36"/>
      <c r="Q878" s="37"/>
      <c r="R878"/>
      <c r="S878"/>
      <c r="T878"/>
      <c r="U878"/>
      <c r="V878" s="39"/>
      <c r="W878"/>
      <c r="X878"/>
      <c r="Y878"/>
      <c r="Z878"/>
      <c r="AA878"/>
    </row>
    <row r="879" spans="1:27" x14ac:dyDescent="0.25">
      <c r="A879"/>
      <c r="B879" s="36"/>
      <c r="C879" s="36"/>
      <c r="D879"/>
      <c r="E879"/>
      <c r="F879"/>
      <c r="G879"/>
      <c r="H879"/>
      <c r="I879"/>
      <c r="J879"/>
      <c r="K879"/>
      <c r="L879"/>
      <c r="M879"/>
      <c r="N879"/>
      <c r="O879"/>
      <c r="P879" s="36"/>
      <c r="Q879" s="37"/>
      <c r="R879"/>
      <c r="S879"/>
      <c r="T879"/>
      <c r="U879"/>
      <c r="V879" s="39"/>
      <c r="W879"/>
      <c r="X879"/>
      <c r="Y879"/>
      <c r="Z879"/>
      <c r="AA879"/>
    </row>
    <row r="880" spans="1:27" x14ac:dyDescent="0.25">
      <c r="A880"/>
      <c r="B880" s="36"/>
      <c r="C880" s="36"/>
      <c r="D880"/>
      <c r="E880"/>
      <c r="F880"/>
      <c r="G880"/>
      <c r="H880"/>
      <c r="I880"/>
      <c r="J880"/>
      <c r="K880"/>
      <c r="L880"/>
      <c r="M880"/>
      <c r="N880"/>
      <c r="O880"/>
      <c r="P880" s="36"/>
      <c r="Q880" s="37"/>
      <c r="R880"/>
      <c r="S880"/>
      <c r="T880"/>
      <c r="U880"/>
      <c r="V880" s="39"/>
      <c r="W880"/>
      <c r="X880"/>
      <c r="Y880"/>
      <c r="Z880"/>
      <c r="AA880"/>
    </row>
    <row r="881" spans="1:27" x14ac:dyDescent="0.25">
      <c r="A881"/>
      <c r="B881" s="36"/>
      <c r="C881" s="36"/>
      <c r="D881"/>
      <c r="E881"/>
      <c r="F881"/>
      <c r="G881"/>
      <c r="H881"/>
      <c r="I881"/>
      <c r="J881"/>
      <c r="K881"/>
      <c r="L881"/>
      <c r="M881"/>
      <c r="N881"/>
      <c r="O881"/>
      <c r="P881" s="36"/>
      <c r="Q881" s="37"/>
      <c r="R881"/>
      <c r="S881"/>
      <c r="T881"/>
      <c r="U881"/>
      <c r="V881" s="39"/>
      <c r="W881"/>
      <c r="X881"/>
      <c r="Y881"/>
      <c r="Z881"/>
      <c r="AA881"/>
    </row>
    <row r="882" spans="1:27" x14ac:dyDescent="0.25">
      <c r="A882"/>
      <c r="B882" s="36"/>
      <c r="C882" s="36"/>
      <c r="D882"/>
      <c r="E882"/>
      <c r="F882"/>
      <c r="G882"/>
      <c r="H882"/>
      <c r="I882"/>
      <c r="J882"/>
      <c r="K882"/>
      <c r="L882"/>
      <c r="M882"/>
      <c r="N882"/>
      <c r="O882"/>
      <c r="P882" s="36"/>
      <c r="Q882" s="37"/>
      <c r="R882"/>
      <c r="S882"/>
      <c r="T882"/>
      <c r="U882"/>
      <c r="V882" s="39"/>
      <c r="W882"/>
      <c r="X882"/>
      <c r="Y882"/>
      <c r="Z882"/>
      <c r="AA882"/>
    </row>
    <row r="883" spans="1:27" x14ac:dyDescent="0.25">
      <c r="A883"/>
      <c r="B883" s="36"/>
      <c r="C883" s="36"/>
      <c r="D883"/>
      <c r="E883"/>
      <c r="F883"/>
      <c r="G883"/>
      <c r="H883"/>
      <c r="I883"/>
      <c r="J883"/>
      <c r="K883"/>
      <c r="L883"/>
      <c r="M883"/>
      <c r="N883"/>
      <c r="O883"/>
      <c r="P883" s="36"/>
      <c r="Q883" s="37"/>
      <c r="R883"/>
      <c r="S883"/>
      <c r="T883"/>
      <c r="U883"/>
      <c r="V883" s="39"/>
      <c r="W883"/>
      <c r="X883"/>
      <c r="Y883"/>
      <c r="Z883"/>
      <c r="AA883"/>
    </row>
    <row r="884" spans="1:27" x14ac:dyDescent="0.25">
      <c r="A884"/>
      <c r="B884" s="36"/>
      <c r="C884" s="36"/>
      <c r="D884"/>
      <c r="E884"/>
      <c r="F884"/>
      <c r="G884"/>
      <c r="H884"/>
      <c r="I884"/>
      <c r="J884"/>
      <c r="K884"/>
      <c r="L884"/>
      <c r="M884"/>
      <c r="N884"/>
      <c r="O884"/>
      <c r="P884" s="36"/>
      <c r="Q884" s="37"/>
      <c r="R884"/>
      <c r="S884"/>
      <c r="T884"/>
      <c r="U884"/>
      <c r="V884" s="39"/>
      <c r="W884"/>
      <c r="X884"/>
      <c r="Y884"/>
      <c r="Z884"/>
      <c r="AA884"/>
    </row>
    <row r="885" spans="1:27" x14ac:dyDescent="0.25">
      <c r="A885"/>
      <c r="B885" s="36"/>
      <c r="C885" s="36"/>
      <c r="D885"/>
      <c r="E885"/>
      <c r="F885"/>
      <c r="G885"/>
      <c r="H885"/>
      <c r="I885"/>
      <c r="J885"/>
      <c r="K885"/>
      <c r="L885"/>
      <c r="M885"/>
      <c r="N885"/>
      <c r="O885"/>
      <c r="P885" s="36"/>
      <c r="Q885" s="37"/>
      <c r="R885"/>
      <c r="S885"/>
      <c r="T885"/>
      <c r="U885"/>
      <c r="V885" s="39"/>
      <c r="W885"/>
      <c r="X885"/>
      <c r="Y885"/>
      <c r="Z885"/>
      <c r="AA885"/>
    </row>
    <row r="886" spans="1:27" x14ac:dyDescent="0.25">
      <c r="A886"/>
      <c r="B886" s="36"/>
      <c r="C886" s="36"/>
      <c r="D886"/>
      <c r="E886"/>
      <c r="F886"/>
      <c r="G886"/>
      <c r="H886"/>
      <c r="I886"/>
      <c r="J886"/>
      <c r="K886"/>
      <c r="L886"/>
      <c r="M886"/>
      <c r="N886"/>
      <c r="O886"/>
      <c r="P886" s="36"/>
      <c r="Q886" s="37"/>
      <c r="R886"/>
      <c r="S886"/>
      <c r="T886"/>
      <c r="U886"/>
      <c r="V886" s="39"/>
      <c r="W886"/>
      <c r="X886"/>
      <c r="Y886"/>
      <c r="Z886"/>
      <c r="AA886"/>
    </row>
    <row r="887" spans="1:27" x14ac:dyDescent="0.25">
      <c r="A887"/>
      <c r="B887" s="36"/>
      <c r="C887" s="36"/>
      <c r="D887"/>
      <c r="E887"/>
      <c r="F887"/>
      <c r="G887"/>
      <c r="H887"/>
      <c r="I887"/>
      <c r="J887"/>
      <c r="K887"/>
      <c r="L887"/>
      <c r="M887"/>
      <c r="N887"/>
      <c r="O887"/>
      <c r="P887" s="36"/>
      <c r="Q887" s="37"/>
      <c r="R887"/>
      <c r="S887"/>
      <c r="T887"/>
      <c r="U887"/>
      <c r="V887" s="39"/>
      <c r="W887"/>
      <c r="X887"/>
      <c r="Y887"/>
      <c r="Z887"/>
      <c r="AA887"/>
    </row>
    <row r="888" spans="1:27" x14ac:dyDescent="0.25">
      <c r="A888"/>
      <c r="B888" s="36"/>
      <c r="C888" s="36"/>
      <c r="D888"/>
      <c r="E888"/>
      <c r="F888"/>
      <c r="G888"/>
      <c r="H888"/>
      <c r="I888"/>
      <c r="J888"/>
      <c r="K888"/>
      <c r="L888"/>
      <c r="M888"/>
      <c r="N888"/>
      <c r="O888"/>
      <c r="P888" s="36"/>
      <c r="Q888" s="37"/>
      <c r="R888"/>
      <c r="S888"/>
      <c r="T888"/>
      <c r="U888"/>
      <c r="V888" s="39"/>
      <c r="W888"/>
      <c r="X888"/>
      <c r="Y888"/>
      <c r="Z888"/>
      <c r="AA888"/>
    </row>
    <row r="889" spans="1:27" x14ac:dyDescent="0.25">
      <c r="A889"/>
      <c r="B889" s="36"/>
      <c r="C889" s="36"/>
      <c r="D889"/>
      <c r="E889"/>
      <c r="F889"/>
      <c r="G889"/>
      <c r="H889"/>
      <c r="I889"/>
      <c r="J889"/>
      <c r="K889"/>
      <c r="L889"/>
      <c r="M889"/>
      <c r="N889"/>
      <c r="O889"/>
      <c r="P889" s="36"/>
      <c r="Q889" s="37"/>
      <c r="R889"/>
      <c r="S889"/>
      <c r="T889"/>
      <c r="U889"/>
      <c r="V889" s="39"/>
      <c r="W889"/>
      <c r="X889"/>
      <c r="Y889"/>
      <c r="Z889"/>
      <c r="AA889"/>
    </row>
    <row r="890" spans="1:27" x14ac:dyDescent="0.25">
      <c r="A890"/>
      <c r="B890" s="36"/>
      <c r="C890" s="36"/>
      <c r="D890"/>
      <c r="E890"/>
      <c r="F890"/>
      <c r="G890"/>
      <c r="H890"/>
      <c r="I890"/>
      <c r="J890"/>
      <c r="K890"/>
      <c r="L890"/>
      <c r="M890"/>
      <c r="N890"/>
      <c r="O890"/>
      <c r="P890" s="36"/>
      <c r="Q890" s="37"/>
      <c r="R890"/>
      <c r="S890"/>
      <c r="T890"/>
      <c r="U890"/>
      <c r="V890" s="39"/>
      <c r="W890"/>
      <c r="X890"/>
      <c r="Y890"/>
      <c r="Z890"/>
      <c r="AA890"/>
    </row>
    <row r="891" spans="1:27" x14ac:dyDescent="0.25">
      <c r="A891"/>
      <c r="B891" s="36"/>
      <c r="C891" s="36"/>
      <c r="D891"/>
      <c r="E891"/>
      <c r="F891"/>
      <c r="G891"/>
      <c r="H891"/>
      <c r="I891"/>
      <c r="J891"/>
      <c r="K891"/>
      <c r="L891"/>
      <c r="M891"/>
      <c r="N891"/>
      <c r="O891"/>
      <c r="P891" s="36"/>
      <c r="Q891" s="37"/>
      <c r="R891"/>
      <c r="S891"/>
      <c r="T891"/>
      <c r="U891"/>
      <c r="V891" s="39"/>
      <c r="W891"/>
      <c r="X891"/>
      <c r="Y891"/>
      <c r="Z891"/>
      <c r="AA891"/>
    </row>
    <row r="892" spans="1:27" x14ac:dyDescent="0.25">
      <c r="A892"/>
      <c r="B892" s="36"/>
      <c r="C892" s="36"/>
      <c r="D892"/>
      <c r="E892"/>
      <c r="F892"/>
      <c r="G892"/>
      <c r="H892"/>
      <c r="I892"/>
      <c r="J892"/>
      <c r="K892"/>
      <c r="L892"/>
      <c r="M892"/>
      <c r="N892"/>
      <c r="O892"/>
      <c r="P892" s="36"/>
      <c r="Q892" s="37"/>
      <c r="R892"/>
      <c r="S892"/>
      <c r="T892"/>
      <c r="U892"/>
      <c r="V892" s="39"/>
      <c r="W892"/>
      <c r="X892"/>
      <c r="Y892"/>
      <c r="Z892"/>
      <c r="AA892"/>
    </row>
    <row r="893" spans="1:27" x14ac:dyDescent="0.25">
      <c r="A893"/>
      <c r="B893" s="36"/>
      <c r="C893" s="36"/>
      <c r="D893"/>
      <c r="E893"/>
      <c r="F893"/>
      <c r="G893"/>
      <c r="H893"/>
      <c r="I893"/>
      <c r="J893"/>
      <c r="K893"/>
      <c r="L893"/>
      <c r="M893"/>
      <c r="N893"/>
      <c r="O893"/>
      <c r="P893" s="36"/>
      <c r="Q893" s="37"/>
      <c r="R893"/>
      <c r="S893"/>
      <c r="T893"/>
      <c r="U893"/>
      <c r="V893" s="39"/>
      <c r="W893"/>
      <c r="X893"/>
      <c r="Y893"/>
      <c r="Z893"/>
      <c r="AA893"/>
    </row>
    <row r="894" spans="1:27" x14ac:dyDescent="0.25">
      <c r="A894"/>
      <c r="B894" s="36"/>
      <c r="C894" s="36"/>
      <c r="D894"/>
      <c r="E894"/>
      <c r="F894"/>
      <c r="G894"/>
      <c r="H894"/>
      <c r="I894"/>
      <c r="J894"/>
      <c r="K894"/>
      <c r="L894"/>
      <c r="M894"/>
      <c r="N894"/>
      <c r="O894"/>
      <c r="P894" s="36"/>
      <c r="Q894" s="37"/>
      <c r="R894"/>
      <c r="S894"/>
      <c r="T894"/>
      <c r="U894"/>
      <c r="V894" s="39"/>
      <c r="W894"/>
      <c r="X894"/>
      <c r="Y894"/>
      <c r="Z894"/>
      <c r="AA894"/>
    </row>
    <row r="895" spans="1:27" x14ac:dyDescent="0.25">
      <c r="A895"/>
      <c r="B895" s="36"/>
      <c r="C895" s="36"/>
      <c r="D895"/>
      <c r="E895"/>
      <c r="F895"/>
      <c r="G895"/>
      <c r="H895"/>
      <c r="I895"/>
      <c r="J895"/>
      <c r="K895"/>
      <c r="L895"/>
      <c r="M895"/>
      <c r="N895"/>
      <c r="O895"/>
      <c r="P895" s="36"/>
      <c r="Q895" s="37"/>
      <c r="R895"/>
      <c r="S895"/>
      <c r="T895"/>
      <c r="U895"/>
      <c r="V895" s="39"/>
      <c r="W895"/>
      <c r="X895"/>
      <c r="Y895"/>
      <c r="Z895"/>
      <c r="AA895"/>
    </row>
    <row r="896" spans="1:27" x14ac:dyDescent="0.25">
      <c r="A896"/>
      <c r="B896" s="36"/>
      <c r="C896" s="36"/>
      <c r="D896"/>
      <c r="E896"/>
      <c r="F896"/>
      <c r="G896"/>
      <c r="H896"/>
      <c r="I896"/>
      <c r="J896"/>
      <c r="K896"/>
      <c r="L896"/>
      <c r="M896"/>
      <c r="N896"/>
      <c r="O896"/>
      <c r="P896" s="36"/>
      <c r="Q896" s="37"/>
      <c r="R896"/>
      <c r="S896"/>
      <c r="T896"/>
      <c r="U896"/>
      <c r="V896" s="39"/>
      <c r="W896"/>
      <c r="X896"/>
      <c r="Y896"/>
      <c r="Z896"/>
      <c r="AA896"/>
    </row>
    <row r="897" spans="1:27" x14ac:dyDescent="0.25">
      <c r="A897"/>
      <c r="B897" s="36"/>
      <c r="C897" s="36"/>
      <c r="D897"/>
      <c r="E897"/>
      <c r="F897"/>
      <c r="G897"/>
      <c r="H897"/>
      <c r="I897"/>
      <c r="J897"/>
      <c r="K897"/>
      <c r="L897"/>
      <c r="M897"/>
      <c r="N897"/>
      <c r="O897"/>
      <c r="P897" s="36"/>
      <c r="Q897" s="37"/>
      <c r="R897"/>
      <c r="S897"/>
      <c r="T897"/>
      <c r="U897"/>
      <c r="V897" s="39"/>
      <c r="W897"/>
      <c r="X897"/>
      <c r="Y897"/>
      <c r="Z897"/>
      <c r="AA897"/>
    </row>
    <row r="898" spans="1:27" x14ac:dyDescent="0.25">
      <c r="A898"/>
      <c r="B898" s="36"/>
      <c r="C898" s="36"/>
      <c r="D898"/>
      <c r="E898"/>
      <c r="F898"/>
      <c r="G898"/>
      <c r="H898"/>
      <c r="I898"/>
      <c r="J898"/>
      <c r="K898"/>
      <c r="L898"/>
      <c r="M898"/>
      <c r="N898"/>
      <c r="O898"/>
      <c r="P898" s="36"/>
      <c r="Q898" s="37"/>
      <c r="R898"/>
      <c r="S898"/>
      <c r="T898"/>
      <c r="U898"/>
      <c r="V898" s="39"/>
      <c r="W898"/>
      <c r="X898"/>
      <c r="Y898"/>
      <c r="Z898"/>
      <c r="AA898"/>
    </row>
    <row r="899" spans="1:27" x14ac:dyDescent="0.25">
      <c r="A899"/>
      <c r="B899" s="36"/>
      <c r="C899" s="36"/>
      <c r="D899"/>
      <c r="E899"/>
      <c r="F899"/>
      <c r="G899"/>
      <c r="H899"/>
      <c r="I899"/>
      <c r="J899"/>
      <c r="K899"/>
      <c r="L899"/>
      <c r="M899"/>
      <c r="N899"/>
      <c r="O899"/>
      <c r="P899" s="36"/>
      <c r="Q899" s="37"/>
      <c r="R899"/>
      <c r="S899"/>
      <c r="T899"/>
      <c r="U899"/>
      <c r="V899" s="39"/>
      <c r="W899"/>
      <c r="X899"/>
      <c r="Y899"/>
      <c r="Z899"/>
      <c r="AA899"/>
    </row>
    <row r="900" spans="1:27" x14ac:dyDescent="0.25">
      <c r="A900"/>
      <c r="B900" s="36"/>
      <c r="C900" s="36"/>
      <c r="D900"/>
      <c r="E900"/>
      <c r="F900"/>
      <c r="G900"/>
      <c r="H900"/>
      <c r="I900"/>
      <c r="J900"/>
      <c r="K900"/>
      <c r="L900"/>
      <c r="M900"/>
      <c r="N900"/>
      <c r="O900"/>
      <c r="P900" s="36"/>
      <c r="Q900" s="37"/>
      <c r="R900"/>
      <c r="S900"/>
      <c r="T900"/>
      <c r="U900"/>
      <c r="V900" s="39"/>
      <c r="W900"/>
      <c r="X900"/>
      <c r="Y900"/>
      <c r="Z900"/>
      <c r="AA900"/>
    </row>
    <row r="901" spans="1:27" x14ac:dyDescent="0.25">
      <c r="A901"/>
      <c r="B901" s="36"/>
      <c r="C901" s="36"/>
      <c r="D901"/>
      <c r="E901"/>
      <c r="F901"/>
      <c r="G901"/>
      <c r="H901"/>
      <c r="I901"/>
      <c r="J901"/>
      <c r="K901"/>
      <c r="L901"/>
      <c r="M901"/>
      <c r="N901"/>
      <c r="O901"/>
      <c r="P901" s="36"/>
      <c r="Q901" s="37"/>
      <c r="R901"/>
      <c r="S901"/>
      <c r="T901"/>
      <c r="U901"/>
      <c r="V901" s="39"/>
      <c r="W901"/>
      <c r="X901"/>
      <c r="Y901"/>
      <c r="Z901"/>
      <c r="AA901"/>
    </row>
    <row r="902" spans="1:27" x14ac:dyDescent="0.25">
      <c r="A902"/>
      <c r="B902" s="36"/>
      <c r="C902" s="36"/>
      <c r="D902"/>
      <c r="E902"/>
      <c r="F902"/>
      <c r="G902"/>
      <c r="H902"/>
      <c r="I902"/>
      <c r="J902"/>
      <c r="K902"/>
      <c r="L902"/>
      <c r="M902"/>
      <c r="N902"/>
      <c r="O902"/>
      <c r="P902" s="36"/>
      <c r="Q902" s="37"/>
      <c r="R902"/>
      <c r="S902"/>
      <c r="T902"/>
      <c r="U902"/>
      <c r="V902" s="39"/>
      <c r="W902"/>
      <c r="X902"/>
      <c r="Y902"/>
      <c r="Z902"/>
      <c r="AA902"/>
    </row>
    <row r="903" spans="1:27" x14ac:dyDescent="0.25">
      <c r="A903"/>
      <c r="B903" s="36"/>
      <c r="C903" s="36"/>
      <c r="D903"/>
      <c r="E903"/>
      <c r="F903"/>
      <c r="G903"/>
      <c r="H903"/>
      <c r="I903"/>
      <c r="J903"/>
      <c r="K903"/>
      <c r="L903"/>
      <c r="M903"/>
      <c r="N903"/>
      <c r="O903"/>
      <c r="P903" s="36"/>
      <c r="Q903" s="37"/>
      <c r="R903"/>
      <c r="S903"/>
      <c r="T903"/>
      <c r="U903"/>
      <c r="V903" s="39"/>
      <c r="W903"/>
      <c r="X903"/>
      <c r="Y903"/>
      <c r="Z903"/>
      <c r="AA903"/>
    </row>
    <row r="904" spans="1:27" x14ac:dyDescent="0.25">
      <c r="A904"/>
      <c r="B904" s="36"/>
      <c r="C904" s="36"/>
      <c r="D904"/>
      <c r="E904"/>
      <c r="F904"/>
      <c r="G904"/>
      <c r="H904"/>
      <c r="I904"/>
      <c r="J904"/>
      <c r="K904"/>
      <c r="L904"/>
      <c r="M904"/>
      <c r="N904"/>
      <c r="O904"/>
      <c r="P904" s="36"/>
      <c r="Q904" s="37"/>
      <c r="R904"/>
      <c r="S904"/>
      <c r="T904"/>
      <c r="U904"/>
      <c r="V904" s="39"/>
      <c r="W904"/>
      <c r="X904"/>
      <c r="Y904"/>
      <c r="Z904"/>
      <c r="AA904"/>
    </row>
    <row r="905" spans="1:27" x14ac:dyDescent="0.25">
      <c r="A905"/>
      <c r="B905" s="36"/>
      <c r="C905" s="36"/>
      <c r="D905"/>
      <c r="E905"/>
      <c r="F905"/>
      <c r="G905"/>
      <c r="H905"/>
      <c r="I905"/>
      <c r="J905"/>
      <c r="K905"/>
      <c r="L905"/>
      <c r="M905"/>
      <c r="N905"/>
      <c r="O905"/>
      <c r="P905" s="36"/>
      <c r="Q905" s="37"/>
      <c r="R905"/>
      <c r="S905"/>
      <c r="T905"/>
      <c r="U905"/>
      <c r="V905" s="39"/>
      <c r="W905"/>
      <c r="X905"/>
      <c r="Y905"/>
      <c r="Z905"/>
      <c r="AA905"/>
    </row>
    <row r="906" spans="1:27" x14ac:dyDescent="0.25">
      <c r="A906"/>
      <c r="B906" s="36"/>
      <c r="C906" s="36"/>
      <c r="D906"/>
      <c r="E906"/>
      <c r="F906"/>
      <c r="G906"/>
      <c r="H906"/>
      <c r="I906"/>
      <c r="J906"/>
      <c r="K906"/>
      <c r="L906"/>
      <c r="M906"/>
      <c r="N906"/>
      <c r="O906"/>
      <c r="P906" s="36"/>
      <c r="Q906" s="37"/>
      <c r="R906"/>
      <c r="S906"/>
      <c r="T906"/>
      <c r="U906"/>
      <c r="V906" s="39"/>
      <c r="W906"/>
      <c r="X906"/>
      <c r="Y906"/>
      <c r="Z906"/>
      <c r="AA906"/>
    </row>
    <row r="907" spans="1:27" x14ac:dyDescent="0.25">
      <c r="A907"/>
      <c r="B907" s="36"/>
      <c r="C907" s="36"/>
      <c r="D907"/>
      <c r="E907"/>
      <c r="F907"/>
      <c r="G907"/>
      <c r="H907"/>
      <c r="I907"/>
      <c r="J907"/>
      <c r="K907"/>
      <c r="L907"/>
      <c r="M907"/>
      <c r="N907"/>
      <c r="O907"/>
      <c r="P907" s="36"/>
      <c r="Q907" s="37"/>
      <c r="R907"/>
      <c r="S907"/>
      <c r="T907"/>
      <c r="U907"/>
      <c r="V907" s="39"/>
      <c r="W907"/>
      <c r="X907"/>
      <c r="Y907"/>
      <c r="Z907"/>
      <c r="AA907"/>
    </row>
    <row r="908" spans="1:27" x14ac:dyDescent="0.25">
      <c r="A908"/>
      <c r="B908" s="36"/>
      <c r="C908" s="36"/>
      <c r="D908"/>
      <c r="E908"/>
      <c r="F908"/>
      <c r="G908"/>
      <c r="H908"/>
      <c r="I908"/>
      <c r="J908"/>
      <c r="K908"/>
      <c r="L908"/>
      <c r="M908"/>
      <c r="N908"/>
      <c r="O908"/>
      <c r="P908" s="36"/>
      <c r="Q908" s="37"/>
      <c r="R908"/>
      <c r="S908"/>
      <c r="T908"/>
      <c r="U908"/>
      <c r="V908" s="39"/>
      <c r="W908"/>
      <c r="X908"/>
      <c r="Y908"/>
      <c r="Z908"/>
      <c r="AA908"/>
    </row>
    <row r="909" spans="1:27" x14ac:dyDescent="0.25">
      <c r="A909"/>
      <c r="B909" s="36"/>
      <c r="C909" s="36"/>
      <c r="D909"/>
      <c r="E909"/>
      <c r="F909"/>
      <c r="G909"/>
      <c r="H909"/>
      <c r="I909"/>
      <c r="J909"/>
      <c r="K909"/>
      <c r="L909"/>
      <c r="M909"/>
      <c r="N909"/>
      <c r="O909"/>
      <c r="P909" s="36"/>
      <c r="Q909" s="37"/>
      <c r="R909"/>
      <c r="S909"/>
      <c r="T909"/>
      <c r="U909"/>
      <c r="V909" s="39"/>
      <c r="W909"/>
      <c r="X909"/>
      <c r="Y909"/>
      <c r="Z909"/>
      <c r="AA909"/>
    </row>
    <row r="910" spans="1:27" x14ac:dyDescent="0.25">
      <c r="A910"/>
      <c r="B910" s="36"/>
      <c r="C910" s="36"/>
      <c r="D910"/>
      <c r="E910"/>
      <c r="F910"/>
      <c r="G910"/>
      <c r="H910"/>
      <c r="I910"/>
      <c r="J910"/>
      <c r="K910"/>
      <c r="L910"/>
      <c r="M910"/>
      <c r="N910"/>
      <c r="O910"/>
      <c r="P910" s="36"/>
      <c r="Q910" s="37"/>
      <c r="R910"/>
      <c r="S910"/>
      <c r="T910"/>
      <c r="U910"/>
      <c r="V910" s="39"/>
      <c r="W910"/>
      <c r="X910"/>
      <c r="Y910"/>
      <c r="Z910"/>
      <c r="AA910"/>
    </row>
    <row r="911" spans="1:27" x14ac:dyDescent="0.25">
      <c r="A911"/>
      <c r="B911" s="36"/>
      <c r="C911" s="36"/>
      <c r="D911"/>
      <c r="E911"/>
      <c r="F911"/>
      <c r="G911"/>
      <c r="H911"/>
      <c r="I911"/>
      <c r="J911"/>
      <c r="K911"/>
      <c r="L911"/>
      <c r="M911"/>
      <c r="N911"/>
      <c r="O911"/>
      <c r="P911" s="36"/>
      <c r="Q911" s="37"/>
      <c r="R911"/>
      <c r="S911"/>
      <c r="T911"/>
      <c r="U911"/>
      <c r="V911" s="39"/>
      <c r="W911"/>
      <c r="X911"/>
      <c r="Y911"/>
      <c r="Z911"/>
      <c r="AA911"/>
    </row>
    <row r="912" spans="1:27" x14ac:dyDescent="0.25">
      <c r="A912"/>
      <c r="B912" s="36"/>
      <c r="C912" s="36"/>
      <c r="D912"/>
      <c r="E912"/>
      <c r="F912"/>
      <c r="G912"/>
      <c r="H912"/>
      <c r="I912"/>
      <c r="J912"/>
      <c r="K912"/>
      <c r="L912"/>
      <c r="M912"/>
      <c r="N912"/>
      <c r="O912"/>
      <c r="P912" s="36"/>
      <c r="Q912" s="37"/>
      <c r="R912"/>
      <c r="S912"/>
      <c r="T912"/>
      <c r="U912"/>
      <c r="V912" s="39"/>
      <c r="W912"/>
      <c r="X912"/>
      <c r="Y912"/>
      <c r="Z912"/>
      <c r="AA912"/>
    </row>
    <row r="913" spans="1:27" x14ac:dyDescent="0.25">
      <c r="A913"/>
      <c r="B913" s="36"/>
      <c r="C913" s="36"/>
      <c r="D913"/>
      <c r="E913"/>
      <c r="F913"/>
      <c r="G913"/>
      <c r="H913"/>
      <c r="I913"/>
      <c r="J913"/>
      <c r="K913"/>
      <c r="L913"/>
      <c r="M913"/>
      <c r="N913"/>
      <c r="O913"/>
      <c r="P913" s="36"/>
      <c r="Q913" s="37"/>
      <c r="R913"/>
      <c r="S913"/>
      <c r="T913"/>
      <c r="U913"/>
      <c r="V913" s="39"/>
      <c r="W913"/>
      <c r="X913"/>
      <c r="Y913"/>
      <c r="Z913"/>
      <c r="AA913"/>
    </row>
    <row r="914" spans="1:27" x14ac:dyDescent="0.25">
      <c r="A914"/>
      <c r="B914" s="36"/>
      <c r="C914" s="36"/>
      <c r="D914"/>
      <c r="E914"/>
      <c r="F914"/>
      <c r="G914"/>
      <c r="H914"/>
      <c r="I914"/>
      <c r="J914"/>
      <c r="K914"/>
      <c r="L914"/>
      <c r="M914"/>
      <c r="N914"/>
      <c r="O914"/>
      <c r="P914" s="36"/>
      <c r="Q914" s="37"/>
      <c r="R914"/>
      <c r="S914"/>
      <c r="T914"/>
      <c r="U914"/>
      <c r="V914" s="39"/>
      <c r="W914"/>
      <c r="X914"/>
      <c r="Y914"/>
      <c r="Z914"/>
      <c r="AA914"/>
    </row>
    <row r="915" spans="1:27" x14ac:dyDescent="0.25">
      <c r="A915"/>
      <c r="B915" s="36"/>
      <c r="C915" s="36"/>
      <c r="D915"/>
      <c r="E915"/>
      <c r="F915"/>
      <c r="G915"/>
      <c r="H915"/>
      <c r="I915"/>
      <c r="J915"/>
      <c r="K915"/>
      <c r="L915"/>
      <c r="M915"/>
      <c r="N915"/>
      <c r="O915"/>
      <c r="P915" s="36"/>
      <c r="Q915" s="37"/>
      <c r="R915"/>
      <c r="S915"/>
      <c r="T915"/>
      <c r="U915"/>
      <c r="V915" s="39"/>
      <c r="W915"/>
      <c r="X915"/>
      <c r="Y915"/>
      <c r="Z915"/>
      <c r="AA915"/>
    </row>
    <row r="916" spans="1:27" x14ac:dyDescent="0.25">
      <c r="A916"/>
      <c r="B916" s="36"/>
      <c r="C916" s="36"/>
      <c r="D916"/>
      <c r="E916"/>
      <c r="F916"/>
      <c r="G916"/>
      <c r="H916"/>
      <c r="I916"/>
      <c r="J916"/>
      <c r="K916"/>
      <c r="L916"/>
      <c r="M916"/>
      <c r="N916"/>
      <c r="O916"/>
      <c r="P916" s="36"/>
      <c r="Q916" s="37"/>
      <c r="R916"/>
      <c r="S916"/>
      <c r="T916"/>
      <c r="U916"/>
      <c r="V916" s="39"/>
      <c r="W916"/>
      <c r="X916"/>
      <c r="Y916"/>
      <c r="Z916"/>
      <c r="AA916"/>
    </row>
    <row r="917" spans="1:27" x14ac:dyDescent="0.25">
      <c r="A917"/>
      <c r="B917" s="36"/>
      <c r="C917" s="36"/>
      <c r="D917"/>
      <c r="E917"/>
      <c r="F917"/>
      <c r="G917"/>
      <c r="H917"/>
      <c r="I917"/>
      <c r="J917"/>
      <c r="K917"/>
      <c r="L917"/>
      <c r="M917"/>
      <c r="N917"/>
      <c r="O917"/>
      <c r="P917" s="36"/>
      <c r="Q917" s="37"/>
      <c r="R917"/>
      <c r="S917"/>
      <c r="T917"/>
      <c r="U917"/>
      <c r="V917" s="39"/>
      <c r="W917"/>
      <c r="X917"/>
      <c r="Y917"/>
      <c r="Z917"/>
      <c r="AA917"/>
    </row>
    <row r="918" spans="1:27" x14ac:dyDescent="0.25">
      <c r="A918"/>
      <c r="B918" s="36"/>
      <c r="C918" s="36"/>
      <c r="D918"/>
      <c r="E918"/>
      <c r="F918"/>
      <c r="G918"/>
      <c r="H918"/>
      <c r="I918"/>
      <c r="J918"/>
      <c r="K918"/>
      <c r="L918"/>
      <c r="M918"/>
      <c r="N918"/>
      <c r="O918"/>
      <c r="P918" s="36"/>
      <c r="Q918" s="37"/>
      <c r="R918"/>
      <c r="S918"/>
      <c r="T918"/>
      <c r="U918"/>
      <c r="V918" s="39"/>
      <c r="W918"/>
      <c r="X918"/>
      <c r="Y918"/>
      <c r="Z918"/>
      <c r="AA918"/>
    </row>
    <row r="919" spans="1:27" x14ac:dyDescent="0.25">
      <c r="A919"/>
      <c r="B919" s="36"/>
      <c r="C919" s="36"/>
      <c r="D919"/>
      <c r="E919"/>
      <c r="F919"/>
      <c r="G919"/>
      <c r="H919"/>
      <c r="I919"/>
      <c r="J919"/>
      <c r="K919"/>
      <c r="L919"/>
      <c r="M919"/>
      <c r="N919"/>
      <c r="O919"/>
      <c r="P919" s="36"/>
      <c r="Q919" s="37"/>
      <c r="R919"/>
      <c r="S919"/>
      <c r="T919"/>
      <c r="U919"/>
      <c r="V919" s="39"/>
      <c r="W919"/>
      <c r="X919"/>
      <c r="Y919"/>
      <c r="Z919"/>
      <c r="AA919"/>
    </row>
    <row r="920" spans="1:27" x14ac:dyDescent="0.25">
      <c r="A920"/>
      <c r="B920" s="36"/>
      <c r="C920" s="36"/>
      <c r="D920"/>
      <c r="E920"/>
      <c r="F920"/>
      <c r="G920"/>
      <c r="H920"/>
      <c r="I920"/>
      <c r="J920"/>
      <c r="K920"/>
      <c r="L920"/>
      <c r="M920"/>
      <c r="N920"/>
      <c r="O920"/>
      <c r="P920" s="36"/>
      <c r="Q920" s="37"/>
      <c r="R920"/>
      <c r="S920"/>
      <c r="T920"/>
      <c r="U920"/>
      <c r="V920" s="39"/>
      <c r="W920"/>
      <c r="X920"/>
      <c r="Y920"/>
      <c r="Z920"/>
      <c r="AA920"/>
    </row>
    <row r="921" spans="1:27" x14ac:dyDescent="0.25">
      <c r="A921"/>
      <c r="B921" s="36"/>
      <c r="C921" s="36"/>
      <c r="D921"/>
      <c r="E921"/>
      <c r="F921"/>
      <c r="G921"/>
      <c r="H921"/>
      <c r="I921"/>
      <c r="J921"/>
      <c r="K921"/>
      <c r="L921"/>
      <c r="M921"/>
      <c r="N921"/>
      <c r="O921"/>
      <c r="P921" s="36"/>
      <c r="Q921" s="37"/>
      <c r="R921"/>
      <c r="S921"/>
      <c r="T921"/>
      <c r="U921"/>
      <c r="V921" s="39"/>
      <c r="W921"/>
      <c r="X921"/>
      <c r="Y921"/>
      <c r="Z921"/>
      <c r="AA921"/>
    </row>
    <row r="922" spans="1:27" x14ac:dyDescent="0.25">
      <c r="A922"/>
      <c r="B922" s="36"/>
      <c r="C922" s="36"/>
      <c r="D922"/>
      <c r="E922"/>
      <c r="F922"/>
      <c r="G922"/>
      <c r="H922"/>
      <c r="I922"/>
      <c r="J922"/>
      <c r="K922"/>
      <c r="L922"/>
      <c r="M922"/>
      <c r="N922"/>
      <c r="O922"/>
      <c r="P922" s="36"/>
      <c r="Q922" s="37"/>
      <c r="R922"/>
      <c r="S922"/>
      <c r="T922"/>
      <c r="U922"/>
      <c r="V922" s="39"/>
      <c r="W922"/>
      <c r="X922"/>
      <c r="Y922"/>
      <c r="Z922"/>
      <c r="AA922"/>
    </row>
    <row r="923" spans="1:27" x14ac:dyDescent="0.25">
      <c r="A923"/>
      <c r="B923" s="36"/>
      <c r="C923" s="36"/>
      <c r="D923"/>
      <c r="E923"/>
      <c r="F923"/>
      <c r="G923"/>
      <c r="H923"/>
      <c r="I923"/>
      <c r="J923"/>
      <c r="K923"/>
      <c r="L923"/>
      <c r="M923"/>
      <c r="N923"/>
      <c r="O923"/>
      <c r="P923" s="36"/>
      <c r="Q923" s="37"/>
      <c r="R923"/>
      <c r="S923"/>
      <c r="T923"/>
      <c r="U923"/>
      <c r="V923" s="39"/>
      <c r="W923"/>
      <c r="X923"/>
      <c r="Y923"/>
      <c r="Z923"/>
      <c r="AA923"/>
    </row>
    <row r="924" spans="1:27" x14ac:dyDescent="0.25">
      <c r="A924"/>
      <c r="B924" s="36"/>
      <c r="C924" s="36"/>
      <c r="D924"/>
      <c r="E924"/>
      <c r="F924"/>
      <c r="G924"/>
      <c r="H924"/>
      <c r="I924"/>
      <c r="J924"/>
      <c r="K924"/>
      <c r="L924"/>
      <c r="M924"/>
      <c r="N924"/>
      <c r="O924"/>
      <c r="P924" s="36"/>
      <c r="Q924" s="37"/>
      <c r="R924"/>
      <c r="S924"/>
      <c r="T924"/>
      <c r="U924"/>
      <c r="V924" s="39"/>
      <c r="W924"/>
      <c r="X924"/>
      <c r="Y924"/>
      <c r="Z924"/>
      <c r="AA924"/>
    </row>
    <row r="925" spans="1:27" x14ac:dyDescent="0.25">
      <c r="A925"/>
      <c r="B925" s="36"/>
      <c r="C925" s="36"/>
      <c r="D925"/>
      <c r="E925"/>
      <c r="F925"/>
      <c r="G925"/>
      <c r="H925"/>
      <c r="I925"/>
      <c r="J925"/>
      <c r="K925"/>
      <c r="L925"/>
      <c r="M925"/>
      <c r="N925"/>
      <c r="O925"/>
      <c r="P925" s="36"/>
      <c r="Q925" s="37"/>
      <c r="R925"/>
      <c r="S925"/>
      <c r="T925"/>
      <c r="U925"/>
      <c r="V925" s="39"/>
      <c r="W925"/>
      <c r="X925"/>
      <c r="Y925"/>
      <c r="Z925"/>
      <c r="AA925"/>
    </row>
    <row r="926" spans="1:27" x14ac:dyDescent="0.25">
      <c r="A926"/>
      <c r="B926" s="36"/>
      <c r="C926" s="36"/>
      <c r="D926"/>
      <c r="E926"/>
      <c r="F926"/>
      <c r="G926"/>
      <c r="H926"/>
      <c r="I926"/>
      <c r="J926"/>
      <c r="K926"/>
      <c r="L926"/>
      <c r="M926"/>
      <c r="N926"/>
      <c r="O926"/>
      <c r="P926" s="36"/>
      <c r="Q926" s="37"/>
      <c r="R926"/>
      <c r="S926"/>
      <c r="T926"/>
      <c r="U926"/>
      <c r="V926" s="39"/>
      <c r="W926"/>
      <c r="X926"/>
      <c r="Y926"/>
      <c r="Z926"/>
      <c r="AA926"/>
    </row>
    <row r="927" spans="1:27" x14ac:dyDescent="0.25">
      <c r="A927"/>
      <c r="B927" s="36"/>
      <c r="C927" s="36"/>
      <c r="D927"/>
      <c r="E927"/>
      <c r="F927"/>
      <c r="G927"/>
      <c r="H927"/>
      <c r="I927"/>
      <c r="J927"/>
      <c r="K927"/>
      <c r="L927"/>
      <c r="M927"/>
      <c r="N927"/>
      <c r="O927"/>
      <c r="P927" s="36"/>
      <c r="Q927" s="37"/>
      <c r="R927"/>
      <c r="S927"/>
      <c r="T927"/>
      <c r="U927"/>
      <c r="V927" s="39"/>
      <c r="W927"/>
      <c r="X927"/>
      <c r="Y927"/>
      <c r="Z927"/>
      <c r="AA927"/>
    </row>
    <row r="928" spans="1:27" x14ac:dyDescent="0.25">
      <c r="A928"/>
      <c r="B928" s="36"/>
      <c r="C928" s="36"/>
      <c r="D928"/>
      <c r="E928"/>
      <c r="F928"/>
      <c r="G928"/>
      <c r="H928"/>
      <c r="I928"/>
      <c r="J928"/>
      <c r="K928"/>
      <c r="L928"/>
      <c r="M928"/>
      <c r="N928"/>
      <c r="O928"/>
      <c r="P928" s="36"/>
      <c r="Q928" s="37"/>
      <c r="R928"/>
      <c r="S928"/>
      <c r="T928"/>
      <c r="U928"/>
      <c r="V928" s="39"/>
      <c r="W928"/>
      <c r="X928"/>
      <c r="Y928"/>
      <c r="Z928"/>
      <c r="AA928"/>
    </row>
    <row r="929" spans="1:27" x14ac:dyDescent="0.25">
      <c r="A929"/>
      <c r="B929" s="36"/>
      <c r="C929" s="36"/>
      <c r="D929"/>
      <c r="E929"/>
      <c r="F929"/>
      <c r="G929"/>
      <c r="H929"/>
      <c r="I929"/>
      <c r="J929"/>
      <c r="K929"/>
      <c r="L929"/>
      <c r="M929"/>
      <c r="N929"/>
      <c r="O929"/>
      <c r="P929" s="36"/>
      <c r="Q929" s="37"/>
      <c r="R929"/>
      <c r="S929"/>
      <c r="T929"/>
      <c r="U929"/>
      <c r="V929" s="39"/>
      <c r="W929"/>
      <c r="X929"/>
      <c r="Y929"/>
      <c r="Z929"/>
      <c r="AA929"/>
    </row>
    <row r="930" spans="1:27" x14ac:dyDescent="0.25">
      <c r="A930"/>
      <c r="B930" s="36"/>
      <c r="C930" s="36"/>
      <c r="D930"/>
      <c r="E930"/>
      <c r="F930"/>
      <c r="G930"/>
      <c r="H930"/>
      <c r="I930"/>
      <c r="J930"/>
      <c r="K930"/>
      <c r="L930"/>
      <c r="M930"/>
      <c r="N930"/>
      <c r="O930"/>
      <c r="P930" s="36"/>
      <c r="Q930" s="37"/>
      <c r="R930"/>
      <c r="S930"/>
      <c r="T930"/>
      <c r="U930"/>
      <c r="V930" s="39"/>
      <c r="W930"/>
      <c r="X930"/>
      <c r="Y930"/>
      <c r="Z930"/>
      <c r="AA930"/>
    </row>
    <row r="931" spans="1:27" x14ac:dyDescent="0.25">
      <c r="A931"/>
      <c r="B931" s="36"/>
      <c r="C931" s="36"/>
      <c r="D931"/>
      <c r="E931"/>
      <c r="F931"/>
      <c r="G931"/>
      <c r="H931"/>
      <c r="I931"/>
      <c r="J931"/>
      <c r="K931"/>
      <c r="L931"/>
      <c r="M931"/>
      <c r="N931"/>
      <c r="O931"/>
      <c r="P931" s="36"/>
      <c r="Q931" s="37"/>
      <c r="R931"/>
      <c r="S931"/>
      <c r="T931"/>
      <c r="U931"/>
      <c r="V931" s="39"/>
      <c r="W931"/>
      <c r="X931"/>
      <c r="Y931"/>
      <c r="Z931"/>
      <c r="AA931"/>
    </row>
    <row r="932" spans="1:27" x14ac:dyDescent="0.25">
      <c r="A932"/>
      <c r="B932" s="36"/>
      <c r="C932" s="36"/>
      <c r="D932"/>
      <c r="E932"/>
      <c r="F932"/>
      <c r="G932"/>
      <c r="H932"/>
      <c r="I932"/>
      <c r="J932"/>
      <c r="K932"/>
      <c r="L932"/>
      <c r="M932"/>
      <c r="N932"/>
      <c r="O932"/>
      <c r="P932" s="36"/>
      <c r="Q932" s="37"/>
      <c r="R932"/>
      <c r="S932"/>
      <c r="T932"/>
      <c r="U932"/>
      <c r="V932" s="39"/>
      <c r="W932"/>
      <c r="X932"/>
      <c r="Y932"/>
      <c r="Z932"/>
      <c r="AA932"/>
    </row>
    <row r="933" spans="1:27" x14ac:dyDescent="0.25">
      <c r="A933"/>
      <c r="B933" s="36"/>
      <c r="C933" s="36"/>
      <c r="D933"/>
      <c r="E933"/>
      <c r="F933"/>
      <c r="G933"/>
      <c r="H933"/>
      <c r="I933"/>
      <c r="J933"/>
      <c r="K933"/>
      <c r="L933"/>
      <c r="M933"/>
      <c r="N933"/>
      <c r="O933"/>
      <c r="P933" s="36"/>
      <c r="Q933" s="37"/>
      <c r="R933"/>
      <c r="S933"/>
      <c r="T933"/>
      <c r="U933"/>
      <c r="V933" s="39"/>
      <c r="W933"/>
      <c r="X933"/>
      <c r="Y933"/>
      <c r="Z933"/>
      <c r="AA933"/>
    </row>
    <row r="934" spans="1:27" x14ac:dyDescent="0.25">
      <c r="A934"/>
      <c r="B934" s="36"/>
      <c r="C934" s="36"/>
      <c r="D934"/>
      <c r="E934"/>
      <c r="F934"/>
      <c r="G934"/>
      <c r="H934"/>
      <c r="I934"/>
      <c r="J934"/>
      <c r="K934"/>
      <c r="L934"/>
      <c r="M934"/>
      <c r="N934"/>
      <c r="O934"/>
      <c r="P934" s="36"/>
      <c r="Q934" s="37"/>
      <c r="R934" s="44"/>
      <c r="S934"/>
      <c r="T934"/>
      <c r="U934"/>
      <c r="V934" s="39"/>
      <c r="W934"/>
      <c r="X934"/>
      <c r="Y934"/>
      <c r="Z934"/>
      <c r="AA934"/>
    </row>
    <row r="935" spans="1:27" x14ac:dyDescent="0.25">
      <c r="A935"/>
      <c r="B935" s="36"/>
      <c r="C935" s="36"/>
      <c r="D935"/>
      <c r="E935"/>
      <c r="F935"/>
      <c r="G935"/>
      <c r="H935"/>
      <c r="I935"/>
      <c r="J935"/>
      <c r="K935"/>
      <c r="L935"/>
      <c r="M935"/>
      <c r="N935"/>
      <c r="O935"/>
      <c r="P935" s="36"/>
      <c r="Q935" s="37"/>
      <c r="R935"/>
      <c r="S935"/>
      <c r="T935"/>
      <c r="U935"/>
      <c r="V935" s="39"/>
      <c r="W935"/>
      <c r="X935"/>
      <c r="Y935"/>
      <c r="Z935"/>
      <c r="AA935"/>
    </row>
    <row r="936" spans="1:27" x14ac:dyDescent="0.25">
      <c r="A936"/>
      <c r="B936" s="36"/>
      <c r="C936" s="36"/>
      <c r="D936"/>
      <c r="E936"/>
      <c r="F936"/>
      <c r="G936"/>
      <c r="H936"/>
      <c r="I936"/>
      <c r="J936"/>
      <c r="K936"/>
      <c r="L936"/>
      <c r="M936"/>
      <c r="N936"/>
      <c r="O936"/>
      <c r="P936" s="36"/>
      <c r="Q936" s="37"/>
      <c r="R936"/>
      <c r="S936"/>
      <c r="T936"/>
      <c r="U936"/>
      <c r="V936" s="39"/>
      <c r="W936"/>
      <c r="X936"/>
      <c r="Y936"/>
      <c r="Z936"/>
      <c r="AA936"/>
    </row>
    <row r="937" spans="1:27" x14ac:dyDescent="0.25">
      <c r="A937"/>
      <c r="B937" s="36"/>
      <c r="C937" s="36"/>
      <c r="D937"/>
      <c r="E937"/>
      <c r="F937"/>
      <c r="G937"/>
      <c r="H937"/>
      <c r="I937"/>
      <c r="J937"/>
      <c r="K937"/>
      <c r="L937"/>
      <c r="M937"/>
      <c r="N937"/>
      <c r="O937"/>
      <c r="P937" s="36"/>
      <c r="Q937" s="37"/>
      <c r="R937"/>
      <c r="S937"/>
      <c r="T937"/>
      <c r="U937"/>
      <c r="V937" s="39"/>
      <c r="W937"/>
      <c r="X937"/>
      <c r="Y937"/>
      <c r="Z937"/>
      <c r="AA937"/>
    </row>
    <row r="938" spans="1:27" x14ac:dyDescent="0.25">
      <c r="A938"/>
      <c r="B938" s="36"/>
      <c r="C938" s="36"/>
      <c r="D938"/>
      <c r="E938"/>
      <c r="F938"/>
      <c r="G938"/>
      <c r="H938"/>
      <c r="I938"/>
      <c r="J938"/>
      <c r="K938"/>
      <c r="L938"/>
      <c r="M938"/>
      <c r="N938"/>
      <c r="O938"/>
      <c r="P938" s="36"/>
      <c r="Q938" s="37"/>
      <c r="R938"/>
      <c r="S938"/>
      <c r="T938"/>
      <c r="U938"/>
      <c r="V938" s="39"/>
      <c r="W938"/>
      <c r="X938"/>
      <c r="Y938"/>
      <c r="Z938"/>
      <c r="AA938"/>
    </row>
    <row r="939" spans="1:27" x14ac:dyDescent="0.25">
      <c r="A939"/>
      <c r="B939" s="36"/>
      <c r="C939" s="36"/>
      <c r="D939"/>
      <c r="E939"/>
      <c r="F939"/>
      <c r="G939"/>
      <c r="H939"/>
      <c r="I939"/>
      <c r="J939"/>
      <c r="K939"/>
      <c r="L939"/>
      <c r="M939"/>
      <c r="N939"/>
      <c r="O939"/>
      <c r="P939" s="36"/>
      <c r="Q939" s="37"/>
      <c r="R939"/>
      <c r="S939"/>
      <c r="T939"/>
      <c r="U939"/>
      <c r="V939" s="39"/>
      <c r="W939"/>
      <c r="X939"/>
      <c r="Y939"/>
      <c r="Z939"/>
      <c r="AA939"/>
    </row>
    <row r="940" spans="1:27" x14ac:dyDescent="0.25">
      <c r="A940"/>
      <c r="B940" s="36"/>
      <c r="C940" s="36"/>
      <c r="D940"/>
      <c r="E940"/>
      <c r="F940"/>
      <c r="G940"/>
      <c r="H940"/>
      <c r="I940"/>
      <c r="J940"/>
      <c r="K940"/>
      <c r="L940"/>
      <c r="M940"/>
      <c r="N940"/>
      <c r="O940"/>
      <c r="P940" s="36"/>
      <c r="Q940" s="37"/>
      <c r="R940"/>
      <c r="S940"/>
      <c r="T940"/>
      <c r="U940"/>
      <c r="V940" s="39"/>
      <c r="W940"/>
      <c r="X940"/>
      <c r="Y940"/>
      <c r="Z940"/>
      <c r="AA940"/>
    </row>
    <row r="941" spans="1:27" x14ac:dyDescent="0.25">
      <c r="A941"/>
      <c r="B941" s="36"/>
      <c r="C941" s="36"/>
      <c r="D941"/>
      <c r="E941"/>
      <c r="F941"/>
      <c r="G941"/>
      <c r="H941"/>
      <c r="I941"/>
      <c r="J941"/>
      <c r="K941"/>
      <c r="L941"/>
      <c r="M941"/>
      <c r="N941"/>
      <c r="O941"/>
      <c r="P941" s="36"/>
      <c r="Q941" s="37"/>
      <c r="R941"/>
      <c r="S941"/>
      <c r="T941"/>
      <c r="U941"/>
      <c r="V941" s="39"/>
      <c r="W941"/>
      <c r="X941"/>
      <c r="Y941"/>
      <c r="Z941"/>
      <c r="AA941"/>
    </row>
    <row r="942" spans="1:27" x14ac:dyDescent="0.25">
      <c r="A942"/>
      <c r="B942" s="36"/>
      <c r="C942" s="36"/>
      <c r="D942"/>
      <c r="E942"/>
      <c r="F942"/>
      <c r="G942"/>
      <c r="H942"/>
      <c r="I942"/>
      <c r="J942"/>
      <c r="K942"/>
      <c r="L942"/>
      <c r="M942"/>
      <c r="N942"/>
      <c r="O942"/>
      <c r="P942" s="36"/>
      <c r="Q942" s="37"/>
      <c r="R942"/>
      <c r="S942"/>
      <c r="T942"/>
      <c r="U942"/>
      <c r="V942" s="39"/>
      <c r="W942"/>
      <c r="X942"/>
      <c r="Y942"/>
      <c r="Z942"/>
      <c r="AA942"/>
    </row>
    <row r="943" spans="1:27" x14ac:dyDescent="0.25">
      <c r="A943"/>
      <c r="B943" s="36"/>
      <c r="C943" s="36"/>
      <c r="D943"/>
      <c r="E943"/>
      <c r="F943"/>
      <c r="G943"/>
      <c r="H943"/>
      <c r="I943"/>
      <c r="J943"/>
      <c r="K943"/>
      <c r="L943"/>
      <c r="M943"/>
      <c r="N943"/>
      <c r="O943"/>
      <c r="P943" s="36"/>
      <c r="Q943" s="37"/>
      <c r="R943"/>
      <c r="S943"/>
      <c r="T943"/>
      <c r="U943"/>
      <c r="V943" s="39"/>
      <c r="W943"/>
      <c r="X943"/>
      <c r="Y943"/>
      <c r="Z943"/>
      <c r="AA943"/>
    </row>
    <row r="944" spans="1:27" x14ac:dyDescent="0.25">
      <c r="A944"/>
      <c r="B944" s="36"/>
      <c r="C944" s="36"/>
      <c r="D944"/>
      <c r="E944"/>
      <c r="F944"/>
      <c r="G944"/>
      <c r="H944"/>
      <c r="I944"/>
      <c r="J944"/>
      <c r="K944"/>
      <c r="L944"/>
      <c r="M944"/>
      <c r="N944"/>
      <c r="O944"/>
      <c r="P944" s="36"/>
      <c r="Q944" s="37"/>
      <c r="R944"/>
      <c r="S944"/>
      <c r="T944"/>
      <c r="U944"/>
      <c r="V944" s="39"/>
      <c r="W944"/>
      <c r="X944"/>
      <c r="Y944"/>
      <c r="Z944"/>
      <c r="AA944"/>
    </row>
    <row r="945" spans="1:27" x14ac:dyDescent="0.25">
      <c r="A945"/>
      <c r="B945" s="36"/>
      <c r="C945" s="36"/>
      <c r="D945"/>
      <c r="E945"/>
      <c r="F945"/>
      <c r="G945"/>
      <c r="H945"/>
      <c r="I945"/>
      <c r="J945"/>
      <c r="K945"/>
      <c r="L945"/>
      <c r="M945"/>
      <c r="N945"/>
      <c r="O945"/>
      <c r="P945" s="36"/>
      <c r="Q945" s="37"/>
      <c r="R945"/>
      <c r="S945"/>
      <c r="T945"/>
      <c r="U945"/>
      <c r="V945" s="39"/>
      <c r="W945"/>
      <c r="X945"/>
      <c r="Y945"/>
      <c r="Z945"/>
      <c r="AA945"/>
    </row>
    <row r="946" spans="1:27" x14ac:dyDescent="0.25">
      <c r="A946"/>
      <c r="B946" s="36"/>
      <c r="C946" s="36"/>
      <c r="D946"/>
      <c r="E946"/>
      <c r="F946"/>
      <c r="G946"/>
      <c r="H946"/>
      <c r="I946"/>
      <c r="J946"/>
      <c r="K946"/>
      <c r="L946"/>
      <c r="M946"/>
      <c r="N946"/>
      <c r="O946"/>
      <c r="P946" s="36"/>
      <c r="Q946" s="37"/>
      <c r="R946"/>
      <c r="S946"/>
      <c r="T946"/>
      <c r="U946"/>
      <c r="V946" s="39"/>
      <c r="W946"/>
      <c r="X946"/>
      <c r="Y946"/>
      <c r="Z946"/>
      <c r="AA946"/>
    </row>
    <row r="947" spans="1:27" x14ac:dyDescent="0.25">
      <c r="A947"/>
      <c r="B947" s="36"/>
      <c r="C947" s="36"/>
      <c r="D947"/>
      <c r="E947"/>
      <c r="F947"/>
      <c r="G947"/>
      <c r="H947"/>
      <c r="I947"/>
      <c r="J947"/>
      <c r="K947"/>
      <c r="L947"/>
      <c r="M947"/>
      <c r="N947"/>
      <c r="O947"/>
      <c r="P947" s="36"/>
      <c r="Q947" s="37"/>
      <c r="R947"/>
      <c r="S947"/>
      <c r="T947"/>
      <c r="U947"/>
      <c r="V947" s="39"/>
      <c r="W947"/>
      <c r="X947"/>
      <c r="Y947"/>
      <c r="Z947"/>
      <c r="AA947"/>
    </row>
    <row r="948" spans="1:27" x14ac:dyDescent="0.25">
      <c r="A948"/>
      <c r="B948" s="36"/>
      <c r="C948" s="36"/>
      <c r="D948"/>
      <c r="E948"/>
      <c r="F948"/>
      <c r="G948"/>
      <c r="H948"/>
      <c r="I948"/>
      <c r="J948"/>
      <c r="K948"/>
      <c r="L948"/>
      <c r="M948"/>
      <c r="N948"/>
      <c r="O948"/>
      <c r="P948" s="36"/>
      <c r="Q948" s="37"/>
      <c r="R948"/>
      <c r="S948"/>
      <c r="T948"/>
      <c r="U948"/>
      <c r="V948" s="39"/>
      <c r="W948"/>
      <c r="X948"/>
      <c r="Y948"/>
      <c r="Z948"/>
      <c r="AA948"/>
    </row>
    <row r="949" spans="1:27" x14ac:dyDescent="0.25">
      <c r="A949"/>
      <c r="B949" s="36"/>
      <c r="C949" s="36"/>
      <c r="D949"/>
      <c r="E949"/>
      <c r="F949"/>
      <c r="G949"/>
      <c r="H949"/>
      <c r="I949"/>
      <c r="J949"/>
      <c r="K949"/>
      <c r="L949"/>
      <c r="M949"/>
      <c r="N949"/>
      <c r="O949"/>
      <c r="P949" s="36"/>
      <c r="Q949" s="37"/>
      <c r="R949"/>
      <c r="S949"/>
      <c r="T949"/>
      <c r="U949"/>
      <c r="V949" s="39"/>
      <c r="W949"/>
      <c r="X949"/>
      <c r="Y949"/>
      <c r="Z949"/>
      <c r="AA949"/>
    </row>
    <row r="950" spans="1:27" x14ac:dyDescent="0.25">
      <c r="A950"/>
      <c r="B950" s="36"/>
      <c r="C950" s="36"/>
      <c r="D950"/>
      <c r="E950"/>
      <c r="F950"/>
      <c r="G950"/>
      <c r="H950"/>
      <c r="I950"/>
      <c r="J950"/>
      <c r="K950"/>
      <c r="L950"/>
      <c r="M950"/>
      <c r="N950"/>
      <c r="O950"/>
      <c r="P950" s="36"/>
      <c r="Q950" s="37"/>
      <c r="R950"/>
      <c r="S950"/>
      <c r="T950"/>
      <c r="U950"/>
      <c r="V950" s="39"/>
      <c r="W950"/>
      <c r="X950"/>
      <c r="Y950"/>
      <c r="Z950"/>
      <c r="AA950"/>
    </row>
    <row r="951" spans="1:27" x14ac:dyDescent="0.25">
      <c r="A951"/>
      <c r="B951" s="36"/>
      <c r="C951" s="36"/>
      <c r="D951"/>
      <c r="E951"/>
      <c r="F951"/>
      <c r="G951"/>
      <c r="H951"/>
      <c r="I951"/>
      <c r="J951"/>
      <c r="K951"/>
      <c r="L951"/>
      <c r="M951"/>
      <c r="N951"/>
      <c r="O951"/>
      <c r="P951" s="36"/>
      <c r="Q951" s="37"/>
      <c r="R951"/>
      <c r="S951"/>
      <c r="T951"/>
      <c r="U951"/>
      <c r="V951" s="39"/>
      <c r="W951"/>
      <c r="X951"/>
      <c r="Y951"/>
      <c r="Z951"/>
      <c r="AA951"/>
    </row>
    <row r="952" spans="1:27" x14ac:dyDescent="0.25">
      <c r="A952"/>
      <c r="B952" s="36"/>
      <c r="C952" s="36"/>
      <c r="D952"/>
      <c r="E952"/>
      <c r="F952"/>
      <c r="G952"/>
      <c r="H952"/>
      <c r="I952"/>
      <c r="J952"/>
      <c r="K952"/>
      <c r="L952"/>
      <c r="M952"/>
      <c r="N952"/>
      <c r="O952"/>
      <c r="P952" s="36"/>
      <c r="Q952" s="37"/>
      <c r="R952" s="44"/>
      <c r="S952"/>
      <c r="T952"/>
      <c r="U952"/>
      <c r="V952" s="39"/>
      <c r="W952"/>
      <c r="X952"/>
      <c r="Y952"/>
      <c r="Z952"/>
      <c r="AA952"/>
    </row>
    <row r="953" spans="1:27" x14ac:dyDescent="0.25">
      <c r="A953"/>
      <c r="B953" s="36"/>
      <c r="C953" s="36"/>
      <c r="D953"/>
      <c r="E953"/>
      <c r="F953"/>
      <c r="G953"/>
      <c r="H953"/>
      <c r="I953"/>
      <c r="J953"/>
      <c r="K953"/>
      <c r="L953"/>
      <c r="M953"/>
      <c r="N953"/>
      <c r="O953"/>
      <c r="P953" s="36"/>
      <c r="Q953" s="37"/>
      <c r="R953"/>
      <c r="S953"/>
      <c r="T953"/>
      <c r="U953"/>
      <c r="V953" s="39"/>
      <c r="W953"/>
      <c r="X953"/>
      <c r="Y953"/>
      <c r="Z953"/>
      <c r="AA953"/>
    </row>
    <row r="954" spans="1:27" x14ac:dyDescent="0.25">
      <c r="A954"/>
      <c r="B954" s="36"/>
      <c r="C954" s="36"/>
      <c r="D954"/>
      <c r="E954"/>
      <c r="F954"/>
      <c r="G954"/>
      <c r="H954"/>
      <c r="I954"/>
      <c r="J954"/>
      <c r="K954"/>
      <c r="L954"/>
      <c r="M954"/>
      <c r="N954"/>
      <c r="O954"/>
      <c r="P954" s="36"/>
      <c r="Q954" s="37"/>
      <c r="R954"/>
      <c r="S954"/>
      <c r="T954"/>
      <c r="U954"/>
      <c r="V954" s="39"/>
      <c r="W954"/>
      <c r="X954"/>
      <c r="Y954"/>
      <c r="Z954"/>
      <c r="AA954"/>
    </row>
    <row r="955" spans="1:27" x14ac:dyDescent="0.25">
      <c r="A955"/>
      <c r="B955" s="36"/>
      <c r="C955" s="36"/>
      <c r="D955"/>
      <c r="E955"/>
      <c r="F955"/>
      <c r="G955"/>
      <c r="H955"/>
      <c r="I955"/>
      <c r="J955"/>
      <c r="K955"/>
      <c r="L955"/>
      <c r="M955"/>
      <c r="N955"/>
      <c r="O955"/>
      <c r="P955" s="36"/>
      <c r="Q955" s="37"/>
      <c r="R955"/>
      <c r="S955"/>
      <c r="T955"/>
      <c r="U955"/>
      <c r="V955" s="39"/>
      <c r="W955"/>
      <c r="X955"/>
      <c r="Y955"/>
      <c r="Z955"/>
      <c r="AA955"/>
    </row>
    <row r="956" spans="1:27" x14ac:dyDescent="0.25">
      <c r="A956"/>
      <c r="B956" s="36"/>
      <c r="C956" s="36"/>
      <c r="D956"/>
      <c r="E956"/>
      <c r="F956"/>
      <c r="G956"/>
      <c r="H956"/>
      <c r="I956"/>
      <c r="J956"/>
      <c r="K956"/>
      <c r="L956"/>
      <c r="M956"/>
      <c r="N956"/>
      <c r="O956"/>
      <c r="P956" s="36"/>
      <c r="Q956" s="37"/>
      <c r="R956"/>
      <c r="S956"/>
      <c r="T956"/>
      <c r="U956"/>
      <c r="V956" s="39"/>
      <c r="W956"/>
      <c r="X956"/>
      <c r="Y956"/>
      <c r="Z956"/>
      <c r="AA956"/>
    </row>
    <row r="957" spans="1:27" x14ac:dyDescent="0.25">
      <c r="A957"/>
      <c r="B957" s="36"/>
      <c r="C957" s="36"/>
      <c r="D957"/>
      <c r="E957"/>
      <c r="F957"/>
      <c r="G957"/>
      <c r="H957"/>
      <c r="I957"/>
      <c r="J957"/>
      <c r="K957"/>
      <c r="L957"/>
      <c r="M957"/>
      <c r="N957"/>
      <c r="O957"/>
      <c r="P957" s="36"/>
      <c r="Q957" s="37"/>
      <c r="R957"/>
      <c r="S957"/>
      <c r="T957"/>
      <c r="U957"/>
      <c r="V957" s="39"/>
      <c r="W957"/>
      <c r="X957"/>
      <c r="Y957"/>
      <c r="Z957"/>
      <c r="AA957"/>
    </row>
    <row r="958" spans="1:27" x14ac:dyDescent="0.25">
      <c r="A958"/>
      <c r="B958" s="36"/>
      <c r="C958" s="36"/>
      <c r="D958"/>
      <c r="E958"/>
      <c r="F958"/>
      <c r="G958"/>
      <c r="H958"/>
      <c r="I958"/>
      <c r="J958"/>
      <c r="K958"/>
      <c r="L958"/>
      <c r="M958"/>
      <c r="N958"/>
      <c r="O958"/>
      <c r="P958" s="36"/>
      <c r="Q958" s="37"/>
      <c r="R958"/>
      <c r="S958"/>
      <c r="T958"/>
      <c r="U958"/>
      <c r="V958" s="39"/>
      <c r="W958"/>
      <c r="X958"/>
      <c r="Y958"/>
      <c r="Z958"/>
      <c r="AA958"/>
    </row>
    <row r="959" spans="1:27" x14ac:dyDescent="0.25">
      <c r="A959"/>
      <c r="B959" s="36"/>
      <c r="C959" s="36"/>
      <c r="D959"/>
      <c r="E959"/>
      <c r="F959"/>
      <c r="G959"/>
      <c r="H959"/>
      <c r="I959"/>
      <c r="J959"/>
      <c r="K959"/>
      <c r="L959"/>
      <c r="M959"/>
      <c r="N959"/>
      <c r="O959"/>
      <c r="P959" s="36"/>
      <c r="Q959" s="37"/>
      <c r="R959"/>
      <c r="S959"/>
      <c r="T959"/>
      <c r="U959"/>
      <c r="V959" s="39"/>
      <c r="W959"/>
      <c r="X959"/>
      <c r="Y959"/>
      <c r="Z959"/>
      <c r="AA959"/>
    </row>
    <row r="960" spans="1:27" x14ac:dyDescent="0.25">
      <c r="A960"/>
      <c r="B960" s="36"/>
      <c r="C960" s="36"/>
      <c r="D960"/>
      <c r="E960"/>
      <c r="F960"/>
      <c r="G960"/>
      <c r="H960"/>
      <c r="I960"/>
      <c r="J960"/>
      <c r="K960"/>
      <c r="L960"/>
      <c r="M960"/>
      <c r="N960"/>
      <c r="O960"/>
      <c r="P960" s="36"/>
      <c r="Q960" s="37"/>
      <c r="R960"/>
      <c r="S960"/>
      <c r="T960"/>
      <c r="U960"/>
      <c r="V960" s="39"/>
      <c r="W960"/>
      <c r="X960"/>
      <c r="Y960"/>
      <c r="Z960"/>
      <c r="AA960"/>
    </row>
    <row r="961" spans="1:27" x14ac:dyDescent="0.25">
      <c r="A961"/>
      <c r="B961" s="36"/>
      <c r="C961" s="36"/>
      <c r="D961"/>
      <c r="E961"/>
      <c r="F961"/>
      <c r="G961"/>
      <c r="H961"/>
      <c r="I961"/>
      <c r="J961"/>
      <c r="K961"/>
      <c r="L961"/>
      <c r="M961"/>
      <c r="N961"/>
      <c r="O961"/>
      <c r="P961" s="36"/>
      <c r="Q961" s="37"/>
      <c r="R961"/>
      <c r="S961"/>
      <c r="T961"/>
      <c r="U961"/>
      <c r="V961" s="39"/>
      <c r="W961"/>
      <c r="X961"/>
      <c r="Y961"/>
      <c r="Z961"/>
      <c r="AA961"/>
    </row>
    <row r="962" spans="1:27" x14ac:dyDescent="0.25">
      <c r="A962"/>
      <c r="B962" s="36"/>
      <c r="C962" s="36"/>
      <c r="D962"/>
      <c r="E962"/>
      <c r="F962"/>
      <c r="G962"/>
      <c r="H962"/>
      <c r="I962"/>
      <c r="J962"/>
      <c r="K962"/>
      <c r="L962"/>
      <c r="M962"/>
      <c r="N962"/>
      <c r="O962"/>
      <c r="P962" s="36"/>
      <c r="Q962" s="37"/>
      <c r="R962"/>
      <c r="S962"/>
      <c r="T962"/>
      <c r="U962"/>
      <c r="V962" s="39"/>
      <c r="W962"/>
      <c r="X962"/>
      <c r="Y962"/>
      <c r="Z962"/>
      <c r="AA962"/>
    </row>
    <row r="963" spans="1:27" x14ac:dyDescent="0.25">
      <c r="A963"/>
      <c r="B963" s="36"/>
      <c r="C963" s="36"/>
      <c r="D963"/>
      <c r="E963"/>
      <c r="F963"/>
      <c r="G963"/>
      <c r="H963"/>
      <c r="I963"/>
      <c r="J963"/>
      <c r="K963"/>
      <c r="L963"/>
      <c r="M963"/>
      <c r="N963"/>
      <c r="O963"/>
      <c r="P963" s="36"/>
      <c r="Q963" s="37"/>
      <c r="R963"/>
      <c r="S963"/>
      <c r="T963"/>
      <c r="U963"/>
      <c r="V963" s="39"/>
      <c r="W963"/>
      <c r="X963"/>
      <c r="Y963"/>
      <c r="Z963"/>
      <c r="AA963"/>
    </row>
    <row r="964" spans="1:27" x14ac:dyDescent="0.25">
      <c r="A964"/>
      <c r="B964" s="36"/>
      <c r="C964" s="36"/>
      <c r="D964"/>
      <c r="E964"/>
      <c r="F964"/>
      <c r="G964"/>
      <c r="H964"/>
      <c r="I964"/>
      <c r="J964"/>
      <c r="K964"/>
      <c r="L964"/>
      <c r="M964"/>
      <c r="N964"/>
      <c r="O964"/>
      <c r="P964" s="36"/>
      <c r="Q964" s="37"/>
      <c r="R964"/>
      <c r="S964"/>
      <c r="T964"/>
      <c r="U964"/>
      <c r="V964" s="39"/>
      <c r="W964"/>
      <c r="X964"/>
      <c r="Y964"/>
      <c r="Z964"/>
      <c r="AA964"/>
    </row>
    <row r="965" spans="1:27" x14ac:dyDescent="0.25">
      <c r="A965"/>
      <c r="B965" s="36"/>
      <c r="C965" s="36"/>
      <c r="D965"/>
      <c r="E965"/>
      <c r="F965"/>
      <c r="G965"/>
      <c r="H965"/>
      <c r="I965"/>
      <c r="J965"/>
      <c r="K965"/>
      <c r="L965"/>
      <c r="M965"/>
      <c r="N965"/>
      <c r="O965"/>
      <c r="P965" s="36"/>
      <c r="Q965" s="37"/>
      <c r="R965"/>
      <c r="S965"/>
      <c r="T965"/>
      <c r="U965"/>
      <c r="V965" s="39"/>
      <c r="W965"/>
      <c r="X965"/>
      <c r="Y965"/>
      <c r="Z965"/>
      <c r="AA965"/>
    </row>
    <row r="966" spans="1:27" x14ac:dyDescent="0.25">
      <c r="A966"/>
      <c r="B966" s="36"/>
      <c r="C966" s="36"/>
      <c r="D966"/>
      <c r="E966"/>
      <c r="F966"/>
      <c r="G966"/>
      <c r="H966"/>
      <c r="I966"/>
      <c r="J966"/>
      <c r="K966"/>
      <c r="L966"/>
      <c r="M966"/>
      <c r="N966"/>
      <c r="O966"/>
      <c r="P966" s="36"/>
      <c r="Q966" s="37"/>
      <c r="R966"/>
      <c r="S966"/>
      <c r="T966"/>
      <c r="U966"/>
      <c r="V966" s="39"/>
      <c r="W966"/>
      <c r="X966"/>
      <c r="Y966"/>
      <c r="Z966"/>
      <c r="AA966"/>
    </row>
    <row r="967" spans="1:27" x14ac:dyDescent="0.25">
      <c r="A967"/>
      <c r="B967" s="36"/>
      <c r="C967" s="36"/>
      <c r="D967"/>
      <c r="E967"/>
      <c r="F967"/>
      <c r="G967"/>
      <c r="H967"/>
      <c r="I967"/>
      <c r="J967"/>
      <c r="K967"/>
      <c r="L967"/>
      <c r="M967"/>
      <c r="N967"/>
      <c r="O967"/>
      <c r="P967" s="36"/>
      <c r="Q967" s="37"/>
      <c r="R967"/>
      <c r="S967"/>
      <c r="T967"/>
      <c r="U967"/>
      <c r="V967" s="39"/>
      <c r="W967"/>
      <c r="X967"/>
      <c r="Y967"/>
      <c r="Z967"/>
      <c r="AA967"/>
    </row>
    <row r="968" spans="1:27" x14ac:dyDescent="0.25">
      <c r="A968"/>
      <c r="B968" s="36"/>
      <c r="C968" s="36"/>
      <c r="D968"/>
      <c r="E968"/>
      <c r="F968"/>
      <c r="G968"/>
      <c r="H968"/>
      <c r="I968"/>
      <c r="J968"/>
      <c r="K968"/>
      <c r="L968"/>
      <c r="M968"/>
      <c r="N968"/>
      <c r="O968"/>
      <c r="P968" s="36"/>
      <c r="Q968" s="37"/>
      <c r="R968"/>
      <c r="S968"/>
      <c r="T968"/>
      <c r="U968"/>
      <c r="V968" s="39"/>
      <c r="W968"/>
      <c r="X968"/>
      <c r="Y968"/>
      <c r="Z968"/>
      <c r="AA968"/>
    </row>
    <row r="969" spans="1:27" x14ac:dyDescent="0.25">
      <c r="A969"/>
      <c r="B969" s="36"/>
      <c r="C969" s="36"/>
      <c r="D969"/>
      <c r="E969"/>
      <c r="F969"/>
      <c r="G969"/>
      <c r="H969"/>
      <c r="I969"/>
      <c r="J969"/>
      <c r="K969"/>
      <c r="L969"/>
      <c r="M969"/>
      <c r="N969"/>
      <c r="O969"/>
      <c r="P969" s="36"/>
      <c r="Q969" s="37"/>
      <c r="R969"/>
      <c r="S969"/>
      <c r="T969"/>
      <c r="U969"/>
      <c r="V969" s="39"/>
      <c r="W969"/>
      <c r="X969"/>
      <c r="Y969"/>
      <c r="Z969"/>
      <c r="AA969"/>
    </row>
    <row r="970" spans="1:27" x14ac:dyDescent="0.25">
      <c r="A970"/>
      <c r="B970" s="36"/>
      <c r="C970" s="36"/>
      <c r="D970"/>
      <c r="E970"/>
      <c r="F970"/>
      <c r="G970"/>
      <c r="H970"/>
      <c r="I970"/>
      <c r="J970"/>
      <c r="K970"/>
      <c r="L970"/>
      <c r="M970"/>
      <c r="N970"/>
      <c r="O970"/>
      <c r="P970" s="36"/>
      <c r="Q970" s="37"/>
      <c r="R970"/>
      <c r="S970"/>
      <c r="T970"/>
      <c r="U970"/>
      <c r="V970" s="39"/>
      <c r="W970"/>
      <c r="X970"/>
      <c r="Y970"/>
      <c r="Z970"/>
      <c r="AA970"/>
    </row>
    <row r="971" spans="1:27" x14ac:dyDescent="0.25">
      <c r="A971"/>
      <c r="B971" s="36"/>
      <c r="C971" s="36"/>
      <c r="D971"/>
      <c r="E971"/>
      <c r="F971"/>
      <c r="G971"/>
      <c r="H971"/>
      <c r="I971"/>
      <c r="J971"/>
      <c r="K971"/>
      <c r="L971"/>
      <c r="M971"/>
      <c r="N971"/>
      <c r="O971"/>
      <c r="P971" s="36"/>
      <c r="Q971" s="37"/>
      <c r="R971"/>
      <c r="S971"/>
      <c r="T971"/>
      <c r="U971"/>
      <c r="V971" s="39"/>
      <c r="W971"/>
      <c r="X971"/>
      <c r="Y971"/>
      <c r="Z971"/>
      <c r="AA971"/>
    </row>
    <row r="972" spans="1:27" x14ac:dyDescent="0.25">
      <c r="A972"/>
      <c r="B972" s="36"/>
      <c r="C972" s="36"/>
      <c r="D972"/>
      <c r="E972"/>
      <c r="F972"/>
      <c r="G972"/>
      <c r="H972"/>
      <c r="I972"/>
      <c r="J972"/>
      <c r="K972"/>
      <c r="L972"/>
      <c r="M972"/>
      <c r="N972"/>
      <c r="O972"/>
      <c r="P972" s="36"/>
      <c r="Q972" s="37"/>
      <c r="R972"/>
      <c r="S972"/>
      <c r="T972"/>
      <c r="U972"/>
      <c r="V972" s="39"/>
      <c r="W972"/>
      <c r="X972"/>
      <c r="Y972"/>
      <c r="Z972"/>
      <c r="AA972"/>
    </row>
    <row r="973" spans="1:27" x14ac:dyDescent="0.25">
      <c r="A973"/>
      <c r="B973" s="36"/>
      <c r="C973" s="36"/>
      <c r="D973"/>
      <c r="E973"/>
      <c r="F973"/>
      <c r="G973"/>
      <c r="H973"/>
      <c r="I973"/>
      <c r="J973"/>
      <c r="K973"/>
      <c r="L973"/>
      <c r="M973"/>
      <c r="N973"/>
      <c r="O973"/>
      <c r="P973" s="36"/>
      <c r="Q973" s="37"/>
      <c r="R973"/>
      <c r="S973"/>
      <c r="T973"/>
      <c r="U973"/>
      <c r="V973" s="39"/>
      <c r="W973"/>
      <c r="X973"/>
      <c r="Y973"/>
      <c r="Z973"/>
      <c r="AA973"/>
    </row>
    <row r="974" spans="1:27" x14ac:dyDescent="0.25">
      <c r="A974"/>
      <c r="B974" s="36"/>
      <c r="C974" s="36"/>
      <c r="D974"/>
      <c r="E974"/>
      <c r="F974"/>
      <c r="G974"/>
      <c r="H974"/>
      <c r="I974"/>
      <c r="J974"/>
      <c r="K974"/>
      <c r="L974"/>
      <c r="M974"/>
      <c r="N974"/>
      <c r="O974"/>
      <c r="P974" s="36"/>
      <c r="Q974" s="37"/>
      <c r="R974"/>
      <c r="S974"/>
      <c r="T974"/>
      <c r="U974"/>
      <c r="V974" s="39"/>
      <c r="W974"/>
      <c r="X974"/>
      <c r="Y974"/>
      <c r="Z974"/>
      <c r="AA974"/>
    </row>
    <row r="975" spans="1:27" x14ac:dyDescent="0.25">
      <c r="A975"/>
      <c r="B975" s="36"/>
      <c r="C975" s="36"/>
      <c r="D975"/>
      <c r="E975"/>
      <c r="F975"/>
      <c r="G975"/>
      <c r="H975"/>
      <c r="I975"/>
      <c r="J975"/>
      <c r="K975"/>
      <c r="L975"/>
      <c r="M975"/>
      <c r="N975"/>
      <c r="O975"/>
      <c r="P975" s="36"/>
      <c r="Q975" s="37"/>
      <c r="R975"/>
      <c r="S975"/>
      <c r="T975"/>
      <c r="U975"/>
      <c r="V975" s="39"/>
      <c r="W975"/>
      <c r="X975"/>
      <c r="Y975"/>
      <c r="Z975"/>
      <c r="AA975"/>
    </row>
    <row r="976" spans="1:27" x14ac:dyDescent="0.25">
      <c r="A976"/>
      <c r="B976" s="36"/>
      <c r="C976" s="36"/>
      <c r="D976"/>
      <c r="E976"/>
      <c r="F976"/>
      <c r="G976"/>
      <c r="H976"/>
      <c r="I976"/>
      <c r="J976"/>
      <c r="K976"/>
      <c r="L976"/>
      <c r="M976"/>
      <c r="N976"/>
      <c r="O976"/>
      <c r="P976" s="36"/>
      <c r="Q976" s="37"/>
      <c r="R976"/>
      <c r="S976"/>
      <c r="T976"/>
      <c r="U976"/>
      <c r="V976" s="39"/>
      <c r="W976"/>
      <c r="X976"/>
      <c r="Y976"/>
      <c r="Z976"/>
      <c r="AA976"/>
    </row>
    <row r="977" spans="1:27" x14ac:dyDescent="0.25">
      <c r="A977"/>
      <c r="B977" s="36"/>
      <c r="C977" s="36"/>
      <c r="D977"/>
      <c r="E977"/>
      <c r="F977"/>
      <c r="G977"/>
      <c r="H977"/>
      <c r="I977"/>
      <c r="J977"/>
      <c r="K977"/>
      <c r="L977"/>
      <c r="M977"/>
      <c r="N977"/>
      <c r="O977"/>
      <c r="P977" s="36"/>
      <c r="Q977" s="37"/>
      <c r="R977"/>
      <c r="S977"/>
      <c r="T977"/>
      <c r="U977"/>
      <c r="V977" s="39"/>
      <c r="W977"/>
      <c r="X977"/>
      <c r="Y977"/>
      <c r="Z977"/>
      <c r="AA977"/>
    </row>
    <row r="978" spans="1:27" x14ac:dyDescent="0.25">
      <c r="A978"/>
      <c r="B978" s="36"/>
      <c r="C978" s="36"/>
      <c r="D978"/>
      <c r="E978"/>
      <c r="F978"/>
      <c r="G978"/>
      <c r="H978"/>
      <c r="I978"/>
      <c r="J978"/>
      <c r="K978"/>
      <c r="L978"/>
      <c r="M978"/>
      <c r="N978"/>
      <c r="O978"/>
      <c r="P978" s="36"/>
      <c r="Q978" s="37"/>
      <c r="R978"/>
      <c r="S978"/>
      <c r="T978"/>
      <c r="U978"/>
      <c r="V978" s="39"/>
      <c r="W978"/>
      <c r="X978"/>
      <c r="Y978"/>
      <c r="Z978"/>
      <c r="AA978"/>
    </row>
    <row r="979" spans="1:27" x14ac:dyDescent="0.25">
      <c r="A979"/>
      <c r="B979" s="36"/>
      <c r="C979" s="36"/>
      <c r="D979"/>
      <c r="E979"/>
      <c r="F979"/>
      <c r="G979"/>
      <c r="H979"/>
      <c r="I979"/>
      <c r="J979"/>
      <c r="K979"/>
      <c r="L979"/>
      <c r="M979"/>
      <c r="N979"/>
      <c r="O979"/>
      <c r="P979" s="36"/>
      <c r="Q979" s="37"/>
      <c r="R979"/>
      <c r="S979"/>
      <c r="T979"/>
      <c r="U979"/>
      <c r="V979" s="39"/>
      <c r="W979"/>
      <c r="X979"/>
      <c r="Y979"/>
      <c r="Z979"/>
      <c r="AA979"/>
    </row>
    <row r="980" spans="1:27" x14ac:dyDescent="0.25">
      <c r="A980"/>
      <c r="B980" s="36"/>
      <c r="C980" s="36"/>
      <c r="D980"/>
      <c r="E980"/>
      <c r="F980"/>
      <c r="G980"/>
      <c r="H980"/>
      <c r="I980"/>
      <c r="J980"/>
      <c r="K980"/>
      <c r="L980"/>
      <c r="M980"/>
      <c r="N980"/>
      <c r="O980"/>
      <c r="P980" s="36"/>
      <c r="Q980" s="37"/>
      <c r="R980"/>
      <c r="S980"/>
      <c r="T980"/>
      <c r="U980"/>
      <c r="V980" s="39"/>
      <c r="W980"/>
      <c r="X980"/>
      <c r="Y980"/>
      <c r="Z980"/>
      <c r="AA980"/>
    </row>
    <row r="981" spans="1:27" x14ac:dyDescent="0.25">
      <c r="A981"/>
      <c r="B981" s="36"/>
      <c r="C981" s="36"/>
      <c r="D981"/>
      <c r="E981"/>
      <c r="F981"/>
      <c r="G981"/>
      <c r="H981"/>
      <c r="I981"/>
      <c r="J981"/>
      <c r="K981"/>
      <c r="L981"/>
      <c r="M981"/>
      <c r="N981"/>
      <c r="O981"/>
      <c r="P981" s="36"/>
      <c r="Q981" s="37"/>
      <c r="R981"/>
      <c r="S981"/>
      <c r="T981"/>
      <c r="U981"/>
      <c r="V981" s="39"/>
      <c r="W981"/>
      <c r="X981"/>
      <c r="Y981"/>
      <c r="Z981"/>
      <c r="AA981"/>
    </row>
    <row r="982" spans="1:27" x14ac:dyDescent="0.25">
      <c r="A982"/>
      <c r="B982" s="36"/>
      <c r="C982" s="36"/>
      <c r="D982"/>
      <c r="E982"/>
      <c r="F982"/>
      <c r="G982"/>
      <c r="H982"/>
      <c r="I982"/>
      <c r="J982"/>
      <c r="K982"/>
      <c r="L982"/>
      <c r="M982"/>
      <c r="N982"/>
      <c r="O982"/>
      <c r="P982" s="36"/>
      <c r="Q982" s="37"/>
      <c r="R982"/>
      <c r="S982"/>
      <c r="T982"/>
      <c r="U982"/>
      <c r="V982" s="39"/>
      <c r="W982"/>
      <c r="X982"/>
      <c r="Y982"/>
      <c r="Z982"/>
      <c r="AA982"/>
    </row>
    <row r="983" spans="1:27" x14ac:dyDescent="0.25">
      <c r="A983"/>
      <c r="B983" s="36"/>
      <c r="C983" s="36"/>
      <c r="D983"/>
      <c r="E983"/>
      <c r="F983"/>
      <c r="G983"/>
      <c r="H983"/>
      <c r="I983"/>
      <c r="J983"/>
      <c r="K983"/>
      <c r="L983"/>
      <c r="M983"/>
      <c r="N983"/>
      <c r="O983"/>
      <c r="P983" s="36"/>
      <c r="Q983" s="37"/>
      <c r="R983"/>
      <c r="S983"/>
      <c r="T983"/>
      <c r="U983"/>
      <c r="V983" s="39"/>
      <c r="W983"/>
      <c r="X983"/>
      <c r="Y983"/>
      <c r="Z983"/>
      <c r="AA983"/>
    </row>
    <row r="984" spans="1:27" x14ac:dyDescent="0.25">
      <c r="A984"/>
      <c r="B984" s="36"/>
      <c r="C984" s="36"/>
      <c r="D984"/>
      <c r="E984"/>
      <c r="F984"/>
      <c r="G984"/>
      <c r="H984"/>
      <c r="I984"/>
      <c r="J984"/>
      <c r="K984"/>
      <c r="L984"/>
      <c r="M984"/>
      <c r="N984"/>
      <c r="O984"/>
      <c r="P984" s="36"/>
      <c r="Q984" s="37"/>
      <c r="R984"/>
      <c r="S984"/>
      <c r="T984"/>
      <c r="U984"/>
      <c r="V984" s="39"/>
      <c r="W984"/>
      <c r="X984"/>
      <c r="Y984"/>
      <c r="Z984"/>
      <c r="AA984"/>
    </row>
    <row r="985" spans="1:27" x14ac:dyDescent="0.25">
      <c r="A985"/>
      <c r="B985" s="36"/>
      <c r="C985" s="36"/>
      <c r="D985"/>
      <c r="E985"/>
      <c r="F985"/>
      <c r="G985"/>
      <c r="H985"/>
      <c r="I985"/>
      <c r="J985"/>
      <c r="K985"/>
      <c r="L985"/>
      <c r="M985"/>
      <c r="N985"/>
      <c r="O985"/>
      <c r="P985" s="36"/>
      <c r="Q985" s="37"/>
      <c r="R985"/>
      <c r="S985"/>
      <c r="T985"/>
      <c r="U985"/>
      <c r="V985" s="39"/>
      <c r="W985"/>
      <c r="X985"/>
      <c r="Y985"/>
      <c r="Z985"/>
      <c r="AA985"/>
    </row>
    <row r="986" spans="1:27" x14ac:dyDescent="0.25">
      <c r="A986"/>
      <c r="B986" s="36"/>
      <c r="C986" s="36"/>
      <c r="D986"/>
      <c r="E986"/>
      <c r="F986"/>
      <c r="G986"/>
      <c r="H986"/>
      <c r="I986"/>
      <c r="J986"/>
      <c r="K986"/>
      <c r="L986"/>
      <c r="M986"/>
      <c r="N986"/>
      <c r="O986"/>
      <c r="P986" s="36"/>
      <c r="Q986" s="37"/>
      <c r="R986"/>
      <c r="S986"/>
      <c r="T986"/>
      <c r="U986"/>
      <c r="V986" s="39"/>
      <c r="W986"/>
      <c r="X986"/>
      <c r="Y986"/>
      <c r="Z986"/>
      <c r="AA986"/>
    </row>
    <row r="987" spans="1:27" x14ac:dyDescent="0.25">
      <c r="A987"/>
      <c r="B987" s="36"/>
      <c r="C987" s="36"/>
      <c r="D987"/>
      <c r="E987"/>
      <c r="F987"/>
      <c r="G987"/>
      <c r="H987"/>
      <c r="I987"/>
      <c r="J987"/>
      <c r="K987"/>
      <c r="L987"/>
      <c r="M987"/>
      <c r="N987"/>
      <c r="O987"/>
      <c r="P987" s="36"/>
      <c r="Q987" s="37"/>
      <c r="R987"/>
      <c r="S987"/>
      <c r="T987"/>
      <c r="U987"/>
      <c r="V987" s="39"/>
      <c r="W987"/>
      <c r="X987"/>
      <c r="Y987"/>
      <c r="Z987"/>
      <c r="AA987"/>
    </row>
    <row r="988" spans="1:27" x14ac:dyDescent="0.25">
      <c r="A988"/>
      <c r="B988" s="36"/>
      <c r="C988" s="36"/>
      <c r="D988"/>
      <c r="E988"/>
      <c r="F988"/>
      <c r="G988"/>
      <c r="H988"/>
      <c r="I988"/>
      <c r="J988"/>
      <c r="K988"/>
      <c r="L988"/>
      <c r="M988"/>
      <c r="N988"/>
      <c r="O988"/>
      <c r="P988" s="36"/>
      <c r="Q988" s="37"/>
      <c r="R988"/>
      <c r="S988"/>
      <c r="T988"/>
      <c r="U988"/>
      <c r="V988" s="39"/>
      <c r="W988"/>
      <c r="X988"/>
      <c r="Y988"/>
      <c r="Z988"/>
      <c r="AA988"/>
    </row>
    <row r="989" spans="1:27" x14ac:dyDescent="0.25">
      <c r="A989"/>
      <c r="B989" s="36"/>
      <c r="C989" s="36"/>
      <c r="D989"/>
      <c r="E989"/>
      <c r="F989"/>
      <c r="G989"/>
      <c r="H989"/>
      <c r="I989"/>
      <c r="J989"/>
      <c r="K989"/>
      <c r="L989"/>
      <c r="M989"/>
      <c r="N989"/>
      <c r="O989"/>
      <c r="P989" s="36"/>
      <c r="Q989" s="37"/>
      <c r="R989"/>
      <c r="S989"/>
      <c r="T989"/>
      <c r="U989"/>
      <c r="V989" s="39"/>
      <c r="W989"/>
      <c r="X989"/>
      <c r="Y989"/>
      <c r="Z989"/>
      <c r="AA989"/>
    </row>
    <row r="990" spans="1:27" x14ac:dyDescent="0.25">
      <c r="A990"/>
      <c r="B990" s="36"/>
      <c r="C990" s="36"/>
      <c r="D990"/>
      <c r="E990"/>
      <c r="F990"/>
      <c r="G990"/>
      <c r="H990"/>
      <c r="I990"/>
      <c r="J990"/>
      <c r="K990"/>
      <c r="L990"/>
      <c r="M990"/>
      <c r="N990"/>
      <c r="O990"/>
      <c r="P990" s="36"/>
      <c r="Q990" s="37"/>
      <c r="R990"/>
      <c r="S990"/>
      <c r="T990"/>
      <c r="U990"/>
      <c r="V990" s="39"/>
      <c r="W990"/>
      <c r="X990"/>
      <c r="Y990"/>
      <c r="Z990"/>
      <c r="AA990"/>
    </row>
    <row r="991" spans="1:27" x14ac:dyDescent="0.25">
      <c r="A991"/>
      <c r="B991" s="36"/>
      <c r="C991" s="36"/>
      <c r="D991"/>
      <c r="E991"/>
      <c r="F991"/>
      <c r="G991"/>
      <c r="H991"/>
      <c r="I991"/>
      <c r="J991"/>
      <c r="K991"/>
      <c r="L991"/>
      <c r="M991"/>
      <c r="N991"/>
      <c r="O991"/>
      <c r="P991" s="36"/>
      <c r="Q991" s="37"/>
      <c r="R991"/>
      <c r="S991"/>
      <c r="T991"/>
      <c r="U991"/>
      <c r="V991" s="39"/>
      <c r="W991"/>
      <c r="X991"/>
      <c r="Y991"/>
      <c r="Z991"/>
      <c r="AA991"/>
    </row>
    <row r="992" spans="1:27" x14ac:dyDescent="0.25">
      <c r="A992"/>
      <c r="B992" s="36"/>
      <c r="C992" s="36"/>
      <c r="D992"/>
      <c r="E992"/>
      <c r="F992"/>
      <c r="G992"/>
      <c r="H992"/>
      <c r="I992"/>
      <c r="J992"/>
      <c r="K992"/>
      <c r="L992"/>
      <c r="M992"/>
      <c r="N992"/>
      <c r="O992"/>
      <c r="P992" s="36"/>
      <c r="Q992" s="37"/>
      <c r="R992"/>
      <c r="S992"/>
      <c r="T992"/>
      <c r="U992"/>
      <c r="V992" s="39"/>
      <c r="W992"/>
      <c r="X992"/>
      <c r="Y992"/>
      <c r="Z992"/>
      <c r="AA992"/>
    </row>
    <row r="993" spans="1:27" x14ac:dyDescent="0.25">
      <c r="A993"/>
      <c r="B993" s="36"/>
      <c r="C993" s="36"/>
      <c r="D993"/>
      <c r="E993"/>
      <c r="F993"/>
      <c r="G993"/>
      <c r="H993"/>
      <c r="I993"/>
      <c r="J993"/>
      <c r="K993"/>
      <c r="L993"/>
      <c r="M993"/>
      <c r="N993"/>
      <c r="O993"/>
      <c r="P993" s="36"/>
      <c r="Q993" s="37"/>
      <c r="R993"/>
      <c r="S993"/>
      <c r="T993"/>
      <c r="U993"/>
      <c r="V993" s="39"/>
      <c r="W993"/>
      <c r="X993"/>
      <c r="Y993"/>
      <c r="Z993"/>
      <c r="AA993"/>
    </row>
    <row r="994" spans="1:27" x14ac:dyDescent="0.25">
      <c r="A994"/>
      <c r="B994" s="36"/>
      <c r="C994" s="36"/>
      <c r="D994"/>
      <c r="E994"/>
      <c r="F994"/>
      <c r="G994"/>
      <c r="H994"/>
      <c r="I994"/>
      <c r="J994"/>
      <c r="K994"/>
      <c r="L994"/>
      <c r="M994"/>
      <c r="N994"/>
      <c r="O994"/>
      <c r="P994" s="36"/>
      <c r="Q994" s="37"/>
      <c r="R994"/>
      <c r="S994"/>
      <c r="T994"/>
      <c r="U994"/>
      <c r="V994" s="39"/>
      <c r="W994"/>
      <c r="X994"/>
      <c r="Y994"/>
      <c r="Z994"/>
      <c r="AA994"/>
    </row>
    <row r="995" spans="1:27" x14ac:dyDescent="0.25">
      <c r="A995"/>
      <c r="B995" s="36"/>
      <c r="C995" s="36"/>
      <c r="D995"/>
      <c r="E995"/>
      <c r="F995"/>
      <c r="G995"/>
      <c r="H995"/>
      <c r="I995"/>
      <c r="J995"/>
      <c r="K995"/>
      <c r="L995"/>
      <c r="M995"/>
      <c r="N995"/>
      <c r="O995"/>
      <c r="P995" s="36"/>
      <c r="Q995" s="37"/>
      <c r="R995"/>
      <c r="S995"/>
      <c r="T995"/>
      <c r="U995"/>
      <c r="V995" s="39"/>
      <c r="W995"/>
      <c r="X995"/>
      <c r="Y995"/>
      <c r="Z995"/>
      <c r="AA995"/>
    </row>
    <row r="996" spans="1:27" x14ac:dyDescent="0.25">
      <c r="A996"/>
      <c r="B996" s="36"/>
      <c r="C996" s="36"/>
      <c r="D996"/>
      <c r="E996"/>
      <c r="F996"/>
      <c r="G996"/>
      <c r="H996"/>
      <c r="I996"/>
      <c r="J996"/>
      <c r="K996"/>
      <c r="L996"/>
      <c r="M996"/>
      <c r="N996"/>
      <c r="O996"/>
      <c r="P996" s="36"/>
      <c r="Q996" s="37"/>
      <c r="R996"/>
      <c r="S996"/>
      <c r="T996"/>
      <c r="U996"/>
      <c r="V996" s="39"/>
      <c r="W996"/>
      <c r="X996"/>
      <c r="Y996"/>
      <c r="Z996"/>
      <c r="AA996"/>
    </row>
    <row r="997" spans="1:27" x14ac:dyDescent="0.25">
      <c r="A997"/>
      <c r="B997" s="36"/>
      <c r="C997" s="36"/>
      <c r="D997"/>
      <c r="E997"/>
      <c r="F997"/>
      <c r="G997"/>
      <c r="H997"/>
      <c r="I997"/>
      <c r="J997"/>
      <c r="K997"/>
      <c r="L997"/>
      <c r="M997"/>
      <c r="N997"/>
      <c r="O997"/>
      <c r="P997" s="36"/>
      <c r="Q997" s="37"/>
      <c r="R997"/>
      <c r="S997"/>
      <c r="T997"/>
      <c r="U997"/>
      <c r="V997" s="39"/>
      <c r="W997"/>
      <c r="X997"/>
      <c r="Y997"/>
      <c r="Z997"/>
      <c r="AA997"/>
    </row>
    <row r="998" spans="1:27" x14ac:dyDescent="0.25">
      <c r="A998"/>
      <c r="B998" s="36"/>
      <c r="C998" s="36"/>
      <c r="D998"/>
      <c r="E998"/>
      <c r="F998"/>
      <c r="G998"/>
      <c r="H998"/>
      <c r="I998"/>
      <c r="J998"/>
      <c r="K998"/>
      <c r="L998"/>
      <c r="M998"/>
      <c r="N998"/>
      <c r="O998"/>
      <c r="P998" s="36"/>
      <c r="Q998" s="37"/>
      <c r="R998"/>
      <c r="S998"/>
      <c r="T998"/>
      <c r="U998"/>
      <c r="V998" s="39"/>
      <c r="W998"/>
      <c r="X998"/>
      <c r="Y998"/>
      <c r="Z998"/>
      <c r="AA998"/>
    </row>
    <row r="999" spans="1:27" x14ac:dyDescent="0.25">
      <c r="A999"/>
      <c r="B999" s="36"/>
      <c r="C999" s="36"/>
      <c r="D999"/>
      <c r="E999"/>
      <c r="F999"/>
      <c r="G999"/>
      <c r="H999"/>
      <c r="I999"/>
      <c r="J999"/>
      <c r="K999"/>
      <c r="L999"/>
      <c r="M999"/>
      <c r="N999"/>
      <c r="O999"/>
      <c r="P999" s="36"/>
      <c r="Q999" s="37"/>
      <c r="R999"/>
      <c r="S999"/>
      <c r="T999"/>
      <c r="U999"/>
      <c r="V999" s="39"/>
      <c r="W999"/>
      <c r="X999"/>
      <c r="Y999"/>
      <c r="Z999"/>
      <c r="AA999"/>
    </row>
    <row r="1000" spans="1:27" x14ac:dyDescent="0.25">
      <c r="A1000"/>
      <c r="B1000" s="36"/>
      <c r="C1000" s="36"/>
      <c r="D1000"/>
      <c r="E1000"/>
      <c r="F1000"/>
      <c r="G1000"/>
      <c r="H1000"/>
      <c r="I1000"/>
      <c r="J1000"/>
      <c r="K1000"/>
      <c r="L1000"/>
      <c r="M1000"/>
      <c r="N1000"/>
      <c r="O1000"/>
      <c r="P1000" s="36"/>
      <c r="Q1000" s="37"/>
      <c r="R1000"/>
      <c r="S1000"/>
      <c r="T1000"/>
      <c r="U1000"/>
      <c r="V1000" s="39"/>
      <c r="W1000"/>
      <c r="X1000"/>
      <c r="Y1000"/>
      <c r="Z1000"/>
      <c r="AA1000"/>
    </row>
    <row r="1001" spans="1:27" x14ac:dyDescent="0.25">
      <c r="A1001"/>
      <c r="B1001" s="36"/>
      <c r="C1001" s="36"/>
      <c r="D1001"/>
      <c r="E1001"/>
      <c r="F1001"/>
      <c r="G1001"/>
      <c r="H1001"/>
      <c r="I1001"/>
      <c r="J1001"/>
      <c r="K1001"/>
      <c r="L1001"/>
      <c r="M1001"/>
      <c r="N1001"/>
      <c r="O1001"/>
      <c r="P1001" s="36"/>
      <c r="Q1001" s="37"/>
      <c r="R1001"/>
      <c r="S1001"/>
      <c r="T1001"/>
      <c r="U1001"/>
      <c r="V1001" s="39"/>
      <c r="W1001"/>
      <c r="X1001"/>
      <c r="Y1001"/>
      <c r="Z1001"/>
      <c r="AA1001"/>
    </row>
    <row r="1002" spans="1:27" x14ac:dyDescent="0.25">
      <c r="A1002"/>
      <c r="B1002" s="36"/>
      <c r="C1002" s="36"/>
      <c r="D1002"/>
      <c r="E1002"/>
      <c r="F1002"/>
      <c r="G1002"/>
      <c r="H1002"/>
      <c r="I1002"/>
      <c r="J1002"/>
      <c r="K1002"/>
      <c r="L1002"/>
      <c r="M1002"/>
      <c r="N1002"/>
      <c r="O1002"/>
      <c r="P1002" s="36"/>
      <c r="Q1002" s="37"/>
      <c r="R1002"/>
      <c r="S1002"/>
      <c r="T1002"/>
      <c r="U1002"/>
      <c r="V1002" s="39"/>
      <c r="W1002"/>
      <c r="X1002"/>
      <c r="Y1002"/>
      <c r="Z1002"/>
      <c r="AA1002"/>
    </row>
    <row r="1003" spans="1:27" x14ac:dyDescent="0.25">
      <c r="A1003"/>
      <c r="B1003" s="36"/>
      <c r="C1003" s="36"/>
      <c r="D1003"/>
      <c r="E1003"/>
      <c r="F1003"/>
      <c r="G1003"/>
      <c r="H1003"/>
      <c r="I1003"/>
      <c r="J1003"/>
      <c r="K1003"/>
      <c r="L1003"/>
      <c r="M1003"/>
      <c r="N1003"/>
      <c r="O1003"/>
      <c r="P1003" s="36"/>
      <c r="Q1003" s="37"/>
      <c r="R1003"/>
      <c r="S1003"/>
      <c r="T1003"/>
      <c r="U1003"/>
      <c r="V1003" s="39"/>
      <c r="W1003"/>
      <c r="X1003"/>
      <c r="Y1003"/>
      <c r="Z1003"/>
      <c r="AA1003"/>
    </row>
    <row r="1004" spans="1:27" x14ac:dyDescent="0.25">
      <c r="A1004"/>
      <c r="B1004" s="36"/>
      <c r="C1004" s="36"/>
      <c r="D1004"/>
      <c r="E1004"/>
      <c r="F1004"/>
      <c r="G1004"/>
      <c r="H1004"/>
      <c r="I1004"/>
      <c r="J1004"/>
      <c r="K1004"/>
      <c r="L1004"/>
      <c r="M1004"/>
      <c r="N1004"/>
      <c r="O1004"/>
      <c r="P1004" s="36"/>
      <c r="Q1004" s="37"/>
      <c r="R1004"/>
      <c r="S1004"/>
      <c r="T1004"/>
      <c r="U1004"/>
      <c r="V1004" s="39"/>
      <c r="W1004"/>
      <c r="X1004"/>
      <c r="Y1004"/>
      <c r="Z1004"/>
      <c r="AA1004"/>
    </row>
    <row r="1005" spans="1:27" x14ac:dyDescent="0.25">
      <c r="A1005"/>
      <c r="B1005" s="36"/>
      <c r="C1005" s="36"/>
      <c r="D1005"/>
      <c r="E1005"/>
      <c r="F1005"/>
      <c r="G1005"/>
      <c r="H1005"/>
      <c r="I1005"/>
      <c r="J1005"/>
      <c r="K1005"/>
      <c r="L1005"/>
      <c r="M1005"/>
      <c r="N1005"/>
      <c r="O1005"/>
      <c r="P1005" s="36"/>
      <c r="Q1005" s="37"/>
      <c r="R1005"/>
      <c r="S1005"/>
      <c r="T1005"/>
      <c r="U1005"/>
      <c r="V1005" s="39"/>
      <c r="W1005"/>
      <c r="X1005"/>
      <c r="Y1005"/>
      <c r="Z1005"/>
      <c r="AA1005"/>
    </row>
    <row r="1006" spans="1:27" x14ac:dyDescent="0.25">
      <c r="A1006"/>
      <c r="B1006" s="36"/>
      <c r="C1006" s="36"/>
      <c r="D1006"/>
      <c r="E1006"/>
      <c r="F1006"/>
      <c r="G1006"/>
      <c r="H1006"/>
      <c r="I1006"/>
      <c r="J1006"/>
      <c r="K1006"/>
      <c r="L1006"/>
      <c r="M1006"/>
      <c r="N1006"/>
      <c r="O1006"/>
      <c r="P1006" s="36"/>
      <c r="Q1006" s="37"/>
      <c r="R1006"/>
      <c r="S1006"/>
      <c r="T1006"/>
      <c r="U1006"/>
      <c r="V1006" s="39"/>
      <c r="W1006"/>
      <c r="X1006"/>
      <c r="Y1006"/>
      <c r="Z1006"/>
      <c r="AA1006"/>
    </row>
    <row r="1007" spans="1:27" x14ac:dyDescent="0.25">
      <c r="A1007"/>
      <c r="B1007" s="36"/>
      <c r="C1007" s="36"/>
      <c r="D1007"/>
      <c r="E1007"/>
      <c r="F1007"/>
      <c r="G1007"/>
      <c r="H1007"/>
      <c r="I1007"/>
      <c r="J1007"/>
      <c r="K1007"/>
      <c r="L1007"/>
      <c r="M1007"/>
      <c r="N1007"/>
      <c r="O1007"/>
      <c r="P1007" s="36"/>
      <c r="Q1007" s="37"/>
      <c r="R1007"/>
      <c r="S1007"/>
      <c r="T1007"/>
      <c r="U1007"/>
      <c r="V1007" s="39"/>
      <c r="W1007"/>
      <c r="X1007"/>
      <c r="Y1007"/>
      <c r="Z1007"/>
      <c r="AA1007"/>
    </row>
    <row r="1008" spans="1:27" x14ac:dyDescent="0.25">
      <c r="A1008"/>
      <c r="B1008" s="36"/>
      <c r="C1008" s="36"/>
      <c r="D1008"/>
      <c r="E1008"/>
      <c r="F1008"/>
      <c r="G1008"/>
      <c r="H1008"/>
      <c r="I1008"/>
      <c r="J1008"/>
      <c r="K1008"/>
      <c r="L1008"/>
      <c r="M1008"/>
      <c r="N1008"/>
      <c r="O1008"/>
      <c r="P1008" s="36"/>
      <c r="Q1008" s="37"/>
      <c r="R1008"/>
      <c r="S1008"/>
      <c r="T1008"/>
      <c r="U1008"/>
      <c r="V1008" s="39"/>
      <c r="W1008"/>
      <c r="X1008"/>
      <c r="Y1008"/>
      <c r="Z1008"/>
      <c r="AA1008"/>
    </row>
    <row r="1009" spans="1:27" x14ac:dyDescent="0.25">
      <c r="A1009"/>
      <c r="B1009" s="36"/>
      <c r="C1009" s="36"/>
      <c r="D1009"/>
      <c r="E1009"/>
      <c r="F1009"/>
      <c r="G1009"/>
      <c r="H1009"/>
      <c r="I1009"/>
      <c r="J1009"/>
      <c r="K1009"/>
      <c r="L1009"/>
      <c r="M1009"/>
      <c r="N1009"/>
      <c r="O1009"/>
      <c r="P1009" s="36"/>
      <c r="Q1009" s="37"/>
      <c r="R1009"/>
      <c r="S1009"/>
      <c r="T1009"/>
      <c r="U1009"/>
      <c r="V1009" s="39"/>
      <c r="W1009"/>
      <c r="X1009"/>
      <c r="Y1009"/>
      <c r="Z1009"/>
      <c r="AA1009"/>
    </row>
    <row r="1010" spans="1:27" x14ac:dyDescent="0.25">
      <c r="A1010"/>
      <c r="B1010" s="36"/>
      <c r="C1010" s="36"/>
      <c r="D1010"/>
      <c r="E1010"/>
      <c r="F1010"/>
      <c r="G1010"/>
      <c r="H1010"/>
      <c r="I1010"/>
      <c r="J1010"/>
      <c r="K1010"/>
      <c r="L1010"/>
      <c r="M1010"/>
      <c r="N1010"/>
      <c r="O1010"/>
      <c r="P1010" s="36"/>
      <c r="Q1010" s="37"/>
      <c r="R1010"/>
      <c r="S1010"/>
      <c r="T1010"/>
      <c r="U1010"/>
      <c r="V1010" s="39"/>
      <c r="W1010"/>
      <c r="X1010"/>
      <c r="Y1010"/>
      <c r="Z1010"/>
      <c r="AA1010"/>
    </row>
    <row r="1011" spans="1:27" x14ac:dyDescent="0.25">
      <c r="A1011"/>
      <c r="B1011" s="36"/>
      <c r="C1011" s="36"/>
      <c r="D1011"/>
      <c r="E1011"/>
      <c r="F1011"/>
      <c r="G1011"/>
      <c r="H1011"/>
      <c r="I1011"/>
      <c r="J1011"/>
      <c r="K1011"/>
      <c r="L1011"/>
      <c r="M1011"/>
      <c r="N1011"/>
      <c r="O1011"/>
      <c r="P1011" s="36"/>
      <c r="Q1011" s="37"/>
      <c r="R1011"/>
      <c r="S1011"/>
      <c r="T1011"/>
      <c r="U1011"/>
      <c r="V1011" s="39"/>
      <c r="W1011"/>
      <c r="X1011"/>
      <c r="Y1011"/>
      <c r="Z1011"/>
      <c r="AA1011"/>
    </row>
    <row r="1012" spans="1:27" x14ac:dyDescent="0.25">
      <c r="A1012"/>
      <c r="B1012" s="36"/>
      <c r="C1012" s="36"/>
      <c r="D1012"/>
      <c r="E1012"/>
      <c r="F1012"/>
      <c r="G1012"/>
      <c r="H1012"/>
      <c r="I1012"/>
      <c r="J1012"/>
      <c r="K1012"/>
      <c r="L1012"/>
      <c r="M1012"/>
      <c r="N1012"/>
      <c r="O1012"/>
      <c r="P1012" s="36"/>
      <c r="Q1012" s="37"/>
      <c r="R1012"/>
      <c r="S1012"/>
      <c r="T1012"/>
      <c r="U1012"/>
      <c r="V1012" s="39"/>
      <c r="W1012"/>
      <c r="X1012"/>
      <c r="Y1012"/>
      <c r="Z1012"/>
      <c r="AA1012"/>
    </row>
    <row r="1013" spans="1:27" x14ac:dyDescent="0.25">
      <c r="A1013"/>
      <c r="B1013" s="36"/>
      <c r="C1013" s="36"/>
      <c r="D1013"/>
      <c r="E1013"/>
      <c r="F1013"/>
      <c r="G1013"/>
      <c r="H1013"/>
      <c r="I1013"/>
      <c r="J1013"/>
      <c r="K1013"/>
      <c r="L1013"/>
      <c r="M1013"/>
      <c r="N1013"/>
      <c r="O1013"/>
      <c r="P1013" s="36"/>
      <c r="Q1013" s="37"/>
      <c r="R1013"/>
      <c r="S1013"/>
      <c r="T1013"/>
      <c r="U1013"/>
      <c r="V1013" s="39"/>
      <c r="W1013"/>
      <c r="X1013"/>
      <c r="Y1013"/>
      <c r="Z1013"/>
      <c r="AA1013"/>
    </row>
    <row r="1014" spans="1:27" x14ac:dyDescent="0.25">
      <c r="A1014"/>
      <c r="B1014" s="36"/>
      <c r="C1014" s="36"/>
      <c r="D1014"/>
      <c r="E1014"/>
      <c r="F1014"/>
      <c r="G1014"/>
      <c r="H1014"/>
      <c r="I1014"/>
      <c r="J1014"/>
      <c r="K1014"/>
      <c r="L1014"/>
      <c r="M1014"/>
      <c r="N1014"/>
      <c r="O1014"/>
      <c r="P1014" s="36"/>
      <c r="Q1014" s="37"/>
      <c r="R1014"/>
      <c r="S1014"/>
      <c r="T1014"/>
      <c r="U1014"/>
      <c r="V1014" s="39"/>
      <c r="W1014"/>
      <c r="X1014"/>
      <c r="Y1014"/>
      <c r="Z1014"/>
      <c r="AA1014"/>
    </row>
    <row r="1015" spans="1:27" x14ac:dyDescent="0.25">
      <c r="A1015"/>
      <c r="B1015" s="36"/>
      <c r="C1015" s="36"/>
      <c r="D1015"/>
      <c r="E1015"/>
      <c r="F1015"/>
      <c r="G1015"/>
      <c r="H1015"/>
      <c r="I1015"/>
      <c r="J1015"/>
      <c r="K1015"/>
      <c r="L1015"/>
      <c r="M1015"/>
      <c r="N1015"/>
      <c r="O1015"/>
      <c r="P1015" s="36"/>
      <c r="Q1015" s="37"/>
      <c r="R1015"/>
      <c r="S1015"/>
      <c r="T1015"/>
      <c r="U1015"/>
      <c r="V1015" s="39"/>
      <c r="W1015"/>
      <c r="X1015"/>
      <c r="Y1015"/>
      <c r="Z1015"/>
      <c r="AA1015"/>
    </row>
    <row r="1016" spans="1:27" x14ac:dyDescent="0.25">
      <c r="A1016"/>
      <c r="B1016" s="36"/>
      <c r="C1016" s="36"/>
      <c r="D1016"/>
      <c r="E1016"/>
      <c r="F1016"/>
      <c r="G1016"/>
      <c r="H1016"/>
      <c r="I1016"/>
      <c r="J1016"/>
      <c r="K1016"/>
      <c r="L1016"/>
      <c r="M1016"/>
      <c r="N1016"/>
      <c r="O1016"/>
      <c r="P1016" s="36"/>
      <c r="Q1016" s="37"/>
      <c r="R1016"/>
      <c r="S1016"/>
      <c r="T1016"/>
      <c r="U1016"/>
      <c r="V1016" s="39"/>
      <c r="W1016"/>
      <c r="X1016"/>
      <c r="Y1016"/>
      <c r="Z1016"/>
      <c r="AA1016"/>
    </row>
    <row r="1017" spans="1:27" x14ac:dyDescent="0.25">
      <c r="A1017"/>
      <c r="B1017" s="36"/>
      <c r="C1017" s="36"/>
      <c r="D1017"/>
      <c r="E1017"/>
      <c r="F1017"/>
      <c r="G1017"/>
      <c r="H1017"/>
      <c r="I1017"/>
      <c r="J1017"/>
      <c r="K1017"/>
      <c r="L1017"/>
      <c r="M1017"/>
      <c r="N1017"/>
      <c r="O1017"/>
      <c r="P1017" s="36"/>
      <c r="Q1017" s="37"/>
      <c r="R1017"/>
      <c r="S1017"/>
      <c r="T1017"/>
      <c r="U1017"/>
      <c r="V1017" s="39"/>
      <c r="W1017"/>
      <c r="X1017"/>
      <c r="Y1017"/>
      <c r="Z1017"/>
      <c r="AA1017"/>
    </row>
    <row r="1018" spans="1:27" x14ac:dyDescent="0.25">
      <c r="A1018"/>
      <c r="B1018" s="36"/>
      <c r="C1018" s="36"/>
      <c r="D1018"/>
      <c r="E1018"/>
      <c r="F1018"/>
      <c r="G1018"/>
      <c r="H1018"/>
      <c r="I1018"/>
      <c r="J1018"/>
      <c r="K1018"/>
      <c r="L1018"/>
      <c r="M1018"/>
      <c r="N1018"/>
      <c r="O1018"/>
      <c r="P1018" s="36"/>
      <c r="Q1018" s="37"/>
      <c r="R1018"/>
      <c r="S1018"/>
      <c r="T1018"/>
      <c r="U1018"/>
      <c r="V1018" s="39"/>
      <c r="W1018"/>
      <c r="X1018"/>
      <c r="Y1018"/>
      <c r="Z1018"/>
      <c r="AA1018"/>
    </row>
    <row r="1019" spans="1:27" x14ac:dyDescent="0.25">
      <c r="A1019"/>
      <c r="B1019" s="36"/>
      <c r="C1019" s="36"/>
      <c r="D1019"/>
      <c r="E1019"/>
      <c r="F1019"/>
      <c r="G1019"/>
      <c r="H1019"/>
      <c r="I1019"/>
      <c r="J1019"/>
      <c r="K1019"/>
      <c r="L1019"/>
      <c r="M1019"/>
      <c r="N1019"/>
      <c r="O1019"/>
      <c r="P1019" s="36"/>
      <c r="Q1019" s="37"/>
      <c r="R1019"/>
      <c r="S1019"/>
      <c r="T1019"/>
      <c r="U1019"/>
      <c r="V1019" s="39"/>
      <c r="W1019"/>
      <c r="X1019"/>
      <c r="Y1019"/>
      <c r="Z1019"/>
      <c r="AA1019"/>
    </row>
    <row r="1020" spans="1:27" x14ac:dyDescent="0.25">
      <c r="A1020"/>
      <c r="B1020" s="36"/>
      <c r="C1020" s="36"/>
      <c r="D1020"/>
      <c r="E1020"/>
      <c r="F1020"/>
      <c r="G1020"/>
      <c r="H1020"/>
      <c r="I1020"/>
      <c r="J1020"/>
      <c r="K1020"/>
      <c r="L1020"/>
      <c r="M1020"/>
      <c r="N1020"/>
      <c r="O1020"/>
      <c r="P1020" s="36"/>
      <c r="Q1020" s="37"/>
      <c r="R1020"/>
      <c r="S1020"/>
      <c r="T1020"/>
      <c r="U1020"/>
      <c r="V1020" s="39"/>
      <c r="W1020"/>
      <c r="X1020"/>
      <c r="Y1020"/>
      <c r="Z1020"/>
      <c r="AA1020"/>
    </row>
    <row r="1021" spans="1:27" x14ac:dyDescent="0.25">
      <c r="A1021"/>
      <c r="B1021" s="36"/>
      <c r="C1021" s="36"/>
      <c r="D1021"/>
      <c r="E1021"/>
      <c r="F1021"/>
      <c r="G1021"/>
      <c r="H1021"/>
      <c r="I1021"/>
      <c r="J1021"/>
      <c r="K1021"/>
      <c r="L1021"/>
      <c r="M1021"/>
      <c r="N1021"/>
      <c r="O1021"/>
      <c r="P1021" s="36"/>
      <c r="Q1021" s="37"/>
      <c r="R1021"/>
      <c r="S1021"/>
      <c r="T1021"/>
      <c r="U1021"/>
      <c r="V1021" s="39"/>
      <c r="W1021"/>
      <c r="X1021"/>
      <c r="Y1021"/>
      <c r="Z1021"/>
      <c r="AA1021"/>
    </row>
    <row r="1022" spans="1:27" x14ac:dyDescent="0.25">
      <c r="A1022"/>
      <c r="B1022" s="36"/>
      <c r="C1022" s="36"/>
      <c r="D1022"/>
      <c r="E1022"/>
      <c r="F1022"/>
      <c r="G1022"/>
      <c r="H1022"/>
      <c r="I1022"/>
      <c r="J1022"/>
      <c r="K1022"/>
      <c r="L1022"/>
      <c r="M1022"/>
      <c r="N1022"/>
      <c r="O1022"/>
      <c r="P1022" s="36"/>
      <c r="Q1022" s="37"/>
      <c r="R1022"/>
      <c r="S1022"/>
      <c r="T1022"/>
      <c r="U1022"/>
      <c r="V1022" s="39"/>
      <c r="W1022"/>
      <c r="X1022"/>
      <c r="Y1022"/>
      <c r="Z1022"/>
      <c r="AA1022"/>
    </row>
    <row r="1023" spans="1:27" x14ac:dyDescent="0.25">
      <c r="A1023"/>
      <c r="B1023" s="36"/>
      <c r="C1023" s="36"/>
      <c r="D1023"/>
      <c r="E1023"/>
      <c r="F1023"/>
      <c r="G1023"/>
      <c r="H1023"/>
      <c r="I1023"/>
      <c r="J1023"/>
      <c r="K1023"/>
      <c r="L1023"/>
      <c r="M1023"/>
      <c r="N1023"/>
      <c r="O1023"/>
      <c r="P1023" s="36"/>
      <c r="Q1023" s="37"/>
      <c r="R1023" s="44"/>
      <c r="S1023"/>
      <c r="T1023"/>
      <c r="U1023"/>
      <c r="V1023" s="39"/>
      <c r="W1023"/>
      <c r="X1023"/>
      <c r="Y1023"/>
      <c r="Z1023"/>
      <c r="AA1023" s="44"/>
    </row>
    <row r="1024" spans="1:27" x14ac:dyDescent="0.25">
      <c r="A1024"/>
      <c r="B1024" s="36"/>
      <c r="C1024" s="36"/>
      <c r="D1024"/>
      <c r="E1024"/>
      <c r="F1024"/>
      <c r="G1024"/>
      <c r="H1024"/>
      <c r="I1024"/>
      <c r="J1024"/>
      <c r="K1024"/>
      <c r="L1024"/>
      <c r="M1024"/>
      <c r="N1024"/>
      <c r="O1024"/>
      <c r="P1024" s="36"/>
      <c r="Q1024" s="37"/>
      <c r="R1024"/>
      <c r="S1024"/>
      <c r="T1024"/>
      <c r="U1024"/>
      <c r="V1024" s="39"/>
      <c r="W1024"/>
      <c r="X1024"/>
      <c r="Y1024"/>
      <c r="Z1024"/>
      <c r="AA1024"/>
    </row>
    <row r="1025" spans="1:27" x14ac:dyDescent="0.25">
      <c r="A1025"/>
      <c r="B1025" s="36"/>
      <c r="C1025" s="36"/>
      <c r="D1025"/>
      <c r="E1025"/>
      <c r="F1025"/>
      <c r="G1025"/>
      <c r="H1025"/>
      <c r="I1025"/>
      <c r="J1025"/>
      <c r="K1025"/>
      <c r="L1025"/>
      <c r="M1025"/>
      <c r="N1025"/>
      <c r="O1025"/>
      <c r="P1025" s="36"/>
      <c r="Q1025" s="37"/>
      <c r="R1025"/>
      <c r="S1025"/>
      <c r="T1025"/>
      <c r="U1025"/>
      <c r="V1025" s="39"/>
      <c r="W1025"/>
      <c r="X1025"/>
      <c r="Y1025"/>
      <c r="Z1025"/>
      <c r="AA1025"/>
    </row>
    <row r="1026" spans="1:27" x14ac:dyDescent="0.25">
      <c r="A1026"/>
      <c r="B1026" s="36"/>
      <c r="C1026" s="36"/>
      <c r="D1026"/>
      <c r="E1026"/>
      <c r="F1026"/>
      <c r="G1026"/>
      <c r="H1026"/>
      <c r="I1026"/>
      <c r="J1026"/>
      <c r="K1026"/>
      <c r="L1026"/>
      <c r="M1026"/>
      <c r="N1026"/>
      <c r="O1026"/>
      <c r="P1026" s="36"/>
      <c r="Q1026" s="37"/>
      <c r="R1026"/>
      <c r="S1026"/>
      <c r="T1026"/>
      <c r="U1026"/>
      <c r="V1026" s="39"/>
      <c r="W1026"/>
      <c r="X1026"/>
      <c r="Y1026"/>
      <c r="Z1026"/>
      <c r="AA1026"/>
    </row>
    <row r="1027" spans="1:27" x14ac:dyDescent="0.25">
      <c r="A1027"/>
      <c r="B1027" s="36"/>
      <c r="C1027" s="36"/>
      <c r="D1027"/>
      <c r="E1027"/>
      <c r="F1027"/>
      <c r="G1027"/>
      <c r="H1027"/>
      <c r="I1027"/>
      <c r="J1027"/>
      <c r="K1027"/>
      <c r="L1027"/>
      <c r="M1027"/>
      <c r="N1027"/>
      <c r="O1027"/>
      <c r="P1027" s="36"/>
      <c r="Q1027" s="37"/>
      <c r="R1027"/>
      <c r="S1027"/>
      <c r="T1027"/>
      <c r="U1027"/>
      <c r="V1027" s="39"/>
      <c r="W1027"/>
      <c r="X1027"/>
      <c r="Y1027"/>
      <c r="Z1027"/>
      <c r="AA1027"/>
    </row>
    <row r="1028" spans="1:27" x14ac:dyDescent="0.25">
      <c r="A1028"/>
      <c r="B1028" s="36"/>
      <c r="C1028" s="36"/>
      <c r="D1028"/>
      <c r="E1028"/>
      <c r="F1028"/>
      <c r="G1028"/>
      <c r="H1028"/>
      <c r="I1028"/>
      <c r="J1028"/>
      <c r="K1028"/>
      <c r="L1028"/>
      <c r="M1028"/>
      <c r="N1028"/>
      <c r="O1028"/>
      <c r="P1028" s="36"/>
      <c r="Q1028" s="37"/>
      <c r="R1028"/>
      <c r="S1028"/>
      <c r="T1028"/>
      <c r="U1028"/>
      <c r="V1028" s="39"/>
      <c r="W1028"/>
      <c r="X1028"/>
      <c r="Y1028"/>
      <c r="Z1028"/>
      <c r="AA1028"/>
    </row>
    <row r="1029" spans="1:27" x14ac:dyDescent="0.25">
      <c r="A1029"/>
      <c r="B1029" s="36"/>
      <c r="C1029" s="36"/>
      <c r="D1029"/>
      <c r="E1029"/>
      <c r="F1029"/>
      <c r="G1029"/>
      <c r="H1029"/>
      <c r="I1029"/>
      <c r="J1029"/>
      <c r="K1029"/>
      <c r="L1029"/>
      <c r="M1029"/>
      <c r="N1029"/>
      <c r="O1029"/>
      <c r="P1029" s="36"/>
      <c r="Q1029" s="37"/>
      <c r="R1029"/>
      <c r="S1029"/>
      <c r="T1029"/>
      <c r="U1029"/>
      <c r="V1029" s="39"/>
      <c r="W1029"/>
      <c r="X1029"/>
      <c r="Y1029"/>
      <c r="Z1029"/>
      <c r="AA1029"/>
    </row>
    <row r="1030" spans="1:27" x14ac:dyDescent="0.25">
      <c r="A1030"/>
      <c r="B1030" s="36"/>
      <c r="C1030" s="36"/>
      <c r="D1030"/>
      <c r="E1030"/>
      <c r="F1030"/>
      <c r="G1030"/>
      <c r="H1030"/>
      <c r="I1030"/>
      <c r="J1030"/>
      <c r="K1030"/>
      <c r="L1030"/>
      <c r="M1030"/>
      <c r="N1030"/>
      <c r="O1030"/>
      <c r="P1030" s="36"/>
      <c r="Q1030" s="37"/>
      <c r="R1030"/>
      <c r="S1030"/>
      <c r="T1030"/>
      <c r="U1030"/>
      <c r="V1030" s="39"/>
      <c r="W1030"/>
      <c r="X1030"/>
      <c r="Y1030"/>
      <c r="Z1030"/>
      <c r="AA1030"/>
    </row>
    <row r="1031" spans="1:27" x14ac:dyDescent="0.25">
      <c r="A1031"/>
      <c r="B1031" s="36"/>
      <c r="C1031" s="36"/>
      <c r="D1031"/>
      <c r="E1031"/>
      <c r="F1031"/>
      <c r="G1031"/>
      <c r="H1031"/>
      <c r="I1031"/>
      <c r="J1031"/>
      <c r="K1031"/>
      <c r="L1031"/>
      <c r="M1031"/>
      <c r="N1031"/>
      <c r="O1031"/>
      <c r="P1031" s="36"/>
      <c r="Q1031" s="37"/>
      <c r="R1031"/>
      <c r="S1031"/>
      <c r="T1031"/>
      <c r="U1031"/>
      <c r="V1031" s="39"/>
      <c r="W1031"/>
      <c r="X1031"/>
      <c r="Y1031"/>
      <c r="Z1031"/>
      <c r="AA1031"/>
    </row>
    <row r="1032" spans="1:27" x14ac:dyDescent="0.25">
      <c r="A1032"/>
      <c r="B1032" s="36"/>
      <c r="C1032" s="36"/>
      <c r="D1032"/>
      <c r="E1032"/>
      <c r="F1032"/>
      <c r="G1032"/>
      <c r="H1032"/>
      <c r="I1032"/>
      <c r="J1032"/>
      <c r="K1032"/>
      <c r="L1032"/>
      <c r="M1032"/>
      <c r="N1032"/>
      <c r="O1032"/>
      <c r="P1032" s="36"/>
      <c r="Q1032" s="37"/>
      <c r="R1032"/>
      <c r="S1032"/>
      <c r="T1032"/>
      <c r="U1032"/>
      <c r="V1032" s="39"/>
      <c r="W1032"/>
      <c r="X1032"/>
      <c r="Y1032"/>
      <c r="Z1032"/>
      <c r="AA1032"/>
    </row>
    <row r="1033" spans="1:27" x14ac:dyDescent="0.25">
      <c r="A1033"/>
      <c r="B1033" s="36"/>
      <c r="C1033" s="36"/>
      <c r="D1033"/>
      <c r="E1033"/>
      <c r="F1033"/>
      <c r="G1033"/>
      <c r="H1033"/>
      <c r="I1033"/>
      <c r="J1033"/>
      <c r="K1033"/>
      <c r="L1033"/>
      <c r="M1033"/>
      <c r="N1033"/>
      <c r="O1033"/>
      <c r="P1033" s="36"/>
      <c r="Q1033" s="37"/>
      <c r="R1033"/>
      <c r="S1033"/>
      <c r="T1033"/>
      <c r="U1033"/>
      <c r="V1033" s="39"/>
      <c r="W1033"/>
      <c r="X1033"/>
      <c r="Y1033"/>
      <c r="Z1033"/>
      <c r="AA1033"/>
    </row>
    <row r="1034" spans="1:27" x14ac:dyDescent="0.25">
      <c r="A1034"/>
      <c r="B1034" s="36"/>
      <c r="C1034" s="36"/>
      <c r="D1034"/>
      <c r="E1034"/>
      <c r="F1034"/>
      <c r="G1034"/>
      <c r="H1034"/>
      <c r="I1034"/>
      <c r="J1034"/>
      <c r="K1034"/>
      <c r="L1034"/>
      <c r="M1034"/>
      <c r="N1034"/>
      <c r="O1034"/>
      <c r="P1034" s="36"/>
      <c r="Q1034" s="37"/>
      <c r="R1034"/>
      <c r="S1034"/>
      <c r="T1034"/>
      <c r="U1034"/>
      <c r="V1034" s="39"/>
      <c r="W1034"/>
      <c r="X1034"/>
      <c r="Y1034"/>
      <c r="Z1034"/>
      <c r="AA1034"/>
    </row>
    <row r="1035" spans="1:27" x14ac:dyDescent="0.25">
      <c r="A1035"/>
      <c r="B1035" s="36"/>
      <c r="C1035" s="36"/>
      <c r="D1035"/>
      <c r="E1035"/>
      <c r="F1035"/>
      <c r="G1035"/>
      <c r="H1035"/>
      <c r="I1035"/>
      <c r="J1035"/>
      <c r="K1035"/>
      <c r="L1035"/>
      <c r="M1035"/>
      <c r="N1035"/>
      <c r="O1035"/>
      <c r="P1035" s="36"/>
      <c r="Q1035" s="37"/>
      <c r="R1035"/>
      <c r="S1035"/>
      <c r="T1035"/>
      <c r="U1035"/>
      <c r="V1035" s="39"/>
      <c r="W1035"/>
      <c r="X1035"/>
      <c r="Y1035"/>
      <c r="Z1035"/>
      <c r="AA1035"/>
    </row>
    <row r="1036" spans="1:27" x14ac:dyDescent="0.25">
      <c r="A1036"/>
      <c r="B1036" s="36"/>
      <c r="C1036" s="36"/>
      <c r="D1036"/>
      <c r="E1036"/>
      <c r="F1036"/>
      <c r="G1036"/>
      <c r="H1036"/>
      <c r="I1036"/>
      <c r="J1036"/>
      <c r="K1036"/>
      <c r="L1036"/>
      <c r="M1036"/>
      <c r="N1036"/>
      <c r="O1036"/>
      <c r="P1036" s="36"/>
      <c r="Q1036" s="37"/>
      <c r="R1036"/>
      <c r="S1036"/>
      <c r="T1036"/>
      <c r="U1036"/>
      <c r="V1036" s="39"/>
      <c r="W1036"/>
      <c r="X1036"/>
      <c r="Y1036"/>
      <c r="Z1036"/>
      <c r="AA1036"/>
    </row>
    <row r="1037" spans="1:27" x14ac:dyDescent="0.25">
      <c r="A1037"/>
      <c r="B1037" s="36"/>
      <c r="C1037" s="36"/>
      <c r="D1037"/>
      <c r="E1037"/>
      <c r="F1037"/>
      <c r="G1037"/>
      <c r="H1037"/>
      <c r="I1037"/>
      <c r="J1037"/>
      <c r="K1037"/>
      <c r="L1037"/>
      <c r="M1037"/>
      <c r="N1037"/>
      <c r="O1037"/>
      <c r="P1037" s="36"/>
      <c r="Q1037" s="37"/>
      <c r="R1037"/>
      <c r="S1037"/>
      <c r="T1037"/>
      <c r="U1037"/>
      <c r="V1037" s="39"/>
      <c r="W1037"/>
      <c r="X1037"/>
      <c r="Y1037"/>
      <c r="Z1037"/>
      <c r="AA1037"/>
    </row>
    <row r="1038" spans="1:27" x14ac:dyDescent="0.25">
      <c r="A1038"/>
      <c r="B1038" s="36"/>
      <c r="C1038" s="36"/>
      <c r="D1038"/>
      <c r="E1038"/>
      <c r="F1038"/>
      <c r="G1038"/>
      <c r="H1038"/>
      <c r="I1038"/>
      <c r="J1038"/>
      <c r="K1038"/>
      <c r="L1038"/>
      <c r="M1038"/>
      <c r="N1038"/>
      <c r="O1038"/>
      <c r="P1038" s="36"/>
      <c r="Q1038" s="37"/>
      <c r="R1038"/>
      <c r="S1038"/>
      <c r="T1038"/>
      <c r="U1038"/>
      <c r="V1038" s="39"/>
      <c r="W1038"/>
      <c r="X1038"/>
      <c r="Y1038"/>
      <c r="Z1038"/>
      <c r="AA1038"/>
    </row>
    <row r="1039" spans="1:27" x14ac:dyDescent="0.25">
      <c r="A1039"/>
      <c r="B1039" s="36"/>
      <c r="C1039" s="36"/>
      <c r="D1039"/>
      <c r="E1039"/>
      <c r="F1039"/>
      <c r="G1039"/>
      <c r="H1039"/>
      <c r="I1039"/>
      <c r="J1039"/>
      <c r="K1039"/>
      <c r="L1039"/>
      <c r="M1039"/>
      <c r="N1039"/>
      <c r="O1039"/>
      <c r="P1039" s="36"/>
      <c r="Q1039" s="37"/>
      <c r="R1039"/>
      <c r="S1039"/>
      <c r="T1039"/>
      <c r="U1039"/>
      <c r="V1039" s="39"/>
      <c r="W1039"/>
      <c r="X1039"/>
      <c r="Y1039"/>
      <c r="Z1039"/>
      <c r="AA1039"/>
    </row>
    <row r="1040" spans="1:27" x14ac:dyDescent="0.25">
      <c r="A1040"/>
      <c r="B1040" s="36"/>
      <c r="C1040" s="36"/>
      <c r="D1040"/>
      <c r="E1040"/>
      <c r="F1040"/>
      <c r="G1040"/>
      <c r="H1040"/>
      <c r="I1040"/>
      <c r="J1040"/>
      <c r="K1040"/>
      <c r="L1040"/>
      <c r="M1040"/>
      <c r="N1040"/>
      <c r="O1040"/>
      <c r="P1040" s="36"/>
      <c r="Q1040" s="37"/>
      <c r="R1040"/>
      <c r="S1040"/>
      <c r="T1040"/>
      <c r="U1040"/>
      <c r="V1040" s="39"/>
      <c r="W1040"/>
      <c r="X1040"/>
      <c r="Y1040"/>
      <c r="Z1040"/>
      <c r="AA1040"/>
    </row>
    <row r="1041" spans="1:27" x14ac:dyDescent="0.25">
      <c r="A1041"/>
      <c r="B1041" s="36"/>
      <c r="C1041" s="36"/>
      <c r="D1041"/>
      <c r="E1041"/>
      <c r="F1041"/>
      <c r="G1041"/>
      <c r="H1041"/>
      <c r="I1041"/>
      <c r="J1041"/>
      <c r="K1041"/>
      <c r="L1041"/>
      <c r="M1041"/>
      <c r="N1041"/>
      <c r="O1041"/>
      <c r="P1041" s="36"/>
      <c r="Q1041" s="37"/>
      <c r="R1041"/>
      <c r="S1041"/>
      <c r="T1041"/>
      <c r="U1041"/>
      <c r="V1041" s="39"/>
      <c r="W1041"/>
      <c r="X1041"/>
      <c r="Y1041"/>
      <c r="Z1041"/>
      <c r="AA1041"/>
    </row>
    <row r="1042" spans="1:27" x14ac:dyDescent="0.25">
      <c r="A1042"/>
      <c r="B1042" s="36"/>
      <c r="C1042" s="36"/>
      <c r="D1042"/>
      <c r="E1042"/>
      <c r="F1042"/>
      <c r="G1042"/>
      <c r="H1042"/>
      <c r="I1042"/>
      <c r="J1042"/>
      <c r="K1042"/>
      <c r="L1042"/>
      <c r="M1042"/>
      <c r="N1042"/>
      <c r="O1042"/>
      <c r="P1042" s="36"/>
      <c r="Q1042" s="37"/>
      <c r="R1042"/>
      <c r="S1042"/>
      <c r="T1042"/>
      <c r="U1042"/>
      <c r="V1042" s="39"/>
      <c r="W1042"/>
      <c r="X1042"/>
      <c r="Y1042"/>
      <c r="Z1042"/>
      <c r="AA1042"/>
    </row>
    <row r="1043" spans="1:27" x14ac:dyDescent="0.25">
      <c r="A1043"/>
      <c r="B1043" s="36"/>
      <c r="C1043" s="36"/>
      <c r="D1043"/>
      <c r="E1043"/>
      <c r="F1043"/>
      <c r="G1043"/>
      <c r="H1043"/>
      <c r="I1043"/>
      <c r="J1043"/>
      <c r="K1043"/>
      <c r="L1043"/>
      <c r="M1043"/>
      <c r="N1043"/>
      <c r="O1043"/>
      <c r="P1043" s="36"/>
      <c r="Q1043" s="37"/>
      <c r="R1043"/>
      <c r="S1043"/>
      <c r="T1043"/>
      <c r="U1043"/>
      <c r="V1043" s="39"/>
      <c r="W1043"/>
      <c r="X1043"/>
      <c r="Y1043"/>
      <c r="Z1043"/>
      <c r="AA1043"/>
    </row>
    <row r="1044" spans="1:27" x14ac:dyDescent="0.25">
      <c r="A1044"/>
      <c r="B1044" s="36"/>
      <c r="C1044" s="36"/>
      <c r="D1044"/>
      <c r="E1044"/>
      <c r="F1044"/>
      <c r="G1044"/>
      <c r="H1044"/>
      <c r="I1044"/>
      <c r="J1044"/>
      <c r="K1044"/>
      <c r="L1044"/>
      <c r="M1044"/>
      <c r="N1044"/>
      <c r="O1044"/>
      <c r="P1044" s="36"/>
      <c r="Q1044" s="37"/>
      <c r="R1044"/>
      <c r="S1044"/>
      <c r="T1044"/>
      <c r="U1044"/>
      <c r="V1044" s="39"/>
      <c r="W1044"/>
      <c r="X1044"/>
      <c r="Y1044"/>
      <c r="Z1044"/>
      <c r="AA1044"/>
    </row>
    <row r="1045" spans="1:27" x14ac:dyDescent="0.25">
      <c r="A1045"/>
      <c r="B1045" s="36"/>
      <c r="C1045" s="36"/>
      <c r="D1045"/>
      <c r="E1045"/>
      <c r="F1045"/>
      <c r="G1045"/>
      <c r="H1045"/>
      <c r="I1045"/>
      <c r="J1045"/>
      <c r="K1045"/>
      <c r="L1045"/>
      <c r="M1045"/>
      <c r="N1045"/>
      <c r="O1045"/>
      <c r="P1045" s="36"/>
      <c r="Q1045" s="37"/>
      <c r="R1045"/>
      <c r="S1045"/>
      <c r="T1045"/>
      <c r="U1045"/>
      <c r="V1045" s="39"/>
      <c r="W1045"/>
      <c r="X1045"/>
      <c r="Y1045"/>
      <c r="Z1045"/>
      <c r="AA1045"/>
    </row>
    <row r="1046" spans="1:27" x14ac:dyDescent="0.25">
      <c r="A1046"/>
      <c r="B1046" s="36"/>
      <c r="C1046" s="36"/>
      <c r="D1046"/>
      <c r="E1046"/>
      <c r="F1046"/>
      <c r="G1046"/>
      <c r="H1046"/>
      <c r="I1046"/>
      <c r="J1046"/>
      <c r="K1046"/>
      <c r="L1046"/>
      <c r="M1046"/>
      <c r="N1046"/>
      <c r="O1046"/>
      <c r="P1046" s="36"/>
      <c r="Q1046" s="37"/>
      <c r="R1046"/>
      <c r="S1046"/>
      <c r="T1046"/>
      <c r="U1046"/>
      <c r="V1046" s="39"/>
      <c r="W1046"/>
      <c r="X1046"/>
      <c r="Y1046"/>
      <c r="Z1046"/>
      <c r="AA1046"/>
    </row>
    <row r="1047" spans="1:27" x14ac:dyDescent="0.25">
      <c r="A1047"/>
      <c r="B1047" s="36"/>
      <c r="C1047" s="36"/>
      <c r="D1047"/>
      <c r="E1047"/>
      <c r="F1047"/>
      <c r="G1047"/>
      <c r="H1047"/>
      <c r="I1047"/>
      <c r="J1047"/>
      <c r="K1047"/>
      <c r="L1047"/>
      <c r="M1047"/>
      <c r="N1047"/>
      <c r="O1047"/>
      <c r="P1047" s="36"/>
      <c r="Q1047" s="37"/>
      <c r="R1047"/>
      <c r="S1047"/>
      <c r="T1047"/>
      <c r="U1047"/>
      <c r="V1047" s="39"/>
      <c r="W1047"/>
      <c r="X1047"/>
      <c r="Y1047"/>
      <c r="Z1047"/>
      <c r="AA1047"/>
    </row>
    <row r="1048" spans="1:27" x14ac:dyDescent="0.25">
      <c r="A1048"/>
      <c r="B1048" s="36"/>
      <c r="C1048" s="36"/>
      <c r="D1048"/>
      <c r="E1048"/>
      <c r="F1048"/>
      <c r="G1048"/>
      <c r="H1048"/>
      <c r="I1048"/>
      <c r="J1048"/>
      <c r="K1048"/>
      <c r="L1048"/>
      <c r="M1048"/>
      <c r="N1048"/>
      <c r="O1048"/>
      <c r="P1048" s="36"/>
      <c r="Q1048" s="37"/>
      <c r="R1048"/>
      <c r="S1048"/>
      <c r="T1048"/>
      <c r="U1048"/>
      <c r="V1048" s="39"/>
      <c r="W1048"/>
      <c r="X1048"/>
      <c r="Y1048"/>
      <c r="Z1048"/>
      <c r="AA1048"/>
    </row>
    <row r="1049" spans="1:27" x14ac:dyDescent="0.25">
      <c r="A1049"/>
      <c r="B1049" s="36"/>
      <c r="C1049" s="36"/>
      <c r="D1049"/>
      <c r="E1049"/>
      <c r="F1049"/>
      <c r="G1049"/>
      <c r="H1049"/>
      <c r="I1049"/>
      <c r="J1049"/>
      <c r="K1049"/>
      <c r="L1049"/>
      <c r="M1049"/>
      <c r="N1049"/>
      <c r="O1049"/>
      <c r="P1049" s="36"/>
      <c r="Q1049" s="37"/>
      <c r="R1049"/>
      <c r="S1049"/>
      <c r="T1049"/>
      <c r="U1049"/>
      <c r="V1049" s="39"/>
      <c r="W1049"/>
      <c r="X1049"/>
      <c r="Y1049"/>
      <c r="Z1049"/>
      <c r="AA1049"/>
    </row>
    <row r="1050" spans="1:27" x14ac:dyDescent="0.25">
      <c r="A1050"/>
      <c r="B1050" s="36"/>
      <c r="C1050" s="36"/>
      <c r="D1050"/>
      <c r="E1050"/>
      <c r="F1050"/>
      <c r="G1050"/>
      <c r="H1050"/>
      <c r="I1050"/>
      <c r="J1050"/>
      <c r="K1050"/>
      <c r="L1050"/>
      <c r="M1050"/>
      <c r="N1050"/>
      <c r="O1050"/>
      <c r="P1050" s="36"/>
      <c r="Q1050" s="37"/>
      <c r="R1050"/>
      <c r="S1050"/>
      <c r="T1050"/>
      <c r="U1050"/>
      <c r="V1050" s="39"/>
      <c r="W1050"/>
      <c r="X1050"/>
      <c r="Y1050"/>
      <c r="Z1050"/>
      <c r="AA1050"/>
    </row>
    <row r="1051" spans="1:27" x14ac:dyDescent="0.25">
      <c r="A1051"/>
      <c r="B1051" s="36"/>
      <c r="C1051" s="36"/>
      <c r="D1051"/>
      <c r="E1051"/>
      <c r="F1051"/>
      <c r="G1051"/>
      <c r="H1051"/>
      <c r="I1051"/>
      <c r="J1051"/>
      <c r="K1051"/>
      <c r="L1051"/>
      <c r="M1051"/>
      <c r="N1051"/>
      <c r="O1051"/>
      <c r="P1051" s="36"/>
      <c r="Q1051" s="37"/>
      <c r="R1051"/>
      <c r="S1051"/>
      <c r="T1051"/>
      <c r="U1051"/>
      <c r="V1051" s="39"/>
      <c r="W1051"/>
      <c r="X1051"/>
      <c r="Y1051"/>
      <c r="Z1051"/>
      <c r="AA1051"/>
    </row>
    <row r="1052" spans="1:27" x14ac:dyDescent="0.25">
      <c r="A1052"/>
      <c r="B1052" s="36"/>
      <c r="C1052" s="36"/>
      <c r="D1052"/>
      <c r="E1052"/>
      <c r="F1052"/>
      <c r="G1052"/>
      <c r="H1052"/>
      <c r="I1052"/>
      <c r="J1052"/>
      <c r="K1052"/>
      <c r="L1052"/>
      <c r="M1052"/>
      <c r="N1052"/>
      <c r="O1052"/>
      <c r="P1052" s="36"/>
      <c r="Q1052" s="37"/>
      <c r="R1052"/>
      <c r="S1052"/>
      <c r="T1052"/>
      <c r="U1052"/>
      <c r="V1052" s="39"/>
      <c r="W1052"/>
      <c r="X1052"/>
      <c r="Y1052"/>
      <c r="Z1052"/>
      <c r="AA1052"/>
    </row>
    <row r="1053" spans="1:27" x14ac:dyDescent="0.25">
      <c r="A1053"/>
      <c r="B1053" s="36"/>
      <c r="C1053" s="36"/>
      <c r="D1053"/>
      <c r="E1053"/>
      <c r="F1053"/>
      <c r="G1053"/>
      <c r="H1053"/>
      <c r="I1053"/>
      <c r="J1053"/>
      <c r="K1053"/>
      <c r="L1053"/>
      <c r="M1053"/>
      <c r="N1053"/>
      <c r="O1053"/>
      <c r="P1053" s="36"/>
      <c r="Q1053" s="37"/>
      <c r="R1053"/>
      <c r="S1053"/>
      <c r="T1053"/>
      <c r="U1053"/>
      <c r="V1053" s="39"/>
      <c r="W1053"/>
      <c r="X1053"/>
      <c r="Y1053"/>
      <c r="Z1053"/>
      <c r="AA1053"/>
    </row>
    <row r="1054" spans="1:27" x14ac:dyDescent="0.25">
      <c r="A1054"/>
      <c r="B1054" s="36"/>
      <c r="C1054" s="36"/>
      <c r="D1054"/>
      <c r="E1054"/>
      <c r="F1054"/>
      <c r="G1054"/>
      <c r="H1054"/>
      <c r="I1054"/>
      <c r="J1054"/>
      <c r="K1054"/>
      <c r="L1054"/>
      <c r="M1054"/>
      <c r="N1054"/>
      <c r="O1054"/>
      <c r="P1054" s="36"/>
      <c r="Q1054" s="37"/>
      <c r="R1054"/>
      <c r="S1054"/>
      <c r="T1054"/>
      <c r="U1054"/>
      <c r="V1054" s="39"/>
      <c r="W1054"/>
      <c r="X1054"/>
      <c r="Y1054"/>
      <c r="Z1054"/>
      <c r="AA1054"/>
    </row>
    <row r="1055" spans="1:27" x14ac:dyDescent="0.25">
      <c r="A1055"/>
      <c r="B1055" s="36"/>
      <c r="C1055" s="36"/>
      <c r="D1055"/>
      <c r="E1055"/>
      <c r="F1055"/>
      <c r="G1055"/>
      <c r="H1055"/>
      <c r="I1055"/>
      <c r="J1055"/>
      <c r="K1055"/>
      <c r="L1055"/>
      <c r="M1055"/>
      <c r="N1055"/>
      <c r="O1055"/>
      <c r="P1055" s="36"/>
      <c r="Q1055" s="37"/>
      <c r="R1055"/>
      <c r="S1055"/>
      <c r="T1055"/>
      <c r="U1055"/>
      <c r="V1055" s="39"/>
      <c r="W1055"/>
      <c r="X1055"/>
      <c r="Y1055"/>
      <c r="Z1055"/>
      <c r="AA1055"/>
    </row>
    <row r="1056" spans="1:27" x14ac:dyDescent="0.25">
      <c r="A1056"/>
      <c r="B1056" s="36"/>
      <c r="C1056" s="36"/>
      <c r="D1056"/>
      <c r="E1056"/>
      <c r="F1056"/>
      <c r="G1056"/>
      <c r="H1056"/>
      <c r="I1056"/>
      <c r="J1056"/>
      <c r="K1056"/>
      <c r="L1056"/>
      <c r="M1056"/>
      <c r="N1056"/>
      <c r="O1056"/>
      <c r="P1056" s="36"/>
      <c r="Q1056" s="37"/>
      <c r="R1056"/>
      <c r="S1056"/>
      <c r="T1056"/>
      <c r="U1056"/>
      <c r="V1056" s="39"/>
      <c r="W1056"/>
      <c r="X1056"/>
      <c r="Y1056"/>
      <c r="Z1056"/>
      <c r="AA1056"/>
    </row>
    <row r="1057" spans="1:27" x14ac:dyDescent="0.25">
      <c r="A1057"/>
      <c r="B1057" s="36"/>
      <c r="C1057" s="36"/>
      <c r="D1057"/>
      <c r="E1057"/>
      <c r="F1057"/>
      <c r="G1057"/>
      <c r="H1057"/>
      <c r="I1057"/>
      <c r="J1057"/>
      <c r="K1057"/>
      <c r="L1057"/>
      <c r="M1057"/>
      <c r="N1057"/>
      <c r="O1057"/>
      <c r="P1057" s="36"/>
      <c r="Q1057" s="37"/>
      <c r="R1057"/>
      <c r="S1057"/>
      <c r="T1057"/>
      <c r="U1057"/>
      <c r="V1057" s="39"/>
      <c r="W1057"/>
      <c r="X1057"/>
      <c r="Y1057"/>
      <c r="Z1057"/>
      <c r="AA1057"/>
    </row>
    <row r="1058" spans="1:27" x14ac:dyDescent="0.25">
      <c r="A1058"/>
      <c r="B1058" s="36"/>
      <c r="C1058" s="36"/>
      <c r="D1058"/>
      <c r="E1058"/>
      <c r="F1058"/>
      <c r="G1058"/>
      <c r="H1058"/>
      <c r="I1058"/>
      <c r="J1058"/>
      <c r="K1058"/>
      <c r="L1058"/>
      <c r="M1058"/>
      <c r="N1058"/>
      <c r="O1058"/>
      <c r="P1058" s="36"/>
      <c r="Q1058" s="37"/>
      <c r="R1058"/>
      <c r="S1058"/>
      <c r="T1058"/>
      <c r="U1058"/>
      <c r="V1058" s="39"/>
      <c r="W1058"/>
      <c r="X1058"/>
      <c r="Y1058"/>
      <c r="Z1058"/>
      <c r="AA1058"/>
    </row>
    <row r="1059" spans="1:27" x14ac:dyDescent="0.25">
      <c r="A1059"/>
      <c r="B1059" s="36"/>
      <c r="C1059" s="36"/>
      <c r="D1059"/>
      <c r="E1059"/>
      <c r="F1059"/>
      <c r="G1059"/>
      <c r="H1059"/>
      <c r="I1059"/>
      <c r="J1059"/>
      <c r="K1059"/>
      <c r="L1059"/>
      <c r="M1059"/>
      <c r="N1059"/>
      <c r="O1059"/>
      <c r="P1059" s="36"/>
      <c r="Q1059" s="37"/>
      <c r="R1059"/>
      <c r="S1059"/>
      <c r="T1059"/>
      <c r="U1059"/>
      <c r="V1059" s="39"/>
      <c r="W1059"/>
      <c r="X1059"/>
      <c r="Y1059"/>
      <c r="Z1059"/>
      <c r="AA1059"/>
    </row>
    <row r="1060" spans="1:27" x14ac:dyDescent="0.25">
      <c r="A1060"/>
      <c r="B1060" s="36"/>
      <c r="C1060" s="36"/>
      <c r="D1060"/>
      <c r="E1060"/>
      <c r="F1060"/>
      <c r="G1060"/>
      <c r="H1060"/>
      <c r="I1060"/>
      <c r="J1060"/>
      <c r="K1060"/>
      <c r="L1060"/>
      <c r="M1060"/>
      <c r="N1060"/>
      <c r="O1060"/>
      <c r="P1060" s="36"/>
      <c r="Q1060" s="37"/>
      <c r="R1060"/>
      <c r="S1060"/>
      <c r="T1060"/>
      <c r="U1060"/>
      <c r="V1060" s="39"/>
      <c r="W1060"/>
      <c r="X1060"/>
      <c r="Y1060"/>
      <c r="Z1060"/>
      <c r="AA1060"/>
    </row>
    <row r="1061" spans="1:27" x14ac:dyDescent="0.25">
      <c r="A1061"/>
      <c r="B1061" s="36"/>
      <c r="C1061" s="36"/>
      <c r="D1061"/>
      <c r="E1061"/>
      <c r="F1061"/>
      <c r="G1061"/>
      <c r="H1061"/>
      <c r="I1061"/>
      <c r="J1061"/>
      <c r="K1061"/>
      <c r="L1061"/>
      <c r="M1061"/>
      <c r="N1061"/>
      <c r="O1061"/>
      <c r="P1061" s="36"/>
      <c r="Q1061" s="37"/>
      <c r="R1061"/>
      <c r="S1061"/>
      <c r="T1061"/>
      <c r="U1061"/>
      <c r="V1061" s="39"/>
      <c r="W1061"/>
      <c r="X1061"/>
      <c r="Y1061"/>
      <c r="Z1061"/>
      <c r="AA1061"/>
    </row>
    <row r="1062" spans="1:27" x14ac:dyDescent="0.25">
      <c r="A1062"/>
      <c r="B1062" s="36"/>
      <c r="C1062" s="36"/>
      <c r="D1062"/>
      <c r="E1062"/>
      <c r="F1062"/>
      <c r="G1062"/>
      <c r="H1062"/>
      <c r="I1062"/>
      <c r="J1062"/>
      <c r="K1062"/>
      <c r="L1062"/>
      <c r="M1062"/>
      <c r="N1062"/>
      <c r="O1062"/>
      <c r="P1062" s="36"/>
      <c r="Q1062" s="37"/>
      <c r="R1062"/>
      <c r="S1062"/>
      <c r="T1062"/>
      <c r="U1062"/>
      <c r="V1062" s="39"/>
      <c r="W1062"/>
      <c r="X1062"/>
      <c r="Y1062"/>
      <c r="Z1062"/>
      <c r="AA1062"/>
    </row>
    <row r="1063" spans="1:27" x14ac:dyDescent="0.25">
      <c r="A1063"/>
      <c r="B1063" s="36"/>
      <c r="C1063" s="36"/>
      <c r="D1063"/>
      <c r="E1063"/>
      <c r="F1063"/>
      <c r="G1063"/>
      <c r="H1063"/>
      <c r="I1063"/>
      <c r="J1063"/>
      <c r="K1063"/>
      <c r="L1063"/>
      <c r="M1063"/>
      <c r="N1063"/>
      <c r="O1063"/>
      <c r="P1063" s="36"/>
      <c r="Q1063" s="37"/>
      <c r="R1063"/>
      <c r="S1063"/>
      <c r="T1063"/>
      <c r="U1063"/>
      <c r="V1063" s="39"/>
      <c r="W1063"/>
      <c r="X1063"/>
      <c r="Y1063"/>
      <c r="Z1063"/>
      <c r="AA1063"/>
    </row>
    <row r="1064" spans="1:27" x14ac:dyDescent="0.25">
      <c r="A1064"/>
      <c r="B1064" s="36"/>
      <c r="C1064" s="36"/>
      <c r="D1064"/>
      <c r="E1064"/>
      <c r="F1064"/>
      <c r="G1064"/>
      <c r="H1064"/>
      <c r="I1064"/>
      <c r="J1064"/>
      <c r="K1064"/>
      <c r="L1064"/>
      <c r="M1064"/>
      <c r="N1064"/>
      <c r="O1064"/>
      <c r="P1064" s="36"/>
      <c r="Q1064" s="37"/>
      <c r="R1064" s="44"/>
      <c r="S1064"/>
      <c r="T1064"/>
      <c r="U1064"/>
      <c r="V1064" s="39"/>
      <c r="W1064"/>
      <c r="X1064"/>
      <c r="Y1064"/>
      <c r="Z1064"/>
      <c r="AA1064"/>
    </row>
    <row r="1065" spans="1:27" x14ac:dyDescent="0.25">
      <c r="A1065"/>
      <c r="B1065" s="36"/>
      <c r="C1065" s="36"/>
      <c r="D1065"/>
      <c r="E1065"/>
      <c r="F1065"/>
      <c r="G1065"/>
      <c r="H1065"/>
      <c r="I1065"/>
      <c r="J1065"/>
      <c r="K1065"/>
      <c r="L1065"/>
      <c r="M1065"/>
      <c r="N1065"/>
      <c r="O1065"/>
      <c r="P1065" s="36"/>
      <c r="Q1065" s="37"/>
      <c r="R1065"/>
      <c r="S1065"/>
      <c r="T1065"/>
      <c r="U1065"/>
      <c r="V1065" s="39"/>
      <c r="W1065"/>
      <c r="X1065"/>
      <c r="Y1065"/>
      <c r="Z1065"/>
      <c r="AA1065"/>
    </row>
    <row r="1066" spans="1:27" x14ac:dyDescent="0.25">
      <c r="A1066"/>
      <c r="B1066" s="36"/>
      <c r="C1066" s="36"/>
      <c r="D1066"/>
      <c r="E1066"/>
      <c r="F1066"/>
      <c r="G1066"/>
      <c r="H1066"/>
      <c r="I1066"/>
      <c r="J1066"/>
      <c r="K1066"/>
      <c r="L1066"/>
      <c r="M1066"/>
      <c r="N1066"/>
      <c r="O1066"/>
      <c r="P1066" s="36"/>
      <c r="Q1066" s="37"/>
      <c r="R1066"/>
      <c r="S1066"/>
      <c r="T1066"/>
      <c r="U1066"/>
      <c r="V1066" s="39"/>
      <c r="W1066"/>
      <c r="X1066"/>
      <c r="Y1066"/>
      <c r="Z1066"/>
      <c r="AA1066"/>
    </row>
    <row r="1067" spans="1:27" x14ac:dyDescent="0.25">
      <c r="A1067"/>
      <c r="B1067" s="36"/>
      <c r="C1067" s="36"/>
      <c r="D1067"/>
      <c r="E1067"/>
      <c r="F1067"/>
      <c r="G1067"/>
      <c r="H1067"/>
      <c r="I1067"/>
      <c r="J1067"/>
      <c r="K1067"/>
      <c r="L1067"/>
      <c r="M1067"/>
      <c r="N1067"/>
      <c r="O1067"/>
      <c r="P1067" s="36"/>
      <c r="Q1067" s="37"/>
      <c r="R1067"/>
      <c r="S1067"/>
      <c r="T1067"/>
      <c r="U1067"/>
      <c r="V1067" s="39"/>
      <c r="W1067"/>
      <c r="X1067"/>
      <c r="Y1067"/>
      <c r="Z1067"/>
      <c r="AA1067"/>
    </row>
    <row r="1068" spans="1:27" x14ac:dyDescent="0.25">
      <c r="A1068"/>
      <c r="B1068" s="36"/>
      <c r="C1068" s="36"/>
      <c r="D1068"/>
      <c r="E1068"/>
      <c r="F1068"/>
      <c r="G1068"/>
      <c r="H1068"/>
      <c r="I1068"/>
      <c r="J1068"/>
      <c r="K1068"/>
      <c r="L1068"/>
      <c r="M1068"/>
      <c r="N1068"/>
      <c r="O1068"/>
      <c r="P1068" s="36"/>
      <c r="Q1068" s="37"/>
      <c r="R1068"/>
      <c r="S1068"/>
      <c r="T1068"/>
      <c r="U1068"/>
      <c r="V1068" s="39"/>
      <c r="W1068"/>
      <c r="X1068"/>
      <c r="Y1068"/>
      <c r="Z1068"/>
      <c r="AA1068"/>
    </row>
    <row r="1069" spans="1:27" x14ac:dyDescent="0.25">
      <c r="A1069"/>
      <c r="B1069" s="36"/>
      <c r="C1069" s="36"/>
      <c r="D1069"/>
      <c r="E1069"/>
      <c r="F1069"/>
      <c r="G1069"/>
      <c r="H1069"/>
      <c r="I1069"/>
      <c r="J1069"/>
      <c r="K1069"/>
      <c r="L1069"/>
      <c r="M1069"/>
      <c r="N1069"/>
      <c r="O1069"/>
      <c r="P1069" s="36"/>
      <c r="Q1069" s="37"/>
      <c r="R1069"/>
      <c r="S1069"/>
      <c r="T1069"/>
      <c r="U1069"/>
      <c r="V1069" s="39"/>
      <c r="W1069"/>
      <c r="X1069"/>
      <c r="Y1069"/>
      <c r="Z1069"/>
      <c r="AA1069"/>
    </row>
    <row r="1070" spans="1:27" x14ac:dyDescent="0.25">
      <c r="A1070"/>
      <c r="B1070" s="36"/>
      <c r="C1070" s="36"/>
      <c r="D1070"/>
      <c r="E1070"/>
      <c r="F1070"/>
      <c r="G1070"/>
      <c r="H1070"/>
      <c r="I1070"/>
      <c r="J1070"/>
      <c r="K1070"/>
      <c r="L1070"/>
      <c r="M1070"/>
      <c r="N1070"/>
      <c r="O1070"/>
      <c r="P1070" s="36"/>
      <c r="Q1070" s="37"/>
      <c r="R1070"/>
      <c r="S1070"/>
      <c r="T1070"/>
      <c r="U1070"/>
      <c r="V1070" s="39"/>
      <c r="W1070"/>
      <c r="X1070"/>
      <c r="Y1070"/>
      <c r="Z1070"/>
      <c r="AA1070"/>
    </row>
    <row r="1071" spans="1:27" x14ac:dyDescent="0.25">
      <c r="A1071"/>
      <c r="B1071" s="36"/>
      <c r="C1071" s="36"/>
      <c r="D1071"/>
      <c r="E1071"/>
      <c r="F1071"/>
      <c r="G1071"/>
      <c r="H1071"/>
      <c r="I1071"/>
      <c r="J1071"/>
      <c r="K1071"/>
      <c r="L1071"/>
      <c r="M1071"/>
      <c r="N1071"/>
      <c r="O1071"/>
      <c r="P1071" s="36"/>
      <c r="Q1071" s="37"/>
      <c r="R1071"/>
      <c r="S1071"/>
      <c r="T1071"/>
      <c r="U1071"/>
      <c r="V1071" s="39"/>
      <c r="W1071"/>
      <c r="X1071"/>
      <c r="Y1071"/>
      <c r="Z1071"/>
      <c r="AA1071"/>
    </row>
    <row r="1072" spans="1:27" x14ac:dyDescent="0.25">
      <c r="A1072"/>
      <c r="B1072" s="36"/>
      <c r="C1072" s="36"/>
      <c r="D1072"/>
      <c r="E1072"/>
      <c r="F1072"/>
      <c r="G1072"/>
      <c r="H1072"/>
      <c r="I1072"/>
      <c r="J1072"/>
      <c r="K1072"/>
      <c r="L1072"/>
      <c r="M1072"/>
      <c r="N1072"/>
      <c r="O1072"/>
      <c r="P1072" s="36"/>
      <c r="Q1072" s="37"/>
      <c r="R1072"/>
      <c r="S1072"/>
      <c r="T1072"/>
      <c r="U1072"/>
      <c r="V1072" s="39"/>
      <c r="W1072"/>
      <c r="X1072"/>
      <c r="Y1072"/>
      <c r="Z1072"/>
      <c r="AA1072"/>
    </row>
    <row r="1073" spans="1:27" x14ac:dyDescent="0.25">
      <c r="A1073"/>
      <c r="B1073" s="36"/>
      <c r="C1073" s="36"/>
      <c r="D1073"/>
      <c r="E1073"/>
      <c r="F1073"/>
      <c r="G1073"/>
      <c r="H1073"/>
      <c r="I1073"/>
      <c r="J1073"/>
      <c r="K1073"/>
      <c r="L1073"/>
      <c r="M1073"/>
      <c r="N1073"/>
      <c r="O1073"/>
      <c r="P1073" s="36"/>
      <c r="Q1073" s="37"/>
      <c r="R1073"/>
      <c r="S1073"/>
      <c r="T1073"/>
      <c r="U1073"/>
      <c r="V1073" s="39"/>
      <c r="W1073"/>
      <c r="X1073"/>
      <c r="Y1073"/>
      <c r="Z1073"/>
      <c r="AA1073"/>
    </row>
    <row r="1074" spans="1:27" x14ac:dyDescent="0.25">
      <c r="A1074"/>
      <c r="B1074" s="36"/>
      <c r="C1074" s="36"/>
      <c r="D1074"/>
      <c r="E1074"/>
      <c r="F1074"/>
      <c r="G1074"/>
      <c r="H1074"/>
      <c r="I1074"/>
      <c r="J1074"/>
      <c r="K1074"/>
      <c r="L1074"/>
      <c r="M1074"/>
      <c r="N1074"/>
      <c r="O1074"/>
      <c r="P1074" s="36"/>
      <c r="Q1074" s="37"/>
      <c r="R1074"/>
      <c r="S1074"/>
      <c r="T1074"/>
      <c r="U1074"/>
      <c r="V1074" s="39"/>
      <c r="W1074"/>
      <c r="X1074"/>
      <c r="Y1074"/>
      <c r="Z1074"/>
      <c r="AA1074"/>
    </row>
    <row r="1075" spans="1:27" x14ac:dyDescent="0.25">
      <c r="A1075"/>
      <c r="B1075" s="36"/>
      <c r="C1075" s="36"/>
      <c r="D1075"/>
      <c r="E1075"/>
      <c r="F1075"/>
      <c r="G1075"/>
      <c r="H1075"/>
      <c r="I1075"/>
      <c r="J1075"/>
      <c r="K1075"/>
      <c r="L1075"/>
      <c r="M1075"/>
      <c r="N1075"/>
      <c r="O1075"/>
      <c r="P1075" s="36"/>
      <c r="Q1075" s="37"/>
      <c r="R1075"/>
      <c r="S1075"/>
      <c r="T1075"/>
      <c r="U1075"/>
      <c r="V1075" s="39"/>
      <c r="W1075"/>
      <c r="X1075"/>
      <c r="Y1075"/>
      <c r="Z1075"/>
      <c r="AA1075"/>
    </row>
    <row r="1076" spans="1:27" x14ac:dyDescent="0.25">
      <c r="A1076"/>
      <c r="B1076" s="36"/>
      <c r="C1076" s="36"/>
      <c r="D1076"/>
      <c r="E1076"/>
      <c r="F1076"/>
      <c r="G1076"/>
      <c r="H1076"/>
      <c r="I1076"/>
      <c r="J1076"/>
      <c r="K1076"/>
      <c r="L1076"/>
      <c r="M1076"/>
      <c r="N1076"/>
      <c r="O1076"/>
      <c r="P1076" s="36"/>
      <c r="Q1076" s="37"/>
      <c r="R1076"/>
      <c r="S1076"/>
      <c r="T1076"/>
      <c r="U1076"/>
      <c r="V1076" s="39"/>
      <c r="W1076"/>
      <c r="X1076"/>
      <c r="Y1076"/>
      <c r="Z1076"/>
      <c r="AA1076"/>
    </row>
    <row r="1077" spans="1:27" x14ac:dyDescent="0.25">
      <c r="A1077"/>
      <c r="B1077" s="36"/>
      <c r="C1077" s="36"/>
      <c r="D1077"/>
      <c r="E1077"/>
      <c r="F1077"/>
      <c r="G1077"/>
      <c r="H1077"/>
      <c r="I1077"/>
      <c r="J1077"/>
      <c r="K1077"/>
      <c r="L1077"/>
      <c r="M1077"/>
      <c r="N1077"/>
      <c r="O1077"/>
      <c r="P1077" s="36"/>
      <c r="Q1077" s="37"/>
      <c r="R1077"/>
      <c r="S1077"/>
      <c r="T1077"/>
      <c r="U1077"/>
      <c r="V1077" s="39"/>
      <c r="W1077"/>
      <c r="X1077"/>
      <c r="Y1077"/>
      <c r="Z1077"/>
      <c r="AA1077"/>
    </row>
    <row r="1078" spans="1:27" x14ac:dyDescent="0.25">
      <c r="A1078"/>
      <c r="B1078" s="36"/>
      <c r="C1078" s="36"/>
      <c r="D1078"/>
      <c r="E1078"/>
      <c r="F1078"/>
      <c r="G1078"/>
      <c r="H1078"/>
      <c r="I1078"/>
      <c r="J1078"/>
      <c r="K1078"/>
      <c r="L1078"/>
      <c r="M1078"/>
      <c r="N1078"/>
      <c r="O1078"/>
      <c r="P1078" s="36"/>
      <c r="Q1078" s="37"/>
      <c r="R1078"/>
      <c r="S1078"/>
      <c r="T1078"/>
      <c r="U1078"/>
      <c r="V1078" s="39"/>
      <c r="W1078"/>
      <c r="X1078"/>
      <c r="Y1078"/>
      <c r="Z1078"/>
      <c r="AA1078"/>
    </row>
    <row r="1079" spans="1:27" x14ac:dyDescent="0.25">
      <c r="A1079"/>
      <c r="B1079" s="36"/>
      <c r="C1079" s="36"/>
      <c r="D1079"/>
      <c r="E1079"/>
      <c r="F1079"/>
      <c r="G1079"/>
      <c r="H1079"/>
      <c r="I1079"/>
      <c r="J1079"/>
      <c r="K1079"/>
      <c r="L1079"/>
      <c r="M1079"/>
      <c r="N1079"/>
      <c r="O1079"/>
      <c r="P1079" s="36"/>
      <c r="Q1079" s="37"/>
      <c r="R1079"/>
      <c r="S1079"/>
      <c r="T1079"/>
      <c r="U1079"/>
      <c r="V1079" s="39"/>
      <c r="W1079"/>
      <c r="X1079"/>
      <c r="Y1079"/>
      <c r="Z1079"/>
      <c r="AA1079"/>
    </row>
    <row r="1080" spans="1:27" x14ac:dyDescent="0.25">
      <c r="A1080"/>
      <c r="B1080" s="36"/>
      <c r="C1080" s="36"/>
      <c r="D1080"/>
      <c r="E1080"/>
      <c r="F1080"/>
      <c r="G1080"/>
      <c r="H1080"/>
      <c r="I1080"/>
      <c r="J1080"/>
      <c r="K1080"/>
      <c r="L1080"/>
      <c r="M1080"/>
      <c r="N1080"/>
      <c r="O1080"/>
      <c r="P1080" s="36"/>
      <c r="Q1080" s="37"/>
      <c r="R1080"/>
      <c r="S1080"/>
      <c r="T1080"/>
      <c r="U1080"/>
      <c r="V1080" s="39"/>
      <c r="W1080"/>
      <c r="X1080"/>
      <c r="Y1080"/>
      <c r="Z1080"/>
      <c r="AA1080"/>
    </row>
    <row r="1081" spans="1:27" x14ac:dyDescent="0.25">
      <c r="A1081"/>
      <c r="B1081" s="36"/>
      <c r="C1081" s="36"/>
      <c r="D1081"/>
      <c r="E1081"/>
      <c r="F1081"/>
      <c r="G1081"/>
      <c r="H1081"/>
      <c r="I1081"/>
      <c r="J1081"/>
      <c r="K1081"/>
      <c r="L1081"/>
      <c r="M1081"/>
      <c r="N1081"/>
      <c r="O1081"/>
      <c r="P1081" s="36"/>
      <c r="Q1081" s="37"/>
      <c r="R1081"/>
      <c r="S1081"/>
      <c r="T1081"/>
      <c r="U1081"/>
      <c r="V1081" s="39"/>
      <c r="W1081"/>
      <c r="X1081"/>
      <c r="Y1081"/>
      <c r="Z1081"/>
      <c r="AA1081"/>
    </row>
    <row r="1082" spans="1:27" x14ac:dyDescent="0.25">
      <c r="A1082"/>
      <c r="B1082" s="36"/>
      <c r="C1082" s="36"/>
      <c r="D1082"/>
      <c r="E1082"/>
      <c r="F1082"/>
      <c r="G1082"/>
      <c r="H1082"/>
      <c r="I1082"/>
      <c r="J1082"/>
      <c r="K1082"/>
      <c r="L1082"/>
      <c r="M1082"/>
      <c r="N1082"/>
      <c r="O1082"/>
      <c r="P1082" s="36"/>
      <c r="Q1082" s="37"/>
      <c r="R1082"/>
      <c r="S1082"/>
      <c r="T1082"/>
      <c r="U1082"/>
      <c r="V1082" s="39"/>
      <c r="W1082"/>
      <c r="X1082"/>
      <c r="Y1082"/>
      <c r="Z1082"/>
      <c r="AA1082"/>
    </row>
    <row r="1083" spans="1:27" x14ac:dyDescent="0.25">
      <c r="A1083"/>
      <c r="B1083" s="36"/>
      <c r="C1083" s="36"/>
      <c r="D1083"/>
      <c r="E1083"/>
      <c r="F1083"/>
      <c r="G1083"/>
      <c r="H1083"/>
      <c r="I1083"/>
      <c r="J1083"/>
      <c r="K1083"/>
      <c r="L1083"/>
      <c r="M1083"/>
      <c r="N1083"/>
      <c r="O1083"/>
      <c r="P1083" s="36"/>
      <c r="Q1083" s="37"/>
      <c r="R1083"/>
      <c r="S1083"/>
      <c r="T1083"/>
      <c r="U1083"/>
      <c r="V1083" s="39"/>
      <c r="W1083"/>
      <c r="X1083"/>
      <c r="Y1083"/>
      <c r="Z1083"/>
      <c r="AA1083"/>
    </row>
    <row r="1084" spans="1:27" x14ac:dyDescent="0.25">
      <c r="A1084"/>
      <c r="B1084" s="36"/>
      <c r="C1084" s="36"/>
      <c r="D1084"/>
      <c r="E1084"/>
      <c r="F1084"/>
      <c r="G1084"/>
      <c r="H1084"/>
      <c r="I1084"/>
      <c r="J1084"/>
      <c r="K1084"/>
      <c r="L1084"/>
      <c r="M1084"/>
      <c r="N1084"/>
      <c r="O1084"/>
      <c r="P1084" s="36"/>
      <c r="Q1084" s="37"/>
      <c r="R1084"/>
      <c r="S1084"/>
      <c r="T1084"/>
      <c r="U1084"/>
      <c r="V1084" s="39"/>
      <c r="W1084"/>
      <c r="X1084"/>
      <c r="Y1084"/>
      <c r="Z1084"/>
      <c r="AA1084"/>
    </row>
    <row r="1085" spans="1:27" x14ac:dyDescent="0.25">
      <c r="A1085"/>
      <c r="B1085" s="36"/>
      <c r="C1085" s="36"/>
      <c r="D1085"/>
      <c r="E1085"/>
      <c r="F1085"/>
      <c r="G1085"/>
      <c r="H1085"/>
      <c r="I1085"/>
      <c r="J1085"/>
      <c r="K1085"/>
      <c r="L1085"/>
      <c r="M1085"/>
      <c r="N1085"/>
      <c r="O1085"/>
      <c r="P1085" s="36"/>
      <c r="Q1085" s="37"/>
      <c r="R1085"/>
      <c r="S1085"/>
      <c r="T1085"/>
      <c r="U1085"/>
      <c r="V1085" s="39"/>
      <c r="W1085"/>
      <c r="X1085"/>
      <c r="Y1085"/>
      <c r="Z1085"/>
      <c r="AA1085"/>
    </row>
    <row r="1086" spans="1:27" x14ac:dyDescent="0.25">
      <c r="A1086"/>
      <c r="B1086" s="36"/>
      <c r="C1086" s="36"/>
      <c r="D1086"/>
      <c r="E1086"/>
      <c r="F1086"/>
      <c r="G1086"/>
      <c r="H1086"/>
      <c r="I1086"/>
      <c r="J1086"/>
      <c r="K1086"/>
      <c r="L1086"/>
      <c r="M1086"/>
      <c r="N1086"/>
      <c r="O1086"/>
      <c r="P1086" s="36"/>
      <c r="Q1086" s="37"/>
      <c r="R1086"/>
      <c r="S1086"/>
      <c r="T1086"/>
      <c r="U1086"/>
      <c r="V1086" s="39"/>
      <c r="W1086"/>
      <c r="X1086"/>
      <c r="Y1086"/>
      <c r="Z1086"/>
      <c r="AA1086"/>
    </row>
    <row r="1087" spans="1:27" x14ac:dyDescent="0.25">
      <c r="A1087"/>
      <c r="B1087" s="36"/>
      <c r="C1087" s="36"/>
      <c r="D1087"/>
      <c r="E1087"/>
      <c r="F1087"/>
      <c r="G1087"/>
      <c r="H1087"/>
      <c r="I1087"/>
      <c r="J1087"/>
      <c r="K1087"/>
      <c r="L1087"/>
      <c r="M1087"/>
      <c r="N1087"/>
      <c r="O1087"/>
      <c r="P1087" s="36"/>
      <c r="Q1087" s="37"/>
      <c r="R1087"/>
      <c r="S1087"/>
      <c r="T1087"/>
      <c r="U1087"/>
      <c r="V1087" s="39"/>
      <c r="W1087"/>
      <c r="X1087"/>
      <c r="Y1087"/>
      <c r="Z1087"/>
      <c r="AA1087"/>
    </row>
    <row r="1088" spans="1:27" x14ac:dyDescent="0.25">
      <c r="A1088"/>
      <c r="B1088" s="36"/>
      <c r="C1088" s="36"/>
      <c r="D1088"/>
      <c r="E1088"/>
      <c r="F1088"/>
      <c r="G1088"/>
      <c r="H1088"/>
      <c r="I1088"/>
      <c r="J1088"/>
      <c r="K1088"/>
      <c r="L1088"/>
      <c r="M1088"/>
      <c r="N1088"/>
      <c r="O1088"/>
      <c r="P1088" s="36"/>
      <c r="Q1088" s="37"/>
      <c r="R1088"/>
      <c r="S1088"/>
      <c r="T1088"/>
      <c r="U1088"/>
      <c r="V1088" s="39"/>
      <c r="W1088"/>
      <c r="X1088"/>
      <c r="Y1088"/>
      <c r="Z1088"/>
      <c r="AA1088"/>
    </row>
    <row r="1089" spans="1:27" x14ac:dyDescent="0.25">
      <c r="A1089"/>
      <c r="B1089" s="36"/>
      <c r="C1089" s="36"/>
      <c r="D1089"/>
      <c r="E1089"/>
      <c r="F1089"/>
      <c r="G1089"/>
      <c r="H1089"/>
      <c r="I1089"/>
      <c r="J1089"/>
      <c r="K1089"/>
      <c r="L1089"/>
      <c r="M1089"/>
      <c r="N1089"/>
      <c r="O1089"/>
      <c r="P1089" s="36"/>
      <c r="Q1089" s="37"/>
      <c r="R1089"/>
      <c r="S1089"/>
      <c r="T1089"/>
      <c r="U1089"/>
      <c r="V1089" s="39"/>
      <c r="W1089"/>
      <c r="X1089"/>
      <c r="Y1089"/>
      <c r="Z1089"/>
      <c r="AA1089"/>
    </row>
    <row r="1090" spans="1:27" x14ac:dyDescent="0.25">
      <c r="A1090"/>
      <c r="B1090" s="36"/>
      <c r="C1090" s="36"/>
      <c r="D1090"/>
      <c r="E1090"/>
      <c r="F1090"/>
      <c r="G1090"/>
      <c r="H1090"/>
      <c r="I1090"/>
      <c r="J1090"/>
      <c r="K1090"/>
      <c r="L1090"/>
      <c r="M1090"/>
      <c r="N1090"/>
      <c r="O1090"/>
      <c r="P1090" s="36"/>
      <c r="Q1090" s="37"/>
      <c r="R1090"/>
      <c r="S1090"/>
      <c r="T1090"/>
      <c r="U1090"/>
      <c r="V1090" s="39"/>
      <c r="W1090"/>
      <c r="X1090"/>
      <c r="Y1090"/>
      <c r="Z1090"/>
      <c r="AA1090"/>
    </row>
    <row r="1091" spans="1:27" x14ac:dyDescent="0.25">
      <c r="A1091"/>
      <c r="B1091" s="36"/>
      <c r="C1091" s="36"/>
      <c r="D1091"/>
      <c r="E1091"/>
      <c r="F1091"/>
      <c r="G1091"/>
      <c r="H1091"/>
      <c r="I1091"/>
      <c r="J1091"/>
      <c r="K1091"/>
      <c r="L1091"/>
      <c r="M1091"/>
      <c r="N1091"/>
      <c r="O1091"/>
      <c r="P1091" s="36"/>
      <c r="Q1091" s="37"/>
      <c r="R1091"/>
      <c r="S1091"/>
      <c r="T1091"/>
      <c r="U1091"/>
      <c r="V1091" s="39"/>
      <c r="W1091"/>
      <c r="X1091"/>
      <c r="Y1091"/>
      <c r="Z1091"/>
      <c r="AA1091"/>
    </row>
    <row r="1092" spans="1:27" x14ac:dyDescent="0.25">
      <c r="A1092"/>
      <c r="B1092" s="36"/>
      <c r="C1092" s="36"/>
      <c r="D1092"/>
      <c r="E1092"/>
      <c r="F1092"/>
      <c r="G1092"/>
      <c r="H1092"/>
      <c r="I1092"/>
      <c r="J1092"/>
      <c r="K1092"/>
      <c r="L1092"/>
      <c r="M1092"/>
      <c r="N1092"/>
      <c r="O1092"/>
      <c r="P1092" s="36"/>
      <c r="Q1092" s="37"/>
      <c r="R1092"/>
      <c r="S1092"/>
      <c r="T1092"/>
      <c r="U1092"/>
      <c r="V1092" s="39"/>
      <c r="W1092"/>
      <c r="X1092"/>
      <c r="Y1092"/>
      <c r="Z1092"/>
      <c r="AA1092"/>
    </row>
    <row r="1093" spans="1:27" x14ac:dyDescent="0.25">
      <c r="A1093"/>
      <c r="B1093" s="36"/>
      <c r="C1093" s="36"/>
      <c r="D1093"/>
      <c r="E1093"/>
      <c r="F1093"/>
      <c r="G1093"/>
      <c r="H1093"/>
      <c r="I1093"/>
      <c r="J1093"/>
      <c r="K1093"/>
      <c r="L1093"/>
      <c r="M1093"/>
      <c r="N1093"/>
      <c r="O1093"/>
      <c r="P1093" s="36"/>
      <c r="Q1093" s="37"/>
      <c r="R1093"/>
      <c r="S1093"/>
      <c r="T1093"/>
      <c r="U1093"/>
      <c r="V1093" s="39"/>
      <c r="W1093"/>
      <c r="X1093"/>
      <c r="Y1093"/>
      <c r="Z1093"/>
      <c r="AA1093"/>
    </row>
    <row r="1094" spans="1:27" x14ac:dyDescent="0.25">
      <c r="A1094"/>
      <c r="B1094" s="36"/>
      <c r="C1094" s="36"/>
      <c r="D1094"/>
      <c r="E1094"/>
      <c r="F1094"/>
      <c r="G1094"/>
      <c r="H1094"/>
      <c r="I1094"/>
      <c r="J1094"/>
      <c r="K1094"/>
      <c r="L1094"/>
      <c r="M1094"/>
      <c r="N1094"/>
      <c r="O1094"/>
      <c r="P1094" s="36"/>
      <c r="Q1094" s="37"/>
      <c r="R1094"/>
      <c r="S1094"/>
      <c r="T1094"/>
      <c r="U1094"/>
      <c r="V1094" s="39"/>
      <c r="W1094"/>
      <c r="X1094"/>
      <c r="Y1094"/>
      <c r="Z1094"/>
      <c r="AA1094"/>
    </row>
    <row r="1095" spans="1:27" x14ac:dyDescent="0.25">
      <c r="A1095"/>
      <c r="B1095" s="36"/>
      <c r="C1095" s="36"/>
      <c r="D1095"/>
      <c r="E1095"/>
      <c r="F1095"/>
      <c r="G1095"/>
      <c r="H1095"/>
      <c r="I1095"/>
      <c r="J1095"/>
      <c r="K1095"/>
      <c r="L1095"/>
      <c r="M1095"/>
      <c r="N1095"/>
      <c r="O1095"/>
      <c r="P1095" s="36"/>
      <c r="Q1095" s="37"/>
      <c r="R1095"/>
      <c r="S1095"/>
      <c r="T1095"/>
      <c r="U1095"/>
      <c r="V1095" s="39"/>
      <c r="W1095"/>
      <c r="X1095"/>
      <c r="Y1095"/>
      <c r="Z1095"/>
      <c r="AA1095"/>
    </row>
    <row r="1096" spans="1:27" x14ac:dyDescent="0.25">
      <c r="A1096"/>
      <c r="B1096" s="36"/>
      <c r="C1096" s="36"/>
      <c r="D1096"/>
      <c r="E1096"/>
      <c r="F1096"/>
      <c r="G1096"/>
      <c r="H1096"/>
      <c r="I1096"/>
      <c r="J1096"/>
      <c r="K1096"/>
      <c r="L1096"/>
      <c r="M1096"/>
      <c r="N1096"/>
      <c r="O1096"/>
      <c r="P1096" s="36"/>
      <c r="Q1096" s="37"/>
      <c r="R1096"/>
      <c r="S1096"/>
      <c r="T1096"/>
      <c r="U1096"/>
      <c r="V1096" s="39"/>
      <c r="W1096"/>
      <c r="X1096"/>
      <c r="Y1096"/>
      <c r="Z1096"/>
      <c r="AA1096"/>
    </row>
    <row r="1097" spans="1:27" x14ac:dyDescent="0.25">
      <c r="A1097"/>
      <c r="B1097" s="36"/>
      <c r="C1097" s="36"/>
      <c r="D1097"/>
      <c r="E1097"/>
      <c r="F1097"/>
      <c r="G1097"/>
      <c r="H1097"/>
      <c r="I1097"/>
      <c r="J1097"/>
      <c r="K1097"/>
      <c r="L1097"/>
      <c r="M1097"/>
      <c r="N1097"/>
      <c r="O1097"/>
      <c r="P1097" s="36"/>
      <c r="Q1097" s="37"/>
      <c r="R1097"/>
      <c r="S1097"/>
      <c r="T1097"/>
      <c r="U1097"/>
      <c r="V1097" s="39"/>
      <c r="W1097"/>
      <c r="X1097"/>
      <c r="Y1097"/>
      <c r="Z1097"/>
      <c r="AA1097"/>
    </row>
    <row r="1098" spans="1:27" x14ac:dyDescent="0.25">
      <c r="A1098"/>
      <c r="B1098" s="36"/>
      <c r="C1098" s="36"/>
      <c r="D1098"/>
      <c r="E1098"/>
      <c r="F1098"/>
      <c r="G1098"/>
      <c r="H1098"/>
      <c r="I1098"/>
      <c r="J1098"/>
      <c r="K1098"/>
      <c r="L1098"/>
      <c r="M1098"/>
      <c r="N1098"/>
      <c r="O1098"/>
      <c r="P1098" s="36"/>
      <c r="Q1098" s="37"/>
      <c r="R1098"/>
      <c r="S1098"/>
      <c r="T1098"/>
      <c r="U1098"/>
      <c r="V1098" s="39"/>
      <c r="W1098"/>
      <c r="X1098"/>
      <c r="Y1098"/>
      <c r="Z1098"/>
      <c r="AA1098"/>
    </row>
    <row r="1099" spans="1:27" x14ac:dyDescent="0.25">
      <c r="A1099"/>
      <c r="B1099" s="36"/>
      <c r="C1099" s="36"/>
      <c r="D1099"/>
      <c r="E1099"/>
      <c r="F1099"/>
      <c r="G1099"/>
      <c r="H1099"/>
      <c r="I1099"/>
      <c r="J1099"/>
      <c r="K1099"/>
      <c r="L1099"/>
      <c r="M1099"/>
      <c r="N1099"/>
      <c r="O1099"/>
      <c r="P1099" s="36"/>
      <c r="Q1099" s="37"/>
      <c r="R1099"/>
      <c r="S1099"/>
      <c r="T1099"/>
      <c r="U1099"/>
      <c r="V1099" s="39"/>
      <c r="W1099"/>
      <c r="X1099"/>
      <c r="Y1099"/>
      <c r="Z1099"/>
      <c r="AA1099"/>
    </row>
    <row r="1100" spans="1:27" x14ac:dyDescent="0.25">
      <c r="A1100"/>
      <c r="B1100" s="36"/>
      <c r="C1100" s="36"/>
      <c r="D1100"/>
      <c r="E1100"/>
      <c r="F1100"/>
      <c r="G1100"/>
      <c r="H1100"/>
      <c r="I1100"/>
      <c r="J1100"/>
      <c r="K1100"/>
      <c r="L1100"/>
      <c r="M1100"/>
      <c r="N1100"/>
      <c r="O1100"/>
      <c r="P1100" s="36"/>
      <c r="Q1100" s="37"/>
      <c r="R1100"/>
      <c r="S1100"/>
      <c r="T1100"/>
      <c r="U1100"/>
      <c r="V1100" s="39"/>
      <c r="W1100"/>
      <c r="X1100"/>
      <c r="Y1100"/>
      <c r="Z1100"/>
      <c r="AA1100"/>
    </row>
    <row r="1101" spans="1:27" x14ac:dyDescent="0.25">
      <c r="A1101"/>
      <c r="B1101" s="36"/>
      <c r="C1101" s="36"/>
      <c r="D1101"/>
      <c r="E1101"/>
      <c r="F1101"/>
      <c r="G1101"/>
      <c r="H1101"/>
      <c r="I1101"/>
      <c r="J1101"/>
      <c r="K1101"/>
      <c r="L1101"/>
      <c r="M1101"/>
      <c r="N1101"/>
      <c r="O1101"/>
      <c r="P1101" s="36"/>
      <c r="Q1101" s="37"/>
      <c r="R1101"/>
      <c r="S1101"/>
      <c r="T1101"/>
      <c r="U1101"/>
      <c r="V1101" s="39"/>
      <c r="W1101"/>
      <c r="X1101"/>
      <c r="Y1101"/>
      <c r="Z1101"/>
      <c r="AA1101"/>
    </row>
    <row r="1102" spans="1:27" x14ac:dyDescent="0.25">
      <c r="A1102"/>
      <c r="B1102" s="36"/>
      <c r="C1102" s="36"/>
      <c r="D1102"/>
      <c r="E1102"/>
      <c r="F1102"/>
      <c r="G1102"/>
      <c r="H1102"/>
      <c r="I1102"/>
      <c r="J1102"/>
      <c r="K1102"/>
      <c r="L1102"/>
      <c r="M1102"/>
      <c r="N1102"/>
      <c r="O1102"/>
      <c r="P1102" s="36"/>
      <c r="Q1102" s="37"/>
      <c r="R1102"/>
      <c r="S1102"/>
      <c r="T1102"/>
      <c r="U1102"/>
      <c r="V1102" s="39"/>
      <c r="W1102"/>
      <c r="X1102"/>
      <c r="Y1102"/>
      <c r="Z1102"/>
      <c r="AA1102"/>
    </row>
    <row r="1103" spans="1:27" x14ac:dyDescent="0.25">
      <c r="A1103"/>
      <c r="B1103" s="36"/>
      <c r="C1103" s="36"/>
      <c r="D1103"/>
      <c r="E1103"/>
      <c r="F1103"/>
      <c r="G1103"/>
      <c r="H1103"/>
      <c r="I1103"/>
      <c r="J1103"/>
      <c r="K1103"/>
      <c r="L1103"/>
      <c r="M1103"/>
      <c r="N1103"/>
      <c r="O1103"/>
      <c r="P1103" s="36"/>
      <c r="Q1103" s="37"/>
      <c r="R1103"/>
      <c r="S1103"/>
      <c r="T1103"/>
      <c r="U1103"/>
      <c r="V1103" s="39"/>
      <c r="W1103"/>
      <c r="X1103"/>
      <c r="Y1103"/>
      <c r="Z1103"/>
      <c r="AA1103"/>
    </row>
    <row r="1104" spans="1:27" x14ac:dyDescent="0.25">
      <c r="A1104"/>
      <c r="B1104" s="36"/>
      <c r="C1104" s="36"/>
      <c r="D1104"/>
      <c r="E1104"/>
      <c r="F1104"/>
      <c r="G1104"/>
      <c r="H1104"/>
      <c r="I1104"/>
      <c r="J1104"/>
      <c r="K1104"/>
      <c r="L1104"/>
      <c r="M1104"/>
      <c r="N1104"/>
      <c r="O1104"/>
      <c r="P1104" s="36"/>
      <c r="Q1104" s="37"/>
      <c r="R1104"/>
      <c r="S1104"/>
      <c r="T1104"/>
      <c r="U1104"/>
      <c r="V1104" s="39"/>
      <c r="W1104"/>
      <c r="X1104"/>
      <c r="Y1104"/>
      <c r="Z1104"/>
      <c r="AA1104"/>
    </row>
    <row r="1105" spans="1:27" x14ac:dyDescent="0.25">
      <c r="A1105"/>
      <c r="B1105" s="36"/>
      <c r="C1105" s="36"/>
      <c r="D1105"/>
      <c r="E1105"/>
      <c r="F1105"/>
      <c r="G1105"/>
      <c r="H1105"/>
      <c r="I1105"/>
      <c r="J1105"/>
      <c r="K1105"/>
      <c r="L1105"/>
      <c r="M1105"/>
      <c r="N1105"/>
      <c r="O1105"/>
      <c r="P1105" s="36"/>
      <c r="Q1105" s="37"/>
      <c r="R1105"/>
      <c r="S1105"/>
      <c r="T1105"/>
      <c r="U1105"/>
      <c r="V1105" s="39"/>
      <c r="W1105"/>
      <c r="X1105"/>
      <c r="Y1105"/>
      <c r="Z1105"/>
      <c r="AA1105"/>
    </row>
    <row r="1106" spans="1:27" x14ac:dyDescent="0.25">
      <c r="A1106"/>
      <c r="B1106" s="36"/>
      <c r="C1106" s="36"/>
      <c r="D1106"/>
      <c r="E1106"/>
      <c r="F1106"/>
      <c r="G1106"/>
      <c r="H1106"/>
      <c r="I1106"/>
      <c r="J1106"/>
      <c r="K1106"/>
      <c r="L1106"/>
      <c r="M1106"/>
      <c r="N1106"/>
      <c r="O1106"/>
      <c r="P1106" s="36"/>
      <c r="Q1106" s="37"/>
      <c r="R1106"/>
      <c r="S1106"/>
      <c r="T1106"/>
      <c r="U1106"/>
      <c r="V1106" s="39"/>
      <c r="W1106"/>
      <c r="X1106"/>
      <c r="Y1106"/>
      <c r="Z1106"/>
      <c r="AA1106"/>
    </row>
    <row r="1107" spans="1:27" x14ac:dyDescent="0.25">
      <c r="A1107"/>
      <c r="B1107" s="36"/>
      <c r="C1107" s="36"/>
      <c r="D1107"/>
      <c r="E1107"/>
      <c r="F1107"/>
      <c r="G1107"/>
      <c r="H1107"/>
      <c r="I1107"/>
      <c r="J1107"/>
      <c r="K1107"/>
      <c r="L1107"/>
      <c r="M1107"/>
      <c r="N1107"/>
      <c r="O1107"/>
      <c r="P1107" s="36"/>
      <c r="Q1107" s="37"/>
      <c r="R1107"/>
      <c r="S1107"/>
      <c r="T1107"/>
      <c r="U1107"/>
      <c r="V1107" s="39"/>
      <c r="W1107"/>
      <c r="X1107"/>
      <c r="Y1107"/>
      <c r="Z1107"/>
      <c r="AA1107"/>
    </row>
    <row r="1108" spans="1:27" x14ac:dyDescent="0.25">
      <c r="A1108"/>
      <c r="B1108" s="36"/>
      <c r="C1108" s="36"/>
      <c r="D1108"/>
      <c r="E1108"/>
      <c r="F1108"/>
      <c r="G1108"/>
      <c r="H1108"/>
      <c r="I1108"/>
      <c r="J1108"/>
      <c r="K1108"/>
      <c r="L1108"/>
      <c r="M1108"/>
      <c r="N1108"/>
      <c r="O1108"/>
      <c r="P1108" s="36"/>
      <c r="Q1108" s="37"/>
      <c r="R1108"/>
      <c r="S1108"/>
      <c r="T1108"/>
      <c r="U1108"/>
      <c r="V1108" s="39"/>
      <c r="W1108"/>
      <c r="X1108"/>
      <c r="Y1108"/>
      <c r="Z1108"/>
      <c r="AA1108"/>
    </row>
    <row r="1109" spans="1:27" x14ac:dyDescent="0.25">
      <c r="A1109"/>
      <c r="B1109" s="36"/>
      <c r="C1109" s="36"/>
      <c r="D1109"/>
      <c r="E1109"/>
      <c r="F1109"/>
      <c r="G1109"/>
      <c r="H1109"/>
      <c r="I1109"/>
      <c r="J1109"/>
      <c r="K1109"/>
      <c r="L1109"/>
      <c r="M1109"/>
      <c r="N1109"/>
      <c r="O1109"/>
      <c r="P1109" s="36"/>
      <c r="Q1109" s="37"/>
      <c r="R1109"/>
      <c r="S1109"/>
      <c r="T1109"/>
      <c r="U1109"/>
      <c r="V1109" s="39"/>
      <c r="W1109"/>
      <c r="X1109"/>
      <c r="Y1109"/>
      <c r="Z1109"/>
      <c r="AA1109"/>
    </row>
    <row r="1110" spans="1:27" x14ac:dyDescent="0.25">
      <c r="A1110"/>
      <c r="B1110" s="36"/>
      <c r="C1110" s="36"/>
      <c r="D1110"/>
      <c r="E1110"/>
      <c r="F1110"/>
      <c r="G1110"/>
      <c r="H1110"/>
      <c r="I1110"/>
      <c r="J1110"/>
      <c r="K1110"/>
      <c r="L1110"/>
      <c r="M1110"/>
      <c r="N1110"/>
      <c r="O1110"/>
      <c r="P1110" s="36"/>
      <c r="Q1110" s="37"/>
      <c r="R1110"/>
      <c r="S1110"/>
      <c r="T1110"/>
      <c r="U1110"/>
      <c r="V1110" s="39"/>
      <c r="W1110"/>
      <c r="X1110"/>
      <c r="Y1110"/>
      <c r="Z1110"/>
      <c r="AA1110"/>
    </row>
    <row r="1111" spans="1:27" x14ac:dyDescent="0.25">
      <c r="A1111"/>
      <c r="B1111" s="36"/>
      <c r="C1111" s="36"/>
      <c r="D1111"/>
      <c r="E1111"/>
      <c r="F1111"/>
      <c r="G1111"/>
      <c r="H1111"/>
      <c r="I1111"/>
      <c r="J1111"/>
      <c r="K1111"/>
      <c r="L1111"/>
      <c r="M1111"/>
      <c r="N1111"/>
      <c r="O1111"/>
      <c r="P1111" s="36"/>
      <c r="Q1111" s="37"/>
      <c r="R1111"/>
      <c r="S1111"/>
      <c r="T1111"/>
      <c r="U1111"/>
      <c r="V1111" s="39"/>
      <c r="W1111"/>
      <c r="X1111"/>
      <c r="Y1111"/>
      <c r="Z1111"/>
      <c r="AA1111"/>
    </row>
    <row r="1112" spans="1:27" x14ac:dyDescent="0.25">
      <c r="A1112"/>
      <c r="B1112" s="36"/>
      <c r="C1112" s="36"/>
      <c r="D1112"/>
      <c r="E1112"/>
      <c r="F1112"/>
      <c r="G1112"/>
      <c r="H1112"/>
      <c r="I1112"/>
      <c r="J1112"/>
      <c r="K1112"/>
      <c r="L1112"/>
      <c r="M1112"/>
      <c r="N1112"/>
      <c r="O1112"/>
      <c r="P1112" s="36"/>
      <c r="Q1112" s="37"/>
      <c r="R1112"/>
      <c r="S1112"/>
      <c r="T1112"/>
      <c r="U1112"/>
      <c r="V1112" s="39"/>
      <c r="W1112"/>
      <c r="X1112"/>
      <c r="Y1112"/>
      <c r="Z1112"/>
      <c r="AA1112"/>
    </row>
    <row r="1113" spans="1:27" x14ac:dyDescent="0.25">
      <c r="A1113"/>
      <c r="B1113" s="36"/>
      <c r="C1113" s="36"/>
      <c r="D1113"/>
      <c r="E1113"/>
      <c r="F1113"/>
      <c r="G1113"/>
      <c r="H1113"/>
      <c r="I1113"/>
      <c r="J1113"/>
      <c r="K1113"/>
      <c r="L1113"/>
      <c r="M1113"/>
      <c r="N1113"/>
      <c r="O1113"/>
      <c r="P1113" s="36"/>
      <c r="Q1113" s="37"/>
      <c r="R1113"/>
      <c r="S1113"/>
      <c r="T1113"/>
      <c r="U1113"/>
      <c r="V1113" s="39"/>
      <c r="W1113"/>
      <c r="X1113"/>
      <c r="Y1113"/>
      <c r="Z1113"/>
      <c r="AA1113"/>
    </row>
    <row r="1114" spans="1:27" x14ac:dyDescent="0.25">
      <c r="A1114"/>
      <c r="B1114" s="36"/>
      <c r="C1114" s="36"/>
      <c r="D1114"/>
      <c r="E1114"/>
      <c r="F1114"/>
      <c r="G1114"/>
      <c r="H1114"/>
      <c r="I1114"/>
      <c r="J1114"/>
      <c r="K1114"/>
      <c r="L1114"/>
      <c r="M1114"/>
      <c r="N1114"/>
      <c r="O1114"/>
      <c r="P1114" s="36"/>
      <c r="Q1114" s="37"/>
      <c r="R1114"/>
      <c r="S1114"/>
      <c r="T1114"/>
      <c r="U1114"/>
      <c r="V1114" s="39"/>
      <c r="W1114"/>
      <c r="X1114"/>
      <c r="Y1114"/>
      <c r="Z1114"/>
      <c r="AA1114"/>
    </row>
    <row r="1115" spans="1:27" x14ac:dyDescent="0.25">
      <c r="A1115"/>
      <c r="B1115" s="36"/>
      <c r="C1115" s="36"/>
      <c r="D1115"/>
      <c r="E1115"/>
      <c r="F1115"/>
      <c r="G1115"/>
      <c r="H1115"/>
      <c r="I1115"/>
      <c r="J1115"/>
      <c r="K1115"/>
      <c r="L1115"/>
      <c r="M1115"/>
      <c r="N1115"/>
      <c r="O1115"/>
      <c r="P1115" s="36"/>
      <c r="Q1115" s="37"/>
      <c r="R1115"/>
      <c r="S1115"/>
      <c r="T1115"/>
      <c r="U1115"/>
      <c r="V1115" s="39"/>
      <c r="W1115"/>
      <c r="X1115"/>
      <c r="Y1115"/>
      <c r="Z1115"/>
      <c r="AA1115"/>
    </row>
    <row r="1116" spans="1:27" x14ac:dyDescent="0.25">
      <c r="A1116"/>
      <c r="B1116" s="36"/>
      <c r="C1116" s="36"/>
      <c r="D1116"/>
      <c r="E1116"/>
      <c r="F1116"/>
      <c r="G1116"/>
      <c r="H1116"/>
      <c r="I1116"/>
      <c r="J1116"/>
      <c r="K1116"/>
      <c r="L1116"/>
      <c r="M1116"/>
      <c r="N1116"/>
      <c r="O1116"/>
      <c r="P1116" s="36"/>
      <c r="Q1116" s="37"/>
      <c r="R1116"/>
      <c r="S1116"/>
      <c r="T1116"/>
      <c r="U1116"/>
      <c r="V1116" s="39"/>
      <c r="W1116"/>
      <c r="X1116"/>
      <c r="Y1116"/>
      <c r="Z1116"/>
      <c r="AA1116"/>
    </row>
    <row r="1117" spans="1:27" x14ac:dyDescent="0.25">
      <c r="A1117"/>
      <c r="B1117" s="36"/>
      <c r="C1117" s="36"/>
      <c r="D1117"/>
      <c r="E1117"/>
      <c r="F1117"/>
      <c r="G1117"/>
      <c r="H1117"/>
      <c r="I1117"/>
      <c r="J1117"/>
      <c r="K1117"/>
      <c r="L1117"/>
      <c r="M1117"/>
      <c r="N1117"/>
      <c r="O1117"/>
      <c r="P1117" s="36"/>
      <c r="Q1117" s="37"/>
      <c r="R1117"/>
      <c r="S1117"/>
      <c r="T1117"/>
      <c r="U1117"/>
      <c r="V1117" s="39"/>
      <c r="W1117"/>
      <c r="X1117"/>
      <c r="Y1117"/>
      <c r="Z1117"/>
      <c r="AA1117"/>
    </row>
    <row r="1118" spans="1:27" x14ac:dyDescent="0.25">
      <c r="A1118"/>
      <c r="B1118" s="36"/>
      <c r="C1118" s="36"/>
      <c r="D1118"/>
      <c r="E1118"/>
      <c r="F1118"/>
      <c r="G1118"/>
      <c r="H1118"/>
      <c r="I1118"/>
      <c r="J1118"/>
      <c r="K1118"/>
      <c r="L1118"/>
      <c r="M1118"/>
      <c r="N1118"/>
      <c r="O1118"/>
      <c r="P1118" s="36"/>
      <c r="Q1118" s="37"/>
      <c r="R1118"/>
      <c r="S1118"/>
      <c r="T1118"/>
      <c r="U1118"/>
      <c r="V1118" s="39"/>
      <c r="W1118"/>
      <c r="X1118"/>
      <c r="Y1118"/>
      <c r="Z1118"/>
      <c r="AA1118"/>
    </row>
    <row r="1119" spans="1:27" x14ac:dyDescent="0.25">
      <c r="A1119"/>
      <c r="B1119" s="36"/>
      <c r="C1119" s="36"/>
      <c r="D1119"/>
      <c r="E1119"/>
      <c r="F1119"/>
      <c r="G1119"/>
      <c r="H1119"/>
      <c r="I1119"/>
      <c r="J1119"/>
      <c r="K1119"/>
      <c r="L1119"/>
      <c r="M1119"/>
      <c r="N1119"/>
      <c r="O1119"/>
      <c r="P1119" s="36"/>
      <c r="Q1119" s="37"/>
      <c r="R1119"/>
      <c r="S1119"/>
      <c r="T1119"/>
      <c r="U1119"/>
      <c r="V1119" s="39"/>
      <c r="W1119"/>
      <c r="X1119"/>
      <c r="Y1119"/>
      <c r="Z1119"/>
      <c r="AA1119"/>
    </row>
    <row r="1120" spans="1:27" x14ac:dyDescent="0.25">
      <c r="A1120"/>
      <c r="B1120" s="36"/>
      <c r="C1120" s="36"/>
      <c r="D1120"/>
      <c r="E1120"/>
      <c r="F1120"/>
      <c r="G1120"/>
      <c r="H1120"/>
      <c r="I1120"/>
      <c r="J1120"/>
      <c r="K1120"/>
      <c r="L1120"/>
      <c r="M1120"/>
      <c r="N1120"/>
      <c r="O1120"/>
      <c r="P1120" s="36"/>
      <c r="Q1120" s="37"/>
      <c r="R1120"/>
      <c r="S1120"/>
      <c r="T1120"/>
      <c r="U1120"/>
      <c r="V1120" s="39"/>
      <c r="W1120"/>
      <c r="X1120"/>
      <c r="Y1120"/>
      <c r="Z1120"/>
      <c r="AA1120"/>
    </row>
    <row r="1121" spans="1:27" x14ac:dyDescent="0.25">
      <c r="A1121"/>
      <c r="B1121" s="36"/>
      <c r="C1121" s="36"/>
      <c r="D1121"/>
      <c r="E1121"/>
      <c r="F1121"/>
      <c r="G1121"/>
      <c r="H1121"/>
      <c r="I1121"/>
      <c r="J1121"/>
      <c r="K1121"/>
      <c r="L1121"/>
      <c r="M1121"/>
      <c r="N1121"/>
      <c r="O1121"/>
      <c r="P1121" s="36"/>
      <c r="Q1121" s="37"/>
      <c r="R1121"/>
      <c r="S1121"/>
      <c r="T1121"/>
      <c r="U1121"/>
      <c r="V1121" s="39"/>
      <c r="W1121"/>
      <c r="X1121"/>
      <c r="Y1121"/>
      <c r="Z1121"/>
      <c r="AA1121"/>
    </row>
    <row r="1122" spans="1:27" x14ac:dyDescent="0.25">
      <c r="A1122"/>
      <c r="B1122" s="36"/>
      <c r="C1122" s="36"/>
      <c r="D1122"/>
      <c r="E1122"/>
      <c r="F1122"/>
      <c r="G1122"/>
      <c r="H1122"/>
      <c r="I1122"/>
      <c r="J1122"/>
      <c r="K1122"/>
      <c r="L1122"/>
      <c r="M1122"/>
      <c r="N1122"/>
      <c r="O1122"/>
      <c r="P1122" s="36"/>
      <c r="Q1122" s="37"/>
      <c r="R1122"/>
      <c r="S1122"/>
      <c r="T1122"/>
      <c r="U1122"/>
      <c r="V1122" s="39"/>
      <c r="W1122"/>
      <c r="X1122"/>
      <c r="Y1122"/>
      <c r="Z1122"/>
      <c r="AA1122"/>
    </row>
    <row r="1123" spans="1:27" x14ac:dyDescent="0.25">
      <c r="A1123"/>
      <c r="B1123" s="36"/>
      <c r="C1123" s="36"/>
      <c r="D1123"/>
      <c r="E1123"/>
      <c r="F1123"/>
      <c r="G1123"/>
      <c r="H1123"/>
      <c r="I1123"/>
      <c r="J1123"/>
      <c r="K1123"/>
      <c r="L1123"/>
      <c r="M1123"/>
      <c r="N1123"/>
      <c r="O1123"/>
      <c r="P1123" s="36"/>
      <c r="Q1123" s="37"/>
      <c r="R1123"/>
      <c r="S1123"/>
      <c r="T1123"/>
      <c r="U1123"/>
      <c r="V1123" s="39"/>
      <c r="W1123"/>
      <c r="X1123"/>
      <c r="Y1123"/>
      <c r="Z1123"/>
      <c r="AA1123"/>
    </row>
    <row r="1124" spans="1:27" x14ac:dyDescent="0.25">
      <c r="A1124"/>
      <c r="B1124" s="36"/>
      <c r="C1124" s="36"/>
      <c r="D1124"/>
      <c r="E1124"/>
      <c r="F1124"/>
      <c r="G1124"/>
      <c r="H1124"/>
      <c r="I1124"/>
      <c r="J1124"/>
      <c r="K1124"/>
      <c r="L1124"/>
      <c r="M1124"/>
      <c r="N1124"/>
      <c r="O1124"/>
      <c r="P1124" s="36"/>
      <c r="Q1124" s="37"/>
      <c r="R1124"/>
      <c r="S1124"/>
      <c r="T1124"/>
      <c r="U1124"/>
      <c r="V1124" s="39"/>
      <c r="W1124"/>
      <c r="X1124"/>
      <c r="Y1124"/>
      <c r="Z1124"/>
      <c r="AA1124"/>
    </row>
    <row r="1125" spans="1:27" x14ac:dyDescent="0.25">
      <c r="A1125"/>
      <c r="B1125" s="36"/>
      <c r="C1125" s="36"/>
      <c r="D1125"/>
      <c r="E1125"/>
      <c r="F1125"/>
      <c r="G1125"/>
      <c r="H1125"/>
      <c r="I1125"/>
      <c r="J1125"/>
      <c r="K1125"/>
      <c r="L1125"/>
      <c r="M1125"/>
      <c r="N1125"/>
      <c r="O1125"/>
      <c r="P1125" s="36"/>
      <c r="Q1125" s="37"/>
      <c r="R1125"/>
      <c r="S1125"/>
      <c r="T1125"/>
      <c r="U1125"/>
      <c r="V1125" s="39"/>
      <c r="W1125"/>
      <c r="X1125"/>
      <c r="Y1125"/>
      <c r="Z1125"/>
      <c r="AA1125"/>
    </row>
    <row r="1126" spans="1:27" x14ac:dyDescent="0.25">
      <c r="A1126"/>
      <c r="B1126" s="36"/>
      <c r="C1126" s="36"/>
      <c r="D1126"/>
      <c r="E1126"/>
      <c r="F1126"/>
      <c r="G1126"/>
      <c r="H1126"/>
      <c r="I1126"/>
      <c r="J1126"/>
      <c r="K1126"/>
      <c r="L1126"/>
      <c r="M1126"/>
      <c r="N1126"/>
      <c r="O1126"/>
      <c r="P1126" s="36"/>
      <c r="Q1126" s="37"/>
      <c r="R1126"/>
      <c r="S1126"/>
      <c r="T1126"/>
      <c r="U1126"/>
      <c r="V1126" s="39"/>
      <c r="W1126"/>
      <c r="X1126"/>
      <c r="Y1126"/>
      <c r="Z1126"/>
      <c r="AA1126"/>
    </row>
    <row r="1127" spans="1:27" x14ac:dyDescent="0.25">
      <c r="A1127"/>
      <c r="B1127" s="36"/>
      <c r="C1127" s="36"/>
      <c r="D1127"/>
      <c r="E1127"/>
      <c r="F1127"/>
      <c r="G1127"/>
      <c r="H1127"/>
      <c r="I1127"/>
      <c r="J1127"/>
      <c r="K1127"/>
      <c r="L1127"/>
      <c r="M1127"/>
      <c r="N1127"/>
      <c r="O1127"/>
      <c r="P1127" s="36"/>
      <c r="Q1127" s="37"/>
      <c r="R1127"/>
      <c r="S1127"/>
      <c r="T1127"/>
      <c r="U1127"/>
      <c r="V1127" s="39"/>
      <c r="W1127"/>
      <c r="X1127"/>
      <c r="Y1127"/>
      <c r="Z1127"/>
      <c r="AA1127"/>
    </row>
    <row r="1128" spans="1:27" x14ac:dyDescent="0.25">
      <c r="A1128"/>
      <c r="B1128" s="36"/>
      <c r="C1128" s="36"/>
      <c r="D1128"/>
      <c r="E1128"/>
      <c r="F1128"/>
      <c r="G1128"/>
      <c r="H1128"/>
      <c r="I1128"/>
      <c r="J1128"/>
      <c r="K1128"/>
      <c r="L1128"/>
      <c r="M1128"/>
      <c r="N1128"/>
      <c r="O1128"/>
      <c r="P1128" s="36"/>
      <c r="Q1128" s="37"/>
      <c r="R1128"/>
      <c r="S1128"/>
      <c r="T1128"/>
      <c r="U1128"/>
      <c r="V1128" s="39"/>
      <c r="W1128"/>
      <c r="X1128"/>
      <c r="Y1128"/>
      <c r="Z1128"/>
      <c r="AA1128"/>
    </row>
    <row r="1129" spans="1:27" x14ac:dyDescent="0.25">
      <c r="A1129"/>
      <c r="B1129" s="36"/>
      <c r="C1129" s="36"/>
      <c r="D1129"/>
      <c r="E1129"/>
      <c r="F1129"/>
      <c r="G1129"/>
      <c r="H1129"/>
      <c r="I1129"/>
      <c r="J1129"/>
      <c r="K1129"/>
      <c r="L1129"/>
      <c r="M1129"/>
      <c r="N1129"/>
      <c r="O1129"/>
      <c r="P1129" s="36"/>
      <c r="Q1129" s="37"/>
      <c r="R1129"/>
      <c r="S1129"/>
      <c r="T1129"/>
      <c r="U1129"/>
      <c r="V1129" s="39"/>
      <c r="W1129"/>
      <c r="X1129"/>
      <c r="Y1129"/>
      <c r="Z1129"/>
      <c r="AA1129"/>
    </row>
    <row r="1130" spans="1:27" x14ac:dyDescent="0.25">
      <c r="A1130"/>
      <c r="B1130" s="36"/>
      <c r="C1130" s="36"/>
      <c r="D1130"/>
      <c r="E1130"/>
      <c r="F1130"/>
      <c r="G1130"/>
      <c r="H1130"/>
      <c r="I1130"/>
      <c r="J1130"/>
      <c r="K1130"/>
      <c r="L1130"/>
      <c r="M1130"/>
      <c r="N1130"/>
      <c r="O1130"/>
      <c r="P1130" s="36"/>
      <c r="Q1130" s="37"/>
      <c r="R1130"/>
      <c r="S1130"/>
      <c r="T1130"/>
      <c r="U1130"/>
      <c r="V1130" s="39"/>
      <c r="W1130"/>
      <c r="X1130"/>
      <c r="Y1130"/>
      <c r="Z1130"/>
      <c r="AA1130"/>
    </row>
    <row r="1131" spans="1:27" x14ac:dyDescent="0.25">
      <c r="A1131"/>
      <c r="B1131" s="36"/>
      <c r="C1131" s="36"/>
      <c r="D1131"/>
      <c r="E1131"/>
      <c r="F1131"/>
      <c r="G1131"/>
      <c r="H1131"/>
      <c r="I1131"/>
      <c r="J1131"/>
      <c r="K1131"/>
      <c r="L1131"/>
      <c r="M1131"/>
      <c r="N1131"/>
      <c r="O1131"/>
      <c r="P1131" s="36"/>
      <c r="Q1131" s="37"/>
      <c r="R1131"/>
      <c r="S1131"/>
      <c r="T1131"/>
      <c r="U1131"/>
      <c r="V1131" s="39"/>
      <c r="W1131"/>
      <c r="X1131"/>
      <c r="Y1131"/>
      <c r="Z1131"/>
      <c r="AA1131"/>
    </row>
    <row r="1132" spans="1:27" x14ac:dyDescent="0.25">
      <c r="A1132"/>
      <c r="B1132" s="36"/>
      <c r="C1132" s="36"/>
      <c r="D1132"/>
      <c r="E1132"/>
      <c r="F1132"/>
      <c r="G1132"/>
      <c r="H1132"/>
      <c r="I1132"/>
      <c r="J1132"/>
      <c r="K1132"/>
      <c r="L1132"/>
      <c r="M1132"/>
      <c r="N1132"/>
      <c r="O1132"/>
      <c r="P1132" s="36"/>
      <c r="Q1132" s="37"/>
      <c r="R1132"/>
      <c r="S1132"/>
      <c r="T1132"/>
      <c r="U1132"/>
      <c r="V1132" s="39"/>
      <c r="W1132"/>
      <c r="X1132"/>
      <c r="Y1132"/>
      <c r="Z1132"/>
      <c r="AA1132"/>
    </row>
    <row r="1133" spans="1:27" x14ac:dyDescent="0.25">
      <c r="A1133"/>
      <c r="B1133" s="36"/>
      <c r="C1133" s="36"/>
      <c r="D1133"/>
      <c r="E1133"/>
      <c r="F1133"/>
      <c r="G1133"/>
      <c r="H1133"/>
      <c r="I1133"/>
      <c r="J1133"/>
      <c r="K1133"/>
      <c r="L1133"/>
      <c r="M1133"/>
      <c r="N1133"/>
      <c r="O1133"/>
      <c r="P1133" s="36"/>
      <c r="Q1133" s="37"/>
      <c r="R1133"/>
      <c r="S1133"/>
      <c r="T1133"/>
      <c r="U1133"/>
      <c r="V1133" s="39"/>
      <c r="W1133"/>
      <c r="X1133"/>
      <c r="Y1133"/>
      <c r="Z1133"/>
      <c r="AA1133"/>
    </row>
    <row r="1134" spans="1:27" x14ac:dyDescent="0.25">
      <c r="A1134"/>
      <c r="B1134" s="36"/>
      <c r="C1134" s="36"/>
      <c r="D1134"/>
      <c r="E1134"/>
      <c r="F1134"/>
      <c r="G1134"/>
      <c r="H1134"/>
      <c r="I1134"/>
      <c r="J1134"/>
      <c r="K1134"/>
      <c r="L1134"/>
      <c r="M1134"/>
      <c r="N1134"/>
      <c r="O1134"/>
      <c r="P1134" s="36"/>
      <c r="Q1134" s="37"/>
      <c r="R1134"/>
      <c r="S1134"/>
      <c r="T1134"/>
      <c r="U1134"/>
      <c r="V1134" s="39"/>
      <c r="W1134"/>
      <c r="X1134"/>
      <c r="Y1134"/>
      <c r="Z1134"/>
      <c r="AA1134"/>
    </row>
    <row r="1135" spans="1:27" x14ac:dyDescent="0.25">
      <c r="A1135"/>
      <c r="B1135" s="36"/>
      <c r="C1135" s="36"/>
      <c r="D1135"/>
      <c r="E1135"/>
      <c r="F1135"/>
      <c r="G1135"/>
      <c r="H1135"/>
      <c r="I1135"/>
      <c r="J1135"/>
      <c r="K1135"/>
      <c r="L1135"/>
      <c r="M1135"/>
      <c r="N1135"/>
      <c r="O1135"/>
      <c r="P1135" s="36"/>
      <c r="Q1135" s="37"/>
      <c r="R1135"/>
      <c r="S1135"/>
      <c r="T1135"/>
      <c r="U1135"/>
      <c r="V1135" s="39"/>
      <c r="W1135"/>
      <c r="X1135"/>
      <c r="Y1135"/>
      <c r="Z1135"/>
      <c r="AA1135"/>
    </row>
    <row r="1136" spans="1:27" x14ac:dyDescent="0.25">
      <c r="A1136"/>
      <c r="B1136" s="36"/>
      <c r="C1136" s="36"/>
      <c r="D1136"/>
      <c r="E1136"/>
      <c r="F1136"/>
      <c r="G1136"/>
      <c r="H1136"/>
      <c r="I1136"/>
      <c r="J1136"/>
      <c r="K1136"/>
      <c r="L1136"/>
      <c r="M1136"/>
      <c r="N1136"/>
      <c r="O1136"/>
      <c r="P1136" s="36"/>
      <c r="Q1136" s="37"/>
      <c r="R1136"/>
      <c r="S1136"/>
      <c r="T1136"/>
      <c r="U1136"/>
      <c r="V1136" s="39"/>
      <c r="W1136"/>
      <c r="X1136"/>
      <c r="Y1136"/>
      <c r="Z1136"/>
      <c r="AA1136"/>
    </row>
    <row r="1137" spans="1:27" x14ac:dyDescent="0.25">
      <c r="A1137"/>
      <c r="B1137" s="36"/>
      <c r="C1137" s="36"/>
      <c r="D1137"/>
      <c r="E1137"/>
      <c r="F1137"/>
      <c r="G1137"/>
      <c r="H1137"/>
      <c r="I1137"/>
      <c r="J1137"/>
      <c r="K1137"/>
      <c r="L1137"/>
      <c r="M1137"/>
      <c r="N1137"/>
      <c r="O1137"/>
      <c r="P1137" s="36"/>
      <c r="Q1137" s="37"/>
      <c r="R1137"/>
      <c r="S1137"/>
      <c r="T1137"/>
      <c r="U1137"/>
      <c r="V1137" s="39"/>
      <c r="W1137"/>
      <c r="X1137"/>
      <c r="Y1137"/>
      <c r="Z1137"/>
      <c r="AA1137"/>
    </row>
    <row r="1138" spans="1:27" x14ac:dyDescent="0.25">
      <c r="A1138"/>
      <c r="B1138" s="36"/>
      <c r="C1138" s="36"/>
      <c r="D1138"/>
      <c r="E1138"/>
      <c r="F1138"/>
      <c r="G1138"/>
      <c r="H1138"/>
      <c r="I1138"/>
      <c r="J1138"/>
      <c r="K1138"/>
      <c r="L1138"/>
      <c r="M1138"/>
      <c r="N1138"/>
      <c r="O1138"/>
      <c r="P1138" s="36"/>
      <c r="Q1138" s="37"/>
      <c r="R1138"/>
      <c r="S1138"/>
      <c r="T1138"/>
      <c r="U1138"/>
      <c r="V1138" s="39"/>
      <c r="W1138"/>
      <c r="X1138"/>
      <c r="Y1138"/>
      <c r="Z1138"/>
      <c r="AA1138"/>
    </row>
    <row r="1139" spans="1:27" x14ac:dyDescent="0.25">
      <c r="A1139"/>
      <c r="B1139" s="36"/>
      <c r="C1139" s="36"/>
      <c r="D1139"/>
      <c r="E1139"/>
      <c r="F1139"/>
      <c r="G1139"/>
      <c r="H1139"/>
      <c r="I1139"/>
      <c r="J1139"/>
      <c r="K1139"/>
      <c r="L1139"/>
      <c r="M1139"/>
      <c r="N1139"/>
      <c r="O1139"/>
      <c r="P1139" s="36"/>
      <c r="Q1139" s="37"/>
      <c r="R1139" s="44"/>
      <c r="S1139"/>
      <c r="T1139"/>
      <c r="U1139"/>
      <c r="V1139" s="39"/>
      <c r="W1139"/>
      <c r="X1139"/>
      <c r="Y1139"/>
      <c r="Z1139"/>
      <c r="AA1139"/>
    </row>
    <row r="1140" spans="1:27" x14ac:dyDescent="0.25">
      <c r="A1140"/>
      <c r="B1140" s="36"/>
      <c r="C1140" s="36"/>
      <c r="D1140"/>
      <c r="E1140"/>
      <c r="F1140"/>
      <c r="G1140"/>
      <c r="H1140"/>
      <c r="I1140"/>
      <c r="J1140"/>
      <c r="K1140"/>
      <c r="L1140"/>
      <c r="M1140"/>
      <c r="N1140"/>
      <c r="O1140"/>
      <c r="P1140" s="36"/>
      <c r="Q1140" s="37"/>
      <c r="R1140"/>
      <c r="S1140"/>
      <c r="T1140"/>
      <c r="U1140"/>
      <c r="V1140" s="39"/>
      <c r="W1140"/>
      <c r="X1140"/>
      <c r="Y1140"/>
      <c r="Z1140"/>
      <c r="AA1140"/>
    </row>
    <row r="1141" spans="1:27" x14ac:dyDescent="0.25">
      <c r="A1141"/>
      <c r="B1141" s="36"/>
      <c r="C1141" s="36"/>
      <c r="D1141"/>
      <c r="E1141"/>
      <c r="F1141"/>
      <c r="G1141"/>
      <c r="H1141"/>
      <c r="I1141"/>
      <c r="J1141"/>
      <c r="K1141"/>
      <c r="L1141"/>
      <c r="M1141"/>
      <c r="N1141"/>
      <c r="O1141"/>
      <c r="P1141" s="36"/>
      <c r="Q1141" s="37"/>
      <c r="R1141"/>
      <c r="S1141"/>
      <c r="T1141"/>
      <c r="U1141"/>
      <c r="V1141" s="39"/>
      <c r="W1141"/>
      <c r="X1141"/>
      <c r="Y1141"/>
      <c r="Z1141"/>
      <c r="AA1141"/>
    </row>
    <row r="1142" spans="1:27" x14ac:dyDescent="0.25">
      <c r="A1142"/>
      <c r="B1142" s="36"/>
      <c r="C1142" s="36"/>
      <c r="D1142"/>
      <c r="E1142"/>
      <c r="F1142"/>
      <c r="G1142"/>
      <c r="H1142"/>
      <c r="I1142"/>
      <c r="J1142"/>
      <c r="K1142"/>
      <c r="L1142"/>
      <c r="M1142"/>
      <c r="N1142"/>
      <c r="O1142"/>
      <c r="P1142" s="36"/>
      <c r="Q1142" s="37"/>
      <c r="R1142"/>
      <c r="S1142"/>
      <c r="T1142"/>
      <c r="U1142"/>
      <c r="V1142" s="39"/>
      <c r="W1142"/>
      <c r="X1142"/>
      <c r="Y1142"/>
      <c r="Z1142"/>
      <c r="AA1142"/>
    </row>
    <row r="1143" spans="1:27" x14ac:dyDescent="0.25">
      <c r="A1143"/>
      <c r="B1143" s="36"/>
      <c r="C1143" s="36"/>
      <c r="D1143"/>
      <c r="E1143"/>
      <c r="F1143"/>
      <c r="G1143"/>
      <c r="H1143"/>
      <c r="I1143"/>
      <c r="J1143"/>
      <c r="K1143"/>
      <c r="L1143"/>
      <c r="M1143"/>
      <c r="N1143"/>
      <c r="O1143"/>
      <c r="P1143" s="36"/>
      <c r="Q1143" s="37"/>
      <c r="R1143"/>
      <c r="S1143"/>
      <c r="T1143"/>
      <c r="U1143"/>
      <c r="V1143" s="39"/>
      <c r="W1143"/>
      <c r="X1143"/>
      <c r="Y1143"/>
      <c r="Z1143"/>
      <c r="AA1143"/>
    </row>
    <row r="1144" spans="1:27" x14ac:dyDescent="0.25">
      <c r="A1144"/>
      <c r="B1144" s="36"/>
      <c r="C1144" s="36"/>
      <c r="D1144"/>
      <c r="E1144"/>
      <c r="F1144"/>
      <c r="G1144"/>
      <c r="H1144"/>
      <c r="I1144"/>
      <c r="J1144"/>
      <c r="K1144"/>
      <c r="L1144"/>
      <c r="M1144"/>
      <c r="N1144"/>
      <c r="O1144"/>
      <c r="P1144" s="36"/>
      <c r="Q1144" s="37"/>
      <c r="R1144"/>
      <c r="S1144"/>
      <c r="T1144"/>
      <c r="U1144"/>
      <c r="V1144" s="39"/>
      <c r="W1144"/>
      <c r="X1144"/>
      <c r="Y1144"/>
      <c r="Z1144"/>
      <c r="AA1144"/>
    </row>
    <row r="1145" spans="1:27" x14ac:dyDescent="0.25">
      <c r="A1145"/>
      <c r="B1145" s="36"/>
      <c r="C1145" s="36"/>
      <c r="D1145"/>
      <c r="E1145"/>
      <c r="F1145"/>
      <c r="G1145"/>
      <c r="H1145"/>
      <c r="I1145"/>
      <c r="J1145"/>
      <c r="K1145"/>
      <c r="L1145"/>
      <c r="M1145"/>
      <c r="N1145"/>
      <c r="O1145"/>
      <c r="P1145" s="36"/>
      <c r="Q1145" s="37"/>
      <c r="R1145"/>
      <c r="S1145"/>
      <c r="T1145"/>
      <c r="U1145"/>
      <c r="V1145" s="39"/>
      <c r="W1145"/>
      <c r="X1145"/>
      <c r="Y1145"/>
      <c r="Z1145"/>
      <c r="AA1145"/>
    </row>
    <row r="1146" spans="1:27" x14ac:dyDescent="0.25">
      <c r="A1146"/>
      <c r="B1146" s="36"/>
      <c r="C1146" s="36"/>
      <c r="D1146"/>
      <c r="E1146"/>
      <c r="F1146"/>
      <c r="G1146"/>
      <c r="H1146"/>
      <c r="I1146"/>
      <c r="J1146"/>
      <c r="K1146"/>
      <c r="L1146"/>
      <c r="M1146"/>
      <c r="N1146"/>
      <c r="O1146"/>
      <c r="P1146" s="36"/>
      <c r="Q1146" s="37"/>
      <c r="R1146"/>
      <c r="S1146"/>
      <c r="T1146"/>
      <c r="U1146"/>
      <c r="V1146" s="39"/>
      <c r="W1146"/>
      <c r="X1146"/>
      <c r="Y1146"/>
      <c r="Z1146"/>
      <c r="AA1146"/>
    </row>
    <row r="1147" spans="1:27" x14ac:dyDescent="0.25">
      <c r="A1147"/>
      <c r="B1147" s="36"/>
      <c r="C1147" s="36"/>
      <c r="D1147"/>
      <c r="E1147"/>
      <c r="F1147"/>
      <c r="G1147"/>
      <c r="H1147"/>
      <c r="I1147"/>
      <c r="J1147"/>
      <c r="K1147"/>
      <c r="L1147"/>
      <c r="M1147"/>
      <c r="N1147"/>
      <c r="O1147"/>
      <c r="P1147" s="36"/>
      <c r="Q1147" s="37"/>
      <c r="R1147"/>
      <c r="S1147"/>
      <c r="T1147"/>
      <c r="U1147"/>
      <c r="V1147" s="39"/>
      <c r="W1147"/>
      <c r="X1147"/>
      <c r="Y1147"/>
      <c r="Z1147"/>
      <c r="AA1147"/>
    </row>
    <row r="1148" spans="1:27" x14ac:dyDescent="0.25">
      <c r="A1148"/>
      <c r="B1148" s="36"/>
      <c r="C1148" s="36"/>
      <c r="D1148"/>
      <c r="E1148"/>
      <c r="F1148"/>
      <c r="G1148"/>
      <c r="H1148"/>
      <c r="I1148"/>
      <c r="J1148"/>
      <c r="K1148"/>
      <c r="L1148"/>
      <c r="M1148"/>
      <c r="N1148"/>
      <c r="O1148"/>
      <c r="P1148" s="36"/>
      <c r="Q1148" s="37"/>
      <c r="R1148"/>
      <c r="S1148"/>
      <c r="T1148"/>
      <c r="U1148"/>
      <c r="V1148" s="39"/>
      <c r="W1148"/>
      <c r="X1148"/>
      <c r="Y1148"/>
      <c r="Z1148"/>
      <c r="AA1148"/>
    </row>
    <row r="1149" spans="1:27" x14ac:dyDescent="0.25">
      <c r="A1149"/>
      <c r="B1149" s="36"/>
      <c r="C1149" s="36"/>
      <c r="D1149"/>
      <c r="E1149"/>
      <c r="F1149"/>
      <c r="G1149"/>
      <c r="H1149"/>
      <c r="I1149"/>
      <c r="J1149"/>
      <c r="K1149"/>
      <c r="L1149"/>
      <c r="M1149"/>
      <c r="N1149"/>
      <c r="O1149"/>
      <c r="P1149" s="36"/>
      <c r="Q1149" s="37"/>
      <c r="R1149"/>
      <c r="S1149"/>
      <c r="T1149"/>
      <c r="U1149"/>
      <c r="V1149" s="39"/>
      <c r="W1149"/>
      <c r="X1149"/>
      <c r="Y1149"/>
      <c r="Z1149"/>
      <c r="AA1149"/>
    </row>
    <row r="1150" spans="1:27" x14ac:dyDescent="0.25">
      <c r="A1150"/>
      <c r="B1150" s="36"/>
      <c r="C1150" s="36"/>
      <c r="D1150"/>
      <c r="E1150"/>
      <c r="F1150"/>
      <c r="G1150"/>
      <c r="H1150"/>
      <c r="I1150"/>
      <c r="J1150"/>
      <c r="K1150"/>
      <c r="L1150"/>
      <c r="M1150"/>
      <c r="N1150"/>
      <c r="O1150"/>
      <c r="P1150" s="36"/>
      <c r="Q1150" s="37"/>
      <c r="R1150"/>
      <c r="S1150"/>
      <c r="T1150"/>
      <c r="U1150"/>
      <c r="V1150" s="39"/>
      <c r="W1150"/>
      <c r="X1150"/>
      <c r="Y1150"/>
      <c r="Z1150"/>
      <c r="AA1150"/>
    </row>
    <row r="1151" spans="1:27" x14ac:dyDescent="0.25">
      <c r="A1151"/>
      <c r="B1151" s="36"/>
      <c r="C1151" s="36"/>
      <c r="D1151"/>
      <c r="E1151"/>
      <c r="F1151"/>
      <c r="G1151"/>
      <c r="H1151"/>
      <c r="I1151"/>
      <c r="J1151"/>
      <c r="K1151"/>
      <c r="L1151"/>
      <c r="M1151"/>
      <c r="N1151"/>
      <c r="O1151"/>
      <c r="P1151" s="36"/>
      <c r="Q1151" s="37"/>
      <c r="R1151"/>
      <c r="S1151"/>
      <c r="T1151"/>
      <c r="U1151"/>
      <c r="V1151" s="39"/>
      <c r="W1151"/>
      <c r="X1151"/>
      <c r="Y1151"/>
      <c r="Z1151"/>
      <c r="AA1151"/>
    </row>
    <row r="1152" spans="1:27" x14ac:dyDescent="0.25">
      <c r="A1152"/>
      <c r="B1152" s="36"/>
      <c r="C1152" s="36"/>
      <c r="D1152"/>
      <c r="E1152"/>
      <c r="F1152"/>
      <c r="G1152"/>
      <c r="H1152"/>
      <c r="I1152"/>
      <c r="J1152"/>
      <c r="K1152"/>
      <c r="L1152"/>
      <c r="M1152"/>
      <c r="N1152"/>
      <c r="O1152"/>
      <c r="P1152" s="36"/>
      <c r="Q1152" s="37"/>
      <c r="R1152"/>
      <c r="S1152"/>
      <c r="T1152"/>
      <c r="U1152"/>
      <c r="V1152" s="39"/>
      <c r="W1152"/>
      <c r="X1152"/>
      <c r="Y1152"/>
      <c r="Z1152"/>
      <c r="AA1152"/>
    </row>
    <row r="1153" spans="1:27" x14ac:dyDescent="0.25">
      <c r="A1153"/>
      <c r="B1153" s="36"/>
      <c r="C1153" s="36"/>
      <c r="D1153"/>
      <c r="E1153"/>
      <c r="F1153"/>
      <c r="G1153"/>
      <c r="H1153"/>
      <c r="I1153"/>
      <c r="J1153"/>
      <c r="K1153"/>
      <c r="L1153"/>
      <c r="M1153"/>
      <c r="N1153"/>
      <c r="O1153"/>
      <c r="P1153" s="36"/>
      <c r="Q1153" s="37"/>
      <c r="R1153"/>
      <c r="S1153"/>
      <c r="T1153"/>
      <c r="U1153"/>
      <c r="V1153" s="39"/>
      <c r="W1153"/>
      <c r="X1153"/>
      <c r="Y1153"/>
      <c r="Z1153"/>
      <c r="AA1153"/>
    </row>
    <row r="1154" spans="1:27" x14ac:dyDescent="0.25">
      <c r="A1154"/>
      <c r="B1154" s="36"/>
      <c r="C1154" s="36"/>
      <c r="D1154"/>
      <c r="E1154"/>
      <c r="F1154"/>
      <c r="G1154"/>
      <c r="H1154"/>
      <c r="I1154"/>
      <c r="J1154"/>
      <c r="K1154"/>
      <c r="L1154"/>
      <c r="M1154"/>
      <c r="N1154"/>
      <c r="O1154"/>
      <c r="P1154" s="36"/>
      <c r="Q1154" s="37"/>
      <c r="R1154"/>
      <c r="S1154"/>
      <c r="T1154"/>
      <c r="U1154"/>
      <c r="V1154" s="39"/>
      <c r="W1154"/>
      <c r="X1154"/>
      <c r="Y1154"/>
      <c r="Z1154"/>
      <c r="AA1154"/>
    </row>
    <row r="1155" spans="1:27" x14ac:dyDescent="0.25">
      <c r="A1155"/>
      <c r="B1155" s="36"/>
      <c r="C1155" s="36"/>
      <c r="D1155"/>
      <c r="E1155"/>
      <c r="F1155"/>
      <c r="G1155"/>
      <c r="H1155"/>
      <c r="I1155"/>
      <c r="J1155"/>
      <c r="K1155"/>
      <c r="L1155"/>
      <c r="M1155"/>
      <c r="N1155"/>
      <c r="O1155"/>
      <c r="P1155" s="36"/>
      <c r="Q1155" s="37"/>
      <c r="R1155"/>
      <c r="S1155"/>
      <c r="T1155"/>
      <c r="U1155"/>
      <c r="V1155" s="39"/>
      <c r="W1155"/>
      <c r="X1155"/>
      <c r="Y1155"/>
      <c r="Z1155"/>
      <c r="AA1155"/>
    </row>
    <row r="1156" spans="1:27" x14ac:dyDescent="0.25">
      <c r="A1156"/>
      <c r="B1156" s="36"/>
      <c r="C1156" s="36"/>
      <c r="D1156"/>
      <c r="E1156"/>
      <c r="F1156"/>
      <c r="G1156"/>
      <c r="H1156"/>
      <c r="I1156"/>
      <c r="J1156"/>
      <c r="K1156"/>
      <c r="L1156"/>
      <c r="M1156"/>
      <c r="N1156"/>
      <c r="O1156"/>
      <c r="P1156" s="36"/>
      <c r="Q1156" s="37"/>
      <c r="R1156"/>
      <c r="S1156"/>
      <c r="T1156"/>
      <c r="U1156"/>
      <c r="V1156" s="39"/>
      <c r="W1156"/>
      <c r="X1156"/>
      <c r="Y1156"/>
      <c r="Z1156"/>
      <c r="AA1156"/>
    </row>
    <row r="1157" spans="1:27" x14ac:dyDescent="0.25">
      <c r="A1157"/>
      <c r="B1157" s="36"/>
      <c r="C1157" s="36"/>
      <c r="D1157"/>
      <c r="E1157"/>
      <c r="F1157"/>
      <c r="G1157"/>
      <c r="H1157"/>
      <c r="I1157"/>
      <c r="J1157"/>
      <c r="K1157"/>
      <c r="L1157"/>
      <c r="M1157"/>
      <c r="N1157"/>
      <c r="O1157"/>
      <c r="P1157" s="36"/>
      <c r="Q1157" s="37"/>
      <c r="R1157"/>
      <c r="S1157"/>
      <c r="T1157"/>
      <c r="U1157"/>
      <c r="V1157" s="39"/>
      <c r="W1157"/>
      <c r="X1157"/>
      <c r="Y1157"/>
      <c r="Z1157"/>
      <c r="AA1157"/>
    </row>
    <row r="1158" spans="1:27" x14ac:dyDescent="0.25">
      <c r="A1158"/>
      <c r="B1158" s="36"/>
      <c r="C1158" s="36"/>
      <c r="D1158"/>
      <c r="E1158"/>
      <c r="F1158"/>
      <c r="G1158"/>
      <c r="H1158"/>
      <c r="I1158"/>
      <c r="J1158"/>
      <c r="K1158"/>
      <c r="L1158"/>
      <c r="M1158"/>
      <c r="N1158"/>
      <c r="O1158"/>
      <c r="P1158" s="36"/>
      <c r="Q1158" s="37"/>
      <c r="R1158"/>
      <c r="S1158"/>
      <c r="T1158"/>
      <c r="U1158"/>
      <c r="V1158" s="39"/>
      <c r="W1158"/>
      <c r="X1158"/>
      <c r="Y1158"/>
      <c r="Z1158"/>
      <c r="AA1158"/>
    </row>
    <row r="1159" spans="1:27" x14ac:dyDescent="0.25">
      <c r="A1159"/>
      <c r="B1159" s="36"/>
      <c r="C1159" s="36"/>
      <c r="D1159"/>
      <c r="E1159"/>
      <c r="F1159"/>
      <c r="G1159"/>
      <c r="H1159"/>
      <c r="I1159"/>
      <c r="J1159"/>
      <c r="K1159"/>
      <c r="L1159"/>
      <c r="M1159"/>
      <c r="N1159"/>
      <c r="O1159"/>
      <c r="P1159" s="36"/>
      <c r="Q1159" s="37"/>
      <c r="R1159"/>
      <c r="S1159"/>
      <c r="T1159"/>
      <c r="U1159"/>
      <c r="V1159" s="39"/>
      <c r="W1159"/>
      <c r="X1159"/>
      <c r="Y1159"/>
      <c r="Z1159"/>
      <c r="AA1159"/>
    </row>
    <row r="1160" spans="1:27" x14ac:dyDescent="0.25">
      <c r="A1160"/>
      <c r="B1160" s="36"/>
      <c r="C1160" s="36"/>
      <c r="D1160"/>
      <c r="E1160"/>
      <c r="F1160"/>
      <c r="G1160"/>
      <c r="H1160"/>
      <c r="I1160"/>
      <c r="J1160"/>
      <c r="K1160"/>
      <c r="L1160"/>
      <c r="M1160"/>
      <c r="N1160"/>
      <c r="O1160"/>
      <c r="P1160" s="36"/>
      <c r="Q1160" s="37"/>
      <c r="R1160"/>
      <c r="S1160"/>
      <c r="T1160"/>
      <c r="U1160"/>
      <c r="V1160" s="39"/>
      <c r="W1160"/>
      <c r="X1160"/>
      <c r="Y1160"/>
      <c r="Z1160"/>
      <c r="AA1160"/>
    </row>
    <row r="1161" spans="1:27" x14ac:dyDescent="0.25">
      <c r="A1161"/>
      <c r="B1161" s="36"/>
      <c r="C1161" s="36"/>
      <c r="D1161"/>
      <c r="E1161"/>
      <c r="F1161"/>
      <c r="G1161"/>
      <c r="H1161"/>
      <c r="I1161"/>
      <c r="J1161"/>
      <c r="K1161"/>
      <c r="L1161"/>
      <c r="M1161"/>
      <c r="N1161"/>
      <c r="O1161"/>
      <c r="P1161" s="36"/>
      <c r="Q1161" s="37"/>
      <c r="R1161"/>
      <c r="S1161"/>
      <c r="T1161"/>
      <c r="U1161"/>
      <c r="V1161" s="39"/>
      <c r="W1161"/>
      <c r="X1161"/>
      <c r="Y1161"/>
      <c r="Z1161"/>
      <c r="AA1161"/>
    </row>
    <row r="1162" spans="1:27" x14ac:dyDescent="0.25">
      <c r="A1162"/>
      <c r="B1162" s="36"/>
      <c r="C1162" s="36"/>
      <c r="D1162"/>
      <c r="E1162"/>
      <c r="F1162"/>
      <c r="G1162"/>
      <c r="H1162"/>
      <c r="I1162"/>
      <c r="J1162"/>
      <c r="K1162"/>
      <c r="L1162"/>
      <c r="M1162"/>
      <c r="N1162"/>
      <c r="O1162"/>
      <c r="P1162" s="36"/>
      <c r="Q1162" s="37"/>
      <c r="R1162"/>
      <c r="S1162"/>
      <c r="T1162"/>
      <c r="U1162"/>
      <c r="V1162" s="39"/>
      <c r="W1162"/>
      <c r="X1162"/>
      <c r="Y1162"/>
      <c r="Z1162"/>
      <c r="AA1162"/>
    </row>
    <row r="1163" spans="1:27" x14ac:dyDescent="0.25">
      <c r="A1163"/>
      <c r="B1163" s="36"/>
      <c r="C1163" s="36"/>
      <c r="D1163"/>
      <c r="E1163"/>
      <c r="F1163"/>
      <c r="G1163"/>
      <c r="H1163"/>
      <c r="I1163"/>
      <c r="J1163"/>
      <c r="K1163"/>
      <c r="L1163"/>
      <c r="M1163"/>
      <c r="N1163"/>
      <c r="O1163"/>
      <c r="P1163" s="36"/>
      <c r="Q1163" s="37"/>
      <c r="R1163"/>
      <c r="S1163"/>
      <c r="T1163"/>
      <c r="U1163"/>
      <c r="V1163" s="39"/>
      <c r="W1163"/>
      <c r="X1163"/>
      <c r="Y1163"/>
      <c r="Z1163"/>
      <c r="AA1163"/>
    </row>
    <row r="1164" spans="1:27" x14ac:dyDescent="0.25">
      <c r="A1164"/>
      <c r="B1164" s="36"/>
      <c r="C1164" s="36"/>
      <c r="D1164"/>
      <c r="E1164"/>
      <c r="F1164"/>
      <c r="G1164"/>
      <c r="H1164"/>
      <c r="I1164"/>
      <c r="J1164"/>
      <c r="K1164"/>
      <c r="L1164"/>
      <c r="M1164"/>
      <c r="N1164"/>
      <c r="O1164"/>
      <c r="P1164" s="36"/>
      <c r="Q1164" s="37"/>
      <c r="R1164"/>
      <c r="S1164"/>
      <c r="T1164"/>
      <c r="U1164"/>
      <c r="V1164" s="39"/>
      <c r="W1164"/>
      <c r="X1164"/>
      <c r="Y1164"/>
      <c r="Z1164"/>
      <c r="AA1164"/>
    </row>
    <row r="1165" spans="1:27" x14ac:dyDescent="0.25">
      <c r="A1165"/>
      <c r="B1165" s="36"/>
      <c r="C1165" s="36"/>
      <c r="D1165"/>
      <c r="E1165"/>
      <c r="F1165"/>
      <c r="G1165"/>
      <c r="H1165"/>
      <c r="I1165"/>
      <c r="J1165"/>
      <c r="K1165"/>
      <c r="L1165"/>
      <c r="M1165"/>
      <c r="N1165"/>
      <c r="O1165"/>
      <c r="P1165" s="36"/>
      <c r="Q1165" s="37"/>
      <c r="R1165"/>
      <c r="S1165"/>
      <c r="T1165"/>
      <c r="U1165"/>
      <c r="V1165" s="39"/>
      <c r="W1165"/>
      <c r="X1165"/>
      <c r="Y1165"/>
      <c r="Z1165"/>
      <c r="AA1165"/>
    </row>
    <row r="1166" spans="1:27" x14ac:dyDescent="0.25">
      <c r="A1166"/>
      <c r="B1166" s="36"/>
      <c r="C1166" s="36"/>
      <c r="D1166"/>
      <c r="E1166"/>
      <c r="F1166"/>
      <c r="G1166"/>
      <c r="H1166"/>
      <c r="I1166"/>
      <c r="J1166"/>
      <c r="K1166"/>
      <c r="L1166"/>
      <c r="M1166"/>
      <c r="N1166"/>
      <c r="O1166"/>
      <c r="P1166" s="36"/>
      <c r="Q1166" s="37"/>
      <c r="R1166"/>
      <c r="S1166"/>
      <c r="T1166"/>
      <c r="U1166"/>
      <c r="V1166" s="39"/>
      <c r="W1166"/>
      <c r="X1166"/>
      <c r="Y1166"/>
      <c r="Z1166"/>
      <c r="AA1166"/>
    </row>
    <row r="1167" spans="1:27" x14ac:dyDescent="0.25">
      <c r="A1167"/>
      <c r="B1167" s="36"/>
      <c r="C1167" s="36"/>
      <c r="D1167"/>
      <c r="E1167"/>
      <c r="F1167"/>
      <c r="G1167"/>
      <c r="H1167"/>
      <c r="I1167"/>
      <c r="J1167"/>
      <c r="K1167"/>
      <c r="L1167"/>
      <c r="M1167"/>
      <c r="N1167"/>
      <c r="O1167"/>
      <c r="P1167" s="36"/>
      <c r="Q1167" s="37"/>
      <c r="R1167"/>
      <c r="S1167"/>
      <c r="T1167"/>
      <c r="U1167"/>
      <c r="V1167" s="39"/>
      <c r="W1167"/>
      <c r="X1167"/>
      <c r="Y1167"/>
      <c r="Z1167"/>
      <c r="AA1167"/>
    </row>
    <row r="1168" spans="1:27" x14ac:dyDescent="0.25">
      <c r="A1168"/>
      <c r="B1168" s="36"/>
      <c r="C1168" s="36"/>
      <c r="D1168"/>
      <c r="E1168"/>
      <c r="F1168"/>
      <c r="G1168"/>
      <c r="H1168"/>
      <c r="I1168"/>
      <c r="J1168"/>
      <c r="K1168"/>
      <c r="L1168"/>
      <c r="M1168"/>
      <c r="N1168"/>
      <c r="O1168"/>
      <c r="P1168" s="36"/>
      <c r="Q1168" s="37"/>
      <c r="R1168"/>
      <c r="S1168"/>
      <c r="T1168"/>
      <c r="U1168"/>
      <c r="V1168" s="39"/>
      <c r="W1168"/>
      <c r="X1168"/>
      <c r="Y1168"/>
      <c r="Z1168"/>
      <c r="AA1168"/>
    </row>
    <row r="1169" spans="1:27" x14ac:dyDescent="0.25">
      <c r="A1169"/>
      <c r="B1169" s="36"/>
      <c r="C1169" s="36"/>
      <c r="D1169"/>
      <c r="E1169"/>
      <c r="F1169"/>
      <c r="G1169"/>
      <c r="H1169"/>
      <c r="I1169"/>
      <c r="J1169"/>
      <c r="K1169"/>
      <c r="L1169"/>
      <c r="M1169"/>
      <c r="N1169"/>
      <c r="O1169"/>
      <c r="P1169" s="36"/>
      <c r="Q1169" s="37"/>
      <c r="R1169"/>
      <c r="S1169"/>
      <c r="T1169"/>
      <c r="U1169"/>
      <c r="V1169" s="39"/>
      <c r="W1169"/>
      <c r="X1169"/>
      <c r="Y1169"/>
      <c r="Z1169"/>
      <c r="AA1169"/>
    </row>
    <row r="1170" spans="1:27" x14ac:dyDescent="0.25">
      <c r="A1170"/>
      <c r="B1170" s="36"/>
      <c r="C1170" s="36"/>
      <c r="D1170"/>
      <c r="E1170"/>
      <c r="F1170"/>
      <c r="G1170"/>
      <c r="H1170"/>
      <c r="I1170"/>
      <c r="J1170"/>
      <c r="K1170"/>
      <c r="L1170"/>
      <c r="M1170"/>
      <c r="N1170"/>
      <c r="O1170"/>
      <c r="P1170" s="36"/>
      <c r="Q1170" s="37"/>
      <c r="R1170"/>
      <c r="S1170"/>
      <c r="T1170"/>
      <c r="U1170"/>
      <c r="V1170" s="39"/>
      <c r="W1170"/>
      <c r="X1170"/>
      <c r="Y1170"/>
      <c r="Z1170"/>
      <c r="AA1170"/>
    </row>
    <row r="1171" spans="1:27" x14ac:dyDescent="0.25">
      <c r="A1171"/>
      <c r="B1171" s="36"/>
      <c r="C1171" s="36"/>
      <c r="D1171"/>
      <c r="E1171"/>
      <c r="F1171"/>
      <c r="G1171"/>
      <c r="H1171"/>
      <c r="I1171"/>
      <c r="J1171"/>
      <c r="K1171"/>
      <c r="L1171"/>
      <c r="M1171"/>
      <c r="N1171"/>
      <c r="O1171"/>
      <c r="P1171" s="36"/>
      <c r="Q1171" s="37"/>
      <c r="R1171"/>
      <c r="S1171"/>
      <c r="T1171"/>
      <c r="U1171"/>
      <c r="V1171" s="39"/>
      <c r="W1171"/>
      <c r="X1171"/>
      <c r="Y1171"/>
      <c r="Z1171"/>
      <c r="AA1171"/>
    </row>
    <row r="1172" spans="1:27" x14ac:dyDescent="0.25">
      <c r="A1172"/>
      <c r="B1172" s="36"/>
      <c r="C1172" s="36"/>
      <c r="D1172"/>
      <c r="E1172"/>
      <c r="F1172"/>
      <c r="G1172"/>
      <c r="H1172"/>
      <c r="I1172"/>
      <c r="J1172"/>
      <c r="K1172"/>
      <c r="L1172"/>
      <c r="M1172"/>
      <c r="N1172"/>
      <c r="O1172"/>
      <c r="P1172" s="36"/>
      <c r="Q1172" s="37"/>
      <c r="R1172"/>
      <c r="S1172"/>
      <c r="T1172"/>
      <c r="U1172"/>
      <c r="V1172" s="39"/>
      <c r="W1172"/>
      <c r="X1172"/>
      <c r="Y1172"/>
      <c r="Z1172"/>
      <c r="AA1172"/>
    </row>
    <row r="1173" spans="1:27" x14ac:dyDescent="0.25">
      <c r="A1173"/>
      <c r="B1173" s="36"/>
      <c r="C1173" s="36"/>
      <c r="D1173"/>
      <c r="E1173"/>
      <c r="F1173"/>
      <c r="G1173"/>
      <c r="H1173"/>
      <c r="I1173"/>
      <c r="J1173"/>
      <c r="K1173"/>
      <c r="L1173"/>
      <c r="M1173"/>
      <c r="N1173"/>
      <c r="O1173"/>
      <c r="P1173" s="36"/>
      <c r="Q1173" s="37"/>
      <c r="R1173"/>
      <c r="S1173"/>
      <c r="T1173"/>
      <c r="U1173"/>
      <c r="V1173" s="39"/>
      <c r="W1173"/>
      <c r="X1173"/>
      <c r="Y1173"/>
      <c r="Z1173"/>
      <c r="AA1173"/>
    </row>
    <row r="1174" spans="1:27" x14ac:dyDescent="0.25">
      <c r="A1174"/>
      <c r="B1174" s="36"/>
      <c r="C1174" s="36"/>
      <c r="D1174"/>
      <c r="E1174"/>
      <c r="F1174"/>
      <c r="G1174"/>
      <c r="H1174"/>
      <c r="I1174"/>
      <c r="J1174"/>
      <c r="K1174"/>
      <c r="L1174"/>
      <c r="M1174"/>
      <c r="N1174"/>
      <c r="O1174"/>
      <c r="P1174" s="36"/>
      <c r="Q1174" s="37"/>
      <c r="R1174"/>
      <c r="S1174"/>
      <c r="T1174"/>
      <c r="U1174"/>
      <c r="V1174" s="39"/>
      <c r="W1174"/>
      <c r="X1174"/>
      <c r="Y1174"/>
      <c r="Z1174"/>
      <c r="AA1174"/>
    </row>
    <row r="1175" spans="1:27" x14ac:dyDescent="0.25">
      <c r="A1175"/>
      <c r="B1175" s="36"/>
      <c r="C1175" s="36"/>
      <c r="D1175"/>
      <c r="E1175"/>
      <c r="F1175"/>
      <c r="G1175"/>
      <c r="H1175"/>
      <c r="I1175"/>
      <c r="J1175"/>
      <c r="K1175"/>
      <c r="L1175"/>
      <c r="M1175"/>
      <c r="N1175"/>
      <c r="O1175"/>
      <c r="P1175" s="36"/>
      <c r="Q1175" s="37"/>
      <c r="R1175"/>
      <c r="S1175"/>
      <c r="T1175"/>
      <c r="U1175"/>
      <c r="V1175" s="39"/>
      <c r="W1175"/>
      <c r="X1175"/>
      <c r="Y1175"/>
      <c r="Z1175"/>
      <c r="AA1175"/>
    </row>
    <row r="1176" spans="1:27" x14ac:dyDescent="0.25">
      <c r="A1176"/>
      <c r="B1176" s="36"/>
      <c r="C1176" s="36"/>
      <c r="D1176"/>
      <c r="E1176"/>
      <c r="F1176"/>
      <c r="G1176"/>
      <c r="H1176"/>
      <c r="I1176"/>
      <c r="J1176"/>
      <c r="K1176"/>
      <c r="L1176"/>
      <c r="M1176"/>
      <c r="N1176"/>
      <c r="O1176"/>
      <c r="P1176" s="36"/>
      <c r="Q1176" s="37"/>
      <c r="R1176"/>
      <c r="S1176"/>
      <c r="T1176"/>
      <c r="U1176"/>
      <c r="V1176" s="39"/>
      <c r="W1176"/>
      <c r="X1176"/>
      <c r="Y1176"/>
      <c r="Z1176"/>
      <c r="AA1176"/>
    </row>
    <row r="1177" spans="1:27" x14ac:dyDescent="0.25">
      <c r="A1177"/>
      <c r="B1177" s="36"/>
      <c r="C1177" s="36"/>
      <c r="D1177"/>
      <c r="E1177"/>
      <c r="F1177"/>
      <c r="G1177"/>
      <c r="H1177"/>
      <c r="I1177"/>
      <c r="J1177"/>
      <c r="K1177"/>
      <c r="L1177"/>
      <c r="M1177"/>
      <c r="N1177"/>
      <c r="O1177"/>
      <c r="P1177" s="36"/>
      <c r="Q1177" s="37"/>
      <c r="R1177"/>
      <c r="S1177"/>
      <c r="T1177"/>
      <c r="U1177"/>
      <c r="V1177" s="39"/>
      <c r="W1177"/>
      <c r="X1177"/>
      <c r="Y1177"/>
      <c r="Z1177"/>
      <c r="AA1177"/>
    </row>
    <row r="1178" spans="1:27" x14ac:dyDescent="0.25">
      <c r="A1178"/>
      <c r="B1178" s="36"/>
      <c r="C1178" s="36"/>
      <c r="D1178"/>
      <c r="E1178"/>
      <c r="F1178"/>
      <c r="G1178"/>
      <c r="H1178"/>
      <c r="I1178"/>
      <c r="J1178"/>
      <c r="K1178"/>
      <c r="L1178"/>
      <c r="M1178"/>
      <c r="N1178"/>
      <c r="O1178"/>
      <c r="P1178" s="36"/>
      <c r="Q1178" s="37"/>
      <c r="R1178"/>
      <c r="S1178"/>
      <c r="T1178"/>
      <c r="U1178"/>
      <c r="V1178" s="39"/>
      <c r="W1178"/>
      <c r="X1178"/>
      <c r="Y1178"/>
      <c r="Z1178"/>
      <c r="AA1178"/>
    </row>
    <row r="1179" spans="1:27" x14ac:dyDescent="0.25">
      <c r="A1179"/>
      <c r="B1179" s="36"/>
      <c r="C1179" s="36"/>
      <c r="D1179"/>
      <c r="E1179"/>
      <c r="F1179"/>
      <c r="G1179"/>
      <c r="H1179"/>
      <c r="I1179"/>
      <c r="J1179"/>
      <c r="K1179"/>
      <c r="L1179"/>
      <c r="M1179"/>
      <c r="N1179"/>
      <c r="O1179"/>
      <c r="P1179" s="36"/>
      <c r="Q1179" s="37"/>
      <c r="R1179"/>
      <c r="S1179"/>
      <c r="T1179"/>
      <c r="U1179"/>
      <c r="V1179" s="39"/>
      <c r="W1179"/>
      <c r="X1179"/>
      <c r="Y1179"/>
      <c r="Z1179"/>
      <c r="AA1179"/>
    </row>
    <row r="1180" spans="1:27" x14ac:dyDescent="0.25">
      <c r="A1180"/>
      <c r="B1180" s="36"/>
      <c r="C1180" s="36"/>
      <c r="D1180"/>
      <c r="E1180"/>
      <c r="F1180"/>
      <c r="G1180"/>
      <c r="H1180"/>
      <c r="I1180"/>
      <c r="J1180"/>
      <c r="K1180"/>
      <c r="L1180"/>
      <c r="M1180"/>
      <c r="N1180"/>
      <c r="O1180"/>
      <c r="P1180" s="36"/>
      <c r="Q1180" s="37"/>
      <c r="R1180"/>
      <c r="S1180"/>
      <c r="T1180"/>
      <c r="U1180"/>
      <c r="V1180" s="39"/>
      <c r="W1180"/>
      <c r="X1180"/>
      <c r="Y1180"/>
      <c r="Z1180"/>
      <c r="AA1180"/>
    </row>
    <row r="1181" spans="1:27" x14ac:dyDescent="0.25">
      <c r="A1181"/>
      <c r="B1181" s="36"/>
      <c r="C1181" s="36"/>
      <c r="D1181"/>
      <c r="E1181"/>
      <c r="F1181"/>
      <c r="G1181"/>
      <c r="H1181"/>
      <c r="I1181"/>
      <c r="J1181"/>
      <c r="K1181"/>
      <c r="L1181"/>
      <c r="M1181"/>
      <c r="N1181"/>
      <c r="O1181"/>
      <c r="P1181" s="36"/>
      <c r="Q1181" s="37"/>
      <c r="R1181"/>
      <c r="S1181"/>
      <c r="T1181"/>
      <c r="U1181"/>
      <c r="V1181" s="39"/>
      <c r="W1181"/>
      <c r="X1181"/>
      <c r="Y1181"/>
      <c r="Z1181"/>
      <c r="AA1181"/>
    </row>
    <row r="1182" spans="1:27" x14ac:dyDescent="0.25">
      <c r="A1182"/>
      <c r="B1182" s="36"/>
      <c r="C1182" s="36"/>
      <c r="D1182"/>
      <c r="E1182"/>
      <c r="F1182"/>
      <c r="G1182"/>
      <c r="H1182"/>
      <c r="I1182"/>
      <c r="J1182"/>
      <c r="K1182"/>
      <c r="L1182"/>
      <c r="M1182"/>
      <c r="N1182"/>
      <c r="O1182"/>
      <c r="P1182" s="36"/>
      <c r="Q1182" s="37"/>
      <c r="R1182"/>
      <c r="S1182"/>
      <c r="T1182"/>
      <c r="U1182"/>
      <c r="V1182" s="39"/>
      <c r="W1182"/>
      <c r="X1182"/>
      <c r="Y1182"/>
      <c r="Z1182"/>
      <c r="AA1182"/>
    </row>
    <row r="1183" spans="1:27" x14ac:dyDescent="0.25">
      <c r="A1183"/>
      <c r="B1183" s="36"/>
      <c r="C1183" s="36"/>
      <c r="D1183"/>
      <c r="E1183"/>
      <c r="F1183"/>
      <c r="G1183"/>
      <c r="H1183"/>
      <c r="I1183"/>
      <c r="J1183"/>
      <c r="K1183"/>
      <c r="L1183"/>
      <c r="M1183"/>
      <c r="N1183"/>
      <c r="O1183"/>
      <c r="P1183" s="36"/>
      <c r="Q1183" s="37"/>
      <c r="R1183" s="44"/>
      <c r="S1183"/>
      <c r="T1183"/>
      <c r="U1183"/>
      <c r="V1183" s="39"/>
      <c r="W1183"/>
      <c r="X1183"/>
      <c r="Y1183"/>
      <c r="Z1183"/>
      <c r="AA1183"/>
    </row>
    <row r="1184" spans="1:27" x14ac:dyDescent="0.25">
      <c r="A1184"/>
      <c r="B1184" s="36"/>
      <c r="C1184" s="36"/>
      <c r="D1184"/>
      <c r="E1184"/>
      <c r="F1184"/>
      <c r="G1184"/>
      <c r="H1184"/>
      <c r="I1184"/>
      <c r="J1184"/>
      <c r="K1184"/>
      <c r="L1184"/>
      <c r="M1184"/>
      <c r="N1184"/>
      <c r="O1184"/>
      <c r="P1184" s="36"/>
      <c r="Q1184" s="37"/>
      <c r="R1184"/>
      <c r="S1184"/>
      <c r="T1184"/>
      <c r="U1184"/>
      <c r="V1184" s="39"/>
      <c r="W1184"/>
      <c r="X1184"/>
      <c r="Y1184"/>
      <c r="Z1184"/>
      <c r="AA1184"/>
    </row>
    <row r="1185" spans="1:27" x14ac:dyDescent="0.25">
      <c r="A1185"/>
      <c r="B1185" s="36"/>
      <c r="C1185" s="36"/>
      <c r="D1185"/>
      <c r="E1185"/>
      <c r="F1185"/>
      <c r="G1185"/>
      <c r="H1185"/>
      <c r="I1185"/>
      <c r="J1185"/>
      <c r="K1185"/>
      <c r="L1185"/>
      <c r="M1185"/>
      <c r="N1185"/>
      <c r="O1185"/>
      <c r="P1185" s="36"/>
      <c r="Q1185" s="37"/>
      <c r="R1185"/>
      <c r="S1185"/>
      <c r="T1185"/>
      <c r="U1185"/>
      <c r="V1185" s="39"/>
      <c r="W1185"/>
      <c r="X1185"/>
      <c r="Y1185"/>
      <c r="Z1185"/>
      <c r="AA1185"/>
    </row>
    <row r="1186" spans="1:27" x14ac:dyDescent="0.25">
      <c r="A1186"/>
      <c r="B1186" s="36"/>
      <c r="C1186" s="36"/>
      <c r="D1186"/>
      <c r="E1186"/>
      <c r="F1186"/>
      <c r="G1186"/>
      <c r="H1186"/>
      <c r="I1186"/>
      <c r="J1186"/>
      <c r="K1186"/>
      <c r="L1186"/>
      <c r="M1186"/>
      <c r="N1186"/>
      <c r="O1186"/>
      <c r="P1186" s="36"/>
      <c r="Q1186" s="37"/>
      <c r="R1186"/>
      <c r="S1186"/>
      <c r="T1186"/>
      <c r="U1186"/>
      <c r="V1186" s="39"/>
      <c r="W1186"/>
      <c r="X1186"/>
      <c r="Y1186"/>
      <c r="Z1186"/>
      <c r="AA1186"/>
    </row>
    <row r="1187" spans="1:27" x14ac:dyDescent="0.25">
      <c r="A1187"/>
      <c r="B1187" s="36"/>
      <c r="C1187" s="36"/>
      <c r="D1187"/>
      <c r="E1187"/>
      <c r="F1187"/>
      <c r="G1187"/>
      <c r="H1187"/>
      <c r="I1187"/>
      <c r="J1187"/>
      <c r="K1187"/>
      <c r="L1187"/>
      <c r="M1187"/>
      <c r="N1187"/>
      <c r="O1187"/>
      <c r="P1187" s="36"/>
      <c r="Q1187" s="37"/>
      <c r="R1187"/>
      <c r="S1187"/>
      <c r="T1187"/>
      <c r="U1187"/>
      <c r="V1187" s="39"/>
      <c r="W1187"/>
      <c r="X1187"/>
      <c r="Y1187"/>
      <c r="Z1187"/>
      <c r="AA1187"/>
    </row>
    <row r="1188" spans="1:27" x14ac:dyDescent="0.25">
      <c r="A1188"/>
      <c r="B1188" s="36"/>
      <c r="C1188" s="36"/>
      <c r="D1188"/>
      <c r="E1188"/>
      <c r="F1188"/>
      <c r="G1188"/>
      <c r="H1188"/>
      <c r="I1188"/>
      <c r="J1188"/>
      <c r="K1188"/>
      <c r="L1188"/>
      <c r="M1188"/>
      <c r="N1188"/>
      <c r="O1188"/>
      <c r="P1188" s="36"/>
      <c r="Q1188" s="37"/>
      <c r="R1188"/>
      <c r="S1188"/>
      <c r="T1188"/>
      <c r="U1188"/>
      <c r="V1188" s="39"/>
      <c r="W1188"/>
      <c r="X1188"/>
      <c r="Y1188"/>
      <c r="Z1188"/>
      <c r="AA1188"/>
    </row>
    <row r="1189" spans="1:27" x14ac:dyDescent="0.25">
      <c r="A1189"/>
      <c r="B1189" s="36"/>
      <c r="C1189" s="36"/>
      <c r="D1189"/>
      <c r="E1189"/>
      <c r="F1189"/>
      <c r="G1189"/>
      <c r="H1189"/>
      <c r="I1189"/>
      <c r="J1189"/>
      <c r="K1189"/>
      <c r="L1189"/>
      <c r="M1189"/>
      <c r="N1189"/>
      <c r="O1189"/>
      <c r="P1189" s="36"/>
      <c r="Q1189" s="37"/>
      <c r="R1189"/>
      <c r="S1189"/>
      <c r="T1189"/>
      <c r="U1189"/>
      <c r="V1189" s="39"/>
      <c r="W1189"/>
      <c r="X1189"/>
      <c r="Y1189"/>
      <c r="Z1189"/>
      <c r="AA1189"/>
    </row>
    <row r="1190" spans="1:27" x14ac:dyDescent="0.25">
      <c r="A1190"/>
      <c r="B1190" s="36"/>
      <c r="C1190" s="36"/>
      <c r="D1190"/>
      <c r="E1190"/>
      <c r="F1190"/>
      <c r="G1190"/>
      <c r="H1190"/>
      <c r="I1190"/>
      <c r="J1190"/>
      <c r="K1190"/>
      <c r="L1190"/>
      <c r="M1190"/>
      <c r="N1190"/>
      <c r="O1190"/>
      <c r="P1190" s="36"/>
      <c r="Q1190" s="37"/>
      <c r="R1190"/>
      <c r="S1190"/>
      <c r="T1190"/>
      <c r="U1190"/>
      <c r="V1190" s="39"/>
      <c r="W1190"/>
      <c r="X1190"/>
      <c r="Y1190"/>
      <c r="Z1190"/>
      <c r="AA1190"/>
    </row>
    <row r="1191" spans="1:27" x14ac:dyDescent="0.25">
      <c r="A1191"/>
      <c r="B1191" s="36"/>
      <c r="C1191" s="36"/>
      <c r="D1191"/>
      <c r="E1191"/>
      <c r="F1191"/>
      <c r="G1191"/>
      <c r="H1191"/>
      <c r="I1191"/>
      <c r="J1191"/>
      <c r="K1191"/>
      <c r="L1191"/>
      <c r="M1191"/>
      <c r="N1191"/>
      <c r="O1191"/>
      <c r="P1191" s="36"/>
      <c r="Q1191" s="37"/>
      <c r="R1191"/>
      <c r="S1191"/>
      <c r="T1191"/>
      <c r="U1191"/>
      <c r="V1191" s="39"/>
      <c r="W1191"/>
      <c r="X1191"/>
      <c r="Y1191"/>
      <c r="Z1191"/>
      <c r="AA1191"/>
    </row>
    <row r="1192" spans="1:27" x14ac:dyDescent="0.25">
      <c r="A1192"/>
      <c r="B1192" s="36"/>
      <c r="C1192" s="36"/>
      <c r="D1192"/>
      <c r="E1192"/>
      <c r="F1192"/>
      <c r="G1192"/>
      <c r="H1192"/>
      <c r="I1192"/>
      <c r="J1192"/>
      <c r="K1192"/>
      <c r="L1192"/>
      <c r="M1192"/>
      <c r="N1192"/>
      <c r="O1192"/>
      <c r="P1192" s="36"/>
      <c r="Q1192" s="37"/>
      <c r="R1192"/>
      <c r="S1192"/>
      <c r="T1192"/>
      <c r="U1192"/>
      <c r="V1192" s="39"/>
      <c r="W1192"/>
      <c r="X1192"/>
      <c r="Y1192"/>
      <c r="Z1192"/>
      <c r="AA1192"/>
    </row>
    <row r="1193" spans="1:27" x14ac:dyDescent="0.25">
      <c r="A1193"/>
      <c r="B1193" s="36"/>
      <c r="C1193" s="36"/>
      <c r="D1193"/>
      <c r="E1193"/>
      <c r="F1193"/>
      <c r="G1193"/>
      <c r="H1193"/>
      <c r="I1193"/>
      <c r="J1193"/>
      <c r="K1193"/>
      <c r="L1193"/>
      <c r="M1193"/>
      <c r="N1193"/>
      <c r="O1193"/>
      <c r="P1193" s="36"/>
      <c r="Q1193" s="37"/>
      <c r="R1193"/>
      <c r="S1193"/>
      <c r="T1193"/>
      <c r="U1193"/>
      <c r="V1193" s="39"/>
      <c r="W1193"/>
      <c r="X1193"/>
      <c r="Y1193"/>
      <c r="Z1193"/>
      <c r="AA1193"/>
    </row>
    <row r="1194" spans="1:27" x14ac:dyDescent="0.25">
      <c r="A1194"/>
      <c r="B1194" s="36"/>
      <c r="C1194" s="36"/>
      <c r="D1194"/>
      <c r="E1194"/>
      <c r="F1194"/>
      <c r="G1194"/>
      <c r="H1194"/>
      <c r="I1194"/>
      <c r="J1194"/>
      <c r="K1194"/>
      <c r="L1194"/>
      <c r="M1194"/>
      <c r="N1194"/>
      <c r="O1194"/>
      <c r="P1194" s="36"/>
      <c r="Q1194" s="37"/>
      <c r="R1194" s="44"/>
      <c r="S1194"/>
      <c r="T1194"/>
      <c r="U1194"/>
      <c r="V1194" s="39"/>
      <c r="W1194"/>
      <c r="X1194"/>
      <c r="Y1194"/>
      <c r="Z1194"/>
      <c r="AA1194"/>
    </row>
    <row r="1195" spans="1:27" x14ac:dyDescent="0.25">
      <c r="A1195"/>
      <c r="B1195" s="36"/>
      <c r="C1195" s="36"/>
      <c r="D1195"/>
      <c r="E1195"/>
      <c r="F1195"/>
      <c r="G1195"/>
      <c r="H1195"/>
      <c r="I1195"/>
      <c r="J1195"/>
      <c r="K1195"/>
      <c r="L1195"/>
      <c r="M1195"/>
      <c r="N1195"/>
      <c r="O1195"/>
      <c r="P1195" s="36"/>
      <c r="Q1195" s="37"/>
      <c r="R1195"/>
      <c r="S1195"/>
      <c r="T1195"/>
      <c r="U1195"/>
      <c r="V1195" s="39"/>
      <c r="W1195"/>
      <c r="X1195"/>
      <c r="Y1195"/>
      <c r="Z1195"/>
      <c r="AA1195"/>
    </row>
    <row r="1196" spans="1:27" x14ac:dyDescent="0.25">
      <c r="A1196"/>
      <c r="B1196" s="36"/>
      <c r="C1196" s="36"/>
      <c r="D1196"/>
      <c r="E1196"/>
      <c r="F1196"/>
      <c r="G1196"/>
      <c r="H1196"/>
      <c r="I1196"/>
      <c r="J1196"/>
      <c r="K1196"/>
      <c r="L1196"/>
      <c r="M1196"/>
      <c r="N1196"/>
      <c r="O1196"/>
      <c r="P1196" s="36"/>
      <c r="Q1196" s="37"/>
      <c r="R1196"/>
      <c r="S1196"/>
      <c r="T1196"/>
      <c r="U1196"/>
      <c r="V1196" s="39"/>
      <c r="W1196"/>
      <c r="X1196"/>
      <c r="Y1196"/>
      <c r="Z1196"/>
      <c r="AA1196"/>
    </row>
    <row r="1197" spans="1:27" x14ac:dyDescent="0.25">
      <c r="A1197"/>
      <c r="B1197" s="36"/>
      <c r="C1197" s="36"/>
      <c r="D1197"/>
      <c r="E1197"/>
      <c r="F1197"/>
      <c r="G1197"/>
      <c r="H1197"/>
      <c r="I1197"/>
      <c r="J1197"/>
      <c r="K1197"/>
      <c r="L1197"/>
      <c r="M1197"/>
      <c r="N1197"/>
      <c r="O1197"/>
      <c r="P1197" s="36"/>
      <c r="Q1197" s="37"/>
      <c r="R1197"/>
      <c r="S1197"/>
      <c r="T1197"/>
      <c r="U1197"/>
      <c r="V1197" s="39"/>
      <c r="W1197"/>
      <c r="X1197"/>
      <c r="Y1197"/>
      <c r="Z1197"/>
      <c r="AA1197"/>
    </row>
    <row r="1198" spans="1:27" x14ac:dyDescent="0.25">
      <c r="A1198"/>
      <c r="B1198" s="36"/>
      <c r="C1198" s="36"/>
      <c r="D1198"/>
      <c r="E1198"/>
      <c r="F1198"/>
      <c r="G1198"/>
      <c r="H1198"/>
      <c r="I1198"/>
      <c r="J1198"/>
      <c r="K1198"/>
      <c r="L1198"/>
      <c r="M1198"/>
      <c r="N1198"/>
      <c r="O1198"/>
      <c r="P1198" s="36"/>
      <c r="Q1198" s="37"/>
      <c r="R1198"/>
      <c r="S1198"/>
      <c r="T1198"/>
      <c r="U1198"/>
      <c r="V1198" s="39"/>
      <c r="W1198"/>
      <c r="X1198"/>
      <c r="Y1198"/>
      <c r="Z1198"/>
      <c r="AA1198"/>
    </row>
    <row r="1199" spans="1:27" x14ac:dyDescent="0.25">
      <c r="A1199"/>
      <c r="B1199" s="36"/>
      <c r="C1199" s="36"/>
      <c r="D1199"/>
      <c r="E1199"/>
      <c r="F1199"/>
      <c r="G1199"/>
      <c r="H1199"/>
      <c r="I1199"/>
      <c r="J1199"/>
      <c r="K1199"/>
      <c r="L1199"/>
      <c r="M1199"/>
      <c r="N1199"/>
      <c r="O1199"/>
      <c r="P1199" s="36"/>
      <c r="Q1199" s="37"/>
      <c r="R1199"/>
      <c r="S1199"/>
      <c r="T1199"/>
      <c r="U1199"/>
      <c r="V1199" s="39"/>
      <c r="W1199"/>
      <c r="X1199"/>
      <c r="Y1199"/>
      <c r="Z1199"/>
      <c r="AA1199"/>
    </row>
    <row r="1200" spans="1:27" x14ac:dyDescent="0.25">
      <c r="A1200"/>
      <c r="B1200" s="36"/>
      <c r="C1200" s="36"/>
      <c r="D1200"/>
      <c r="E1200"/>
      <c r="F1200"/>
      <c r="G1200"/>
      <c r="H1200"/>
      <c r="I1200"/>
      <c r="J1200"/>
      <c r="K1200"/>
      <c r="L1200"/>
      <c r="M1200"/>
      <c r="N1200"/>
      <c r="O1200"/>
      <c r="P1200" s="36"/>
      <c r="Q1200" s="37"/>
      <c r="R1200"/>
      <c r="S1200"/>
      <c r="T1200"/>
      <c r="U1200"/>
      <c r="V1200" s="39"/>
      <c r="W1200"/>
      <c r="X1200"/>
      <c r="Y1200"/>
      <c r="Z1200"/>
      <c r="AA1200"/>
    </row>
    <row r="1201" spans="1:27" x14ac:dyDescent="0.25">
      <c r="A1201"/>
      <c r="B1201" s="36"/>
      <c r="C1201" s="36"/>
      <c r="D1201"/>
      <c r="E1201"/>
      <c r="F1201"/>
      <c r="G1201"/>
      <c r="H1201"/>
      <c r="I1201"/>
      <c r="J1201"/>
      <c r="K1201"/>
      <c r="L1201"/>
      <c r="M1201"/>
      <c r="N1201"/>
      <c r="O1201"/>
      <c r="P1201" s="36"/>
      <c r="Q1201" s="37"/>
      <c r="R1201"/>
      <c r="S1201"/>
      <c r="T1201"/>
      <c r="U1201"/>
      <c r="V1201" s="39"/>
      <c r="W1201"/>
      <c r="X1201"/>
      <c r="Y1201"/>
      <c r="Z1201"/>
      <c r="AA1201"/>
    </row>
    <row r="1202" spans="1:27" x14ac:dyDescent="0.25">
      <c r="A1202"/>
      <c r="B1202" s="36"/>
      <c r="C1202" s="36"/>
      <c r="D1202"/>
      <c r="E1202"/>
      <c r="F1202"/>
      <c r="G1202"/>
      <c r="H1202"/>
      <c r="I1202"/>
      <c r="J1202"/>
      <c r="K1202"/>
      <c r="L1202"/>
      <c r="M1202"/>
      <c r="N1202"/>
      <c r="O1202"/>
      <c r="P1202" s="36"/>
      <c r="Q1202" s="37"/>
      <c r="R1202"/>
      <c r="S1202"/>
      <c r="T1202"/>
      <c r="U1202"/>
      <c r="V1202" s="39"/>
      <c r="W1202"/>
      <c r="X1202"/>
      <c r="Y1202"/>
      <c r="Z1202"/>
      <c r="AA1202"/>
    </row>
    <row r="1203" spans="1:27" x14ac:dyDescent="0.25">
      <c r="A1203"/>
      <c r="B1203" s="36"/>
      <c r="C1203" s="36"/>
      <c r="D1203"/>
      <c r="E1203"/>
      <c r="F1203"/>
      <c r="G1203"/>
      <c r="H1203"/>
      <c r="I1203"/>
      <c r="J1203"/>
      <c r="K1203"/>
      <c r="L1203"/>
      <c r="M1203"/>
      <c r="N1203"/>
      <c r="O1203"/>
      <c r="P1203" s="36"/>
      <c r="Q1203" s="37"/>
      <c r="R1203"/>
      <c r="S1203"/>
      <c r="T1203"/>
      <c r="U1203"/>
      <c r="V1203" s="39"/>
      <c r="W1203"/>
      <c r="X1203"/>
      <c r="Y1203"/>
      <c r="Z1203"/>
      <c r="AA1203"/>
    </row>
    <row r="1204" spans="1:27" x14ac:dyDescent="0.25">
      <c r="A1204"/>
      <c r="B1204" s="36"/>
      <c r="C1204" s="36"/>
      <c r="D1204"/>
      <c r="E1204"/>
      <c r="F1204"/>
      <c r="G1204"/>
      <c r="H1204"/>
      <c r="I1204"/>
      <c r="J1204"/>
      <c r="K1204"/>
      <c r="L1204"/>
      <c r="M1204"/>
      <c r="N1204"/>
      <c r="O1204"/>
      <c r="P1204" s="36"/>
      <c r="Q1204" s="37"/>
      <c r="R1204"/>
      <c r="S1204"/>
      <c r="T1204"/>
      <c r="U1204"/>
      <c r="V1204" s="39"/>
      <c r="W1204"/>
      <c r="X1204"/>
      <c r="Y1204"/>
      <c r="Z1204"/>
      <c r="AA1204"/>
    </row>
    <row r="1205" spans="1:27" x14ac:dyDescent="0.25">
      <c r="A1205"/>
      <c r="B1205" s="36"/>
      <c r="C1205" s="36"/>
      <c r="D1205"/>
      <c r="E1205"/>
      <c r="F1205"/>
      <c r="G1205"/>
      <c r="H1205"/>
      <c r="I1205"/>
      <c r="J1205"/>
      <c r="K1205"/>
      <c r="L1205"/>
      <c r="M1205"/>
      <c r="N1205"/>
      <c r="O1205"/>
      <c r="P1205" s="36"/>
      <c r="Q1205" s="37"/>
      <c r="R1205"/>
      <c r="S1205"/>
      <c r="T1205"/>
      <c r="U1205"/>
      <c r="V1205" s="39"/>
      <c r="W1205"/>
      <c r="X1205"/>
      <c r="Y1205"/>
      <c r="Z1205"/>
      <c r="AA1205"/>
    </row>
    <row r="1206" spans="1:27" x14ac:dyDescent="0.25">
      <c r="A1206"/>
      <c r="B1206" s="36"/>
      <c r="C1206" s="36"/>
      <c r="D1206"/>
      <c r="E1206"/>
      <c r="F1206"/>
      <c r="G1206"/>
      <c r="H1206"/>
      <c r="I1206"/>
      <c r="J1206"/>
      <c r="K1206"/>
      <c r="L1206"/>
      <c r="M1206"/>
      <c r="N1206"/>
      <c r="O1206"/>
      <c r="P1206" s="36"/>
      <c r="Q1206" s="37"/>
      <c r="R1206"/>
      <c r="S1206"/>
      <c r="T1206"/>
      <c r="U1206"/>
      <c r="V1206" s="39"/>
      <c r="W1206"/>
      <c r="X1206"/>
      <c r="Y1206"/>
      <c r="Z1206"/>
      <c r="AA1206"/>
    </row>
    <row r="1207" spans="1:27" x14ac:dyDescent="0.25">
      <c r="A1207"/>
      <c r="B1207" s="36"/>
      <c r="C1207" s="36"/>
      <c r="D1207"/>
      <c r="E1207"/>
      <c r="F1207"/>
      <c r="G1207"/>
      <c r="H1207"/>
      <c r="I1207"/>
      <c r="J1207"/>
      <c r="K1207"/>
      <c r="L1207"/>
      <c r="M1207"/>
      <c r="N1207"/>
      <c r="O1207"/>
      <c r="P1207" s="36"/>
      <c r="Q1207" s="37"/>
      <c r="R1207"/>
      <c r="S1207"/>
      <c r="T1207"/>
      <c r="U1207"/>
      <c r="V1207" s="39"/>
      <c r="W1207"/>
      <c r="X1207"/>
      <c r="Y1207"/>
      <c r="Z1207"/>
      <c r="AA1207"/>
    </row>
    <row r="1208" spans="1:27" x14ac:dyDescent="0.25">
      <c r="A1208"/>
      <c r="B1208" s="36"/>
      <c r="C1208" s="36"/>
      <c r="D1208"/>
      <c r="E1208"/>
      <c r="F1208"/>
      <c r="G1208"/>
      <c r="H1208"/>
      <c r="I1208"/>
      <c r="J1208"/>
      <c r="K1208"/>
      <c r="L1208"/>
      <c r="M1208"/>
      <c r="N1208"/>
      <c r="O1208"/>
      <c r="P1208" s="36"/>
      <c r="Q1208" s="37"/>
      <c r="R1208"/>
      <c r="S1208"/>
      <c r="T1208"/>
      <c r="U1208"/>
      <c r="V1208" s="39"/>
      <c r="W1208"/>
      <c r="X1208"/>
      <c r="Y1208"/>
      <c r="Z1208"/>
      <c r="AA1208"/>
    </row>
    <row r="1209" spans="1:27" x14ac:dyDescent="0.25">
      <c r="A1209"/>
      <c r="B1209" s="36"/>
      <c r="C1209" s="36"/>
      <c r="D1209"/>
      <c r="E1209"/>
      <c r="F1209"/>
      <c r="G1209"/>
      <c r="H1209"/>
      <c r="I1209"/>
      <c r="J1209"/>
      <c r="K1209"/>
      <c r="L1209"/>
      <c r="M1209"/>
      <c r="N1209"/>
      <c r="O1209"/>
      <c r="P1209" s="36"/>
      <c r="Q1209" s="37"/>
      <c r="R1209"/>
      <c r="S1209"/>
      <c r="T1209"/>
      <c r="U1209"/>
      <c r="V1209" s="39"/>
      <c r="W1209"/>
      <c r="X1209"/>
      <c r="Y1209"/>
      <c r="Z1209"/>
      <c r="AA1209"/>
    </row>
    <row r="1210" spans="1:27" x14ac:dyDescent="0.25">
      <c r="A1210"/>
      <c r="B1210" s="36"/>
      <c r="C1210" s="36"/>
      <c r="D1210"/>
      <c r="E1210"/>
      <c r="F1210"/>
      <c r="G1210"/>
      <c r="H1210"/>
      <c r="I1210"/>
      <c r="J1210"/>
      <c r="K1210"/>
      <c r="L1210"/>
      <c r="M1210"/>
      <c r="N1210"/>
      <c r="O1210"/>
      <c r="P1210" s="36"/>
      <c r="Q1210" s="37"/>
      <c r="R1210"/>
      <c r="S1210"/>
      <c r="T1210"/>
      <c r="U1210"/>
      <c r="V1210" s="39"/>
      <c r="W1210"/>
      <c r="X1210"/>
      <c r="Y1210"/>
      <c r="Z1210"/>
      <c r="AA1210"/>
    </row>
    <row r="1211" spans="1:27" x14ac:dyDescent="0.25">
      <c r="A1211"/>
      <c r="B1211" s="36"/>
      <c r="C1211" s="36"/>
      <c r="D1211"/>
      <c r="E1211"/>
      <c r="F1211"/>
      <c r="G1211"/>
      <c r="H1211"/>
      <c r="I1211"/>
      <c r="J1211"/>
      <c r="K1211"/>
      <c r="L1211"/>
      <c r="M1211"/>
      <c r="N1211"/>
      <c r="O1211"/>
      <c r="P1211" s="36"/>
      <c r="Q1211" s="37"/>
      <c r="R1211"/>
      <c r="S1211"/>
      <c r="T1211"/>
      <c r="U1211"/>
      <c r="V1211" s="39"/>
      <c r="W1211"/>
      <c r="X1211"/>
      <c r="Y1211"/>
      <c r="Z1211"/>
      <c r="AA1211"/>
    </row>
    <row r="1212" spans="1:27" x14ac:dyDescent="0.25">
      <c r="A1212"/>
      <c r="B1212" s="36"/>
      <c r="C1212" s="36"/>
      <c r="D1212"/>
      <c r="E1212"/>
      <c r="F1212"/>
      <c r="G1212"/>
      <c r="H1212"/>
      <c r="I1212"/>
      <c r="J1212"/>
      <c r="K1212"/>
      <c r="L1212"/>
      <c r="M1212"/>
      <c r="N1212"/>
      <c r="O1212"/>
      <c r="P1212" s="36"/>
      <c r="Q1212" s="37"/>
      <c r="R1212"/>
      <c r="S1212"/>
      <c r="T1212"/>
      <c r="U1212"/>
      <c r="V1212" s="39"/>
      <c r="W1212"/>
      <c r="X1212"/>
      <c r="Y1212"/>
      <c r="Z1212"/>
      <c r="AA1212"/>
    </row>
    <row r="1213" spans="1:27" x14ac:dyDescent="0.25">
      <c r="A1213"/>
      <c r="B1213" s="36"/>
      <c r="C1213" s="36"/>
      <c r="D1213"/>
      <c r="E1213"/>
      <c r="F1213"/>
      <c r="G1213"/>
      <c r="H1213"/>
      <c r="I1213"/>
      <c r="J1213"/>
      <c r="K1213"/>
      <c r="L1213"/>
      <c r="M1213"/>
      <c r="N1213"/>
      <c r="O1213"/>
      <c r="P1213" s="36"/>
      <c r="Q1213" s="37"/>
      <c r="R1213"/>
      <c r="S1213"/>
      <c r="T1213"/>
      <c r="U1213"/>
      <c r="V1213" s="39"/>
      <c r="W1213"/>
      <c r="X1213"/>
      <c r="Y1213"/>
      <c r="Z1213"/>
      <c r="AA1213"/>
    </row>
    <row r="1214" spans="1:27" x14ac:dyDescent="0.25">
      <c r="A1214"/>
      <c r="B1214" s="36"/>
      <c r="C1214" s="36"/>
      <c r="D1214"/>
      <c r="E1214"/>
      <c r="F1214"/>
      <c r="G1214"/>
      <c r="H1214"/>
      <c r="I1214"/>
      <c r="J1214"/>
      <c r="K1214"/>
      <c r="L1214"/>
      <c r="M1214"/>
      <c r="N1214"/>
      <c r="O1214"/>
      <c r="P1214" s="36"/>
      <c r="Q1214" s="37"/>
      <c r="R1214"/>
      <c r="S1214"/>
      <c r="T1214"/>
      <c r="U1214"/>
      <c r="V1214" s="39"/>
      <c r="W1214"/>
      <c r="X1214"/>
      <c r="Y1214"/>
      <c r="Z1214"/>
      <c r="AA1214"/>
    </row>
    <row r="1215" spans="1:27" x14ac:dyDescent="0.25">
      <c r="A1215"/>
      <c r="B1215" s="36"/>
      <c r="C1215" s="36"/>
      <c r="D1215"/>
      <c r="E1215"/>
      <c r="F1215"/>
      <c r="G1215"/>
      <c r="H1215"/>
      <c r="I1215"/>
      <c r="J1215"/>
      <c r="K1215"/>
      <c r="L1215"/>
      <c r="M1215"/>
      <c r="N1215"/>
      <c r="O1215"/>
      <c r="P1215" s="36"/>
      <c r="Q1215" s="37"/>
      <c r="R1215"/>
      <c r="S1215"/>
      <c r="T1215"/>
      <c r="U1215"/>
      <c r="V1215" s="39"/>
      <c r="W1215"/>
      <c r="X1215"/>
      <c r="Y1215"/>
      <c r="Z1215"/>
      <c r="AA1215"/>
    </row>
    <row r="1216" spans="1:27" x14ac:dyDescent="0.25">
      <c r="A1216"/>
      <c r="B1216" s="36"/>
      <c r="C1216" s="36"/>
      <c r="D1216"/>
      <c r="E1216"/>
      <c r="F1216"/>
      <c r="G1216"/>
      <c r="H1216"/>
      <c r="I1216"/>
      <c r="J1216"/>
      <c r="K1216"/>
      <c r="L1216"/>
      <c r="M1216"/>
      <c r="N1216"/>
      <c r="O1216"/>
      <c r="P1216" s="36"/>
      <c r="Q1216" s="37"/>
      <c r="R1216"/>
      <c r="S1216"/>
      <c r="T1216"/>
      <c r="U1216"/>
      <c r="V1216" s="39"/>
      <c r="W1216"/>
      <c r="X1216"/>
      <c r="Y1216"/>
      <c r="Z1216"/>
      <c r="AA1216"/>
    </row>
    <row r="1217" spans="1:27" x14ac:dyDescent="0.25">
      <c r="A1217"/>
      <c r="B1217" s="36"/>
      <c r="C1217" s="36"/>
      <c r="D1217"/>
      <c r="E1217"/>
      <c r="F1217"/>
      <c r="G1217"/>
      <c r="H1217"/>
      <c r="I1217"/>
      <c r="J1217"/>
      <c r="K1217"/>
      <c r="L1217"/>
      <c r="M1217"/>
      <c r="N1217"/>
      <c r="O1217"/>
      <c r="P1217" s="36"/>
      <c r="Q1217" s="37"/>
      <c r="R1217"/>
      <c r="S1217"/>
      <c r="T1217"/>
      <c r="U1217"/>
      <c r="V1217" s="39"/>
      <c r="W1217"/>
      <c r="X1217"/>
      <c r="Y1217"/>
      <c r="Z1217"/>
      <c r="AA1217"/>
    </row>
    <row r="1218" spans="1:27" x14ac:dyDescent="0.25">
      <c r="A1218"/>
      <c r="B1218" s="36"/>
      <c r="C1218" s="36"/>
      <c r="D1218"/>
      <c r="E1218"/>
      <c r="F1218"/>
      <c r="G1218"/>
      <c r="H1218"/>
      <c r="I1218"/>
      <c r="J1218"/>
      <c r="K1218"/>
      <c r="L1218"/>
      <c r="M1218"/>
      <c r="N1218"/>
      <c r="O1218"/>
      <c r="P1218" s="36"/>
      <c r="Q1218" s="37"/>
      <c r="R1218"/>
      <c r="S1218"/>
      <c r="T1218"/>
      <c r="U1218"/>
      <c r="V1218" s="39"/>
      <c r="W1218"/>
      <c r="X1218"/>
      <c r="Y1218"/>
      <c r="Z1218"/>
      <c r="AA1218"/>
    </row>
    <row r="1219" spans="1:27" x14ac:dyDescent="0.25">
      <c r="A1219"/>
      <c r="B1219" s="36"/>
      <c r="C1219" s="36"/>
      <c r="D1219"/>
      <c r="E1219"/>
      <c r="F1219"/>
      <c r="G1219"/>
      <c r="H1219"/>
      <c r="I1219"/>
      <c r="J1219"/>
      <c r="K1219"/>
      <c r="L1219"/>
      <c r="M1219"/>
      <c r="N1219"/>
      <c r="O1219"/>
      <c r="P1219" s="36"/>
      <c r="Q1219" s="37"/>
      <c r="R1219"/>
      <c r="S1219"/>
      <c r="T1219"/>
      <c r="U1219"/>
      <c r="V1219" s="39"/>
      <c r="W1219"/>
      <c r="X1219"/>
      <c r="Y1219"/>
      <c r="Z1219"/>
      <c r="AA1219"/>
    </row>
    <row r="1220" spans="1:27" x14ac:dyDescent="0.25">
      <c r="A1220"/>
      <c r="B1220" s="36"/>
      <c r="C1220" s="36"/>
      <c r="D1220"/>
      <c r="E1220"/>
      <c r="F1220"/>
      <c r="G1220"/>
      <c r="H1220"/>
      <c r="I1220"/>
      <c r="J1220"/>
      <c r="K1220"/>
      <c r="L1220"/>
      <c r="M1220"/>
      <c r="N1220"/>
      <c r="O1220"/>
      <c r="P1220" s="36"/>
      <c r="Q1220" s="37"/>
      <c r="R1220"/>
      <c r="S1220"/>
      <c r="T1220"/>
      <c r="U1220"/>
      <c r="V1220" s="39"/>
      <c r="W1220"/>
      <c r="X1220"/>
      <c r="Y1220"/>
      <c r="Z1220"/>
      <c r="AA1220"/>
    </row>
    <row r="1221" spans="1:27" x14ac:dyDescent="0.25">
      <c r="A1221"/>
      <c r="B1221" s="36"/>
      <c r="C1221" s="36"/>
      <c r="D1221"/>
      <c r="E1221"/>
      <c r="F1221"/>
      <c r="G1221"/>
      <c r="H1221"/>
      <c r="I1221"/>
      <c r="J1221"/>
      <c r="K1221"/>
      <c r="L1221"/>
      <c r="M1221"/>
      <c r="N1221"/>
      <c r="O1221"/>
      <c r="P1221" s="36"/>
      <c r="Q1221" s="37"/>
      <c r="R1221"/>
      <c r="S1221"/>
      <c r="T1221"/>
      <c r="U1221"/>
      <c r="V1221" s="39"/>
      <c r="W1221"/>
      <c r="X1221"/>
      <c r="Y1221"/>
      <c r="Z1221"/>
      <c r="AA1221"/>
    </row>
    <row r="1222" spans="1:27" x14ac:dyDescent="0.25">
      <c r="A1222"/>
      <c r="B1222" s="36"/>
      <c r="C1222" s="36"/>
      <c r="D1222"/>
      <c r="E1222"/>
      <c r="F1222"/>
      <c r="G1222"/>
      <c r="H1222"/>
      <c r="I1222"/>
      <c r="J1222"/>
      <c r="K1222"/>
      <c r="L1222"/>
      <c r="M1222"/>
      <c r="N1222"/>
      <c r="O1222"/>
      <c r="P1222" s="36"/>
      <c r="Q1222" s="37"/>
      <c r="R1222"/>
      <c r="S1222"/>
      <c r="T1222"/>
      <c r="U1222"/>
      <c r="V1222" s="39"/>
      <c r="W1222"/>
      <c r="X1222"/>
      <c r="Y1222"/>
      <c r="Z1222"/>
      <c r="AA1222"/>
    </row>
    <row r="1223" spans="1:27" x14ac:dyDescent="0.25">
      <c r="A1223"/>
      <c r="B1223" s="36"/>
      <c r="C1223" s="36"/>
      <c r="D1223"/>
      <c r="E1223"/>
      <c r="F1223"/>
      <c r="G1223"/>
      <c r="H1223"/>
      <c r="I1223"/>
      <c r="J1223"/>
      <c r="K1223"/>
      <c r="L1223"/>
      <c r="M1223"/>
      <c r="N1223"/>
      <c r="O1223"/>
      <c r="P1223" s="36"/>
      <c r="Q1223" s="37"/>
      <c r="R1223"/>
      <c r="S1223"/>
      <c r="T1223"/>
      <c r="U1223"/>
      <c r="V1223" s="39"/>
      <c r="W1223"/>
      <c r="X1223"/>
      <c r="Y1223"/>
      <c r="Z1223"/>
      <c r="AA1223"/>
    </row>
    <row r="1224" spans="1:27" x14ac:dyDescent="0.25">
      <c r="A1224"/>
      <c r="B1224" s="36"/>
      <c r="C1224" s="36"/>
      <c r="D1224"/>
      <c r="E1224"/>
      <c r="F1224"/>
      <c r="G1224"/>
      <c r="H1224"/>
      <c r="I1224"/>
      <c r="J1224"/>
      <c r="K1224"/>
      <c r="L1224"/>
      <c r="M1224"/>
      <c r="N1224"/>
      <c r="O1224"/>
      <c r="P1224" s="36"/>
      <c r="Q1224" s="37"/>
      <c r="R1224"/>
      <c r="S1224"/>
      <c r="T1224"/>
      <c r="U1224"/>
      <c r="V1224" s="39"/>
      <c r="W1224"/>
      <c r="X1224"/>
      <c r="Y1224"/>
      <c r="Z1224"/>
      <c r="AA1224"/>
    </row>
    <row r="1225" spans="1:27" x14ac:dyDescent="0.25">
      <c r="A1225"/>
      <c r="B1225" s="36"/>
      <c r="C1225" s="36"/>
      <c r="D1225"/>
      <c r="E1225"/>
      <c r="F1225"/>
      <c r="G1225"/>
      <c r="H1225"/>
      <c r="I1225"/>
      <c r="J1225"/>
      <c r="K1225"/>
      <c r="L1225"/>
      <c r="M1225"/>
      <c r="N1225"/>
      <c r="O1225"/>
      <c r="P1225" s="36"/>
      <c r="Q1225" s="37"/>
      <c r="R1225"/>
      <c r="S1225"/>
      <c r="T1225"/>
      <c r="U1225"/>
      <c r="V1225" s="39"/>
      <c r="W1225"/>
      <c r="X1225"/>
      <c r="Y1225"/>
      <c r="Z1225"/>
      <c r="AA1225"/>
    </row>
    <row r="1226" spans="1:27" x14ac:dyDescent="0.25">
      <c r="A1226"/>
      <c r="B1226" s="36"/>
      <c r="C1226" s="36"/>
      <c r="D1226"/>
      <c r="E1226"/>
      <c r="F1226"/>
      <c r="G1226"/>
      <c r="H1226"/>
      <c r="I1226"/>
      <c r="J1226"/>
      <c r="K1226"/>
      <c r="L1226"/>
      <c r="M1226"/>
      <c r="N1226"/>
      <c r="O1226"/>
      <c r="P1226" s="36"/>
      <c r="Q1226" s="37"/>
      <c r="R1226"/>
      <c r="S1226"/>
      <c r="T1226"/>
      <c r="U1226"/>
      <c r="V1226" s="39"/>
      <c r="W1226"/>
      <c r="X1226"/>
      <c r="Y1226"/>
      <c r="Z1226"/>
      <c r="AA1226"/>
    </row>
    <row r="1227" spans="1:27" x14ac:dyDescent="0.25">
      <c r="A1227"/>
      <c r="B1227" s="36"/>
      <c r="C1227" s="36"/>
      <c r="D1227"/>
      <c r="E1227"/>
      <c r="F1227"/>
      <c r="G1227"/>
      <c r="H1227"/>
      <c r="I1227"/>
      <c r="J1227"/>
      <c r="K1227"/>
      <c r="L1227"/>
      <c r="M1227"/>
      <c r="N1227"/>
      <c r="O1227"/>
      <c r="P1227" s="36"/>
      <c r="Q1227" s="37"/>
      <c r="R1227"/>
      <c r="S1227"/>
      <c r="T1227"/>
      <c r="U1227"/>
      <c r="V1227" s="39"/>
      <c r="W1227"/>
      <c r="X1227"/>
      <c r="Y1227"/>
      <c r="Z1227"/>
      <c r="AA1227"/>
    </row>
    <row r="1228" spans="1:27" x14ac:dyDescent="0.25">
      <c r="A1228"/>
      <c r="B1228" s="36"/>
      <c r="C1228" s="36"/>
      <c r="D1228"/>
      <c r="E1228"/>
      <c r="F1228"/>
      <c r="G1228"/>
      <c r="H1228"/>
      <c r="I1228"/>
      <c r="J1228"/>
      <c r="K1228"/>
      <c r="L1228"/>
      <c r="M1228"/>
      <c r="N1228"/>
      <c r="O1228"/>
      <c r="P1228" s="36"/>
      <c r="Q1228" s="37"/>
      <c r="R1228"/>
      <c r="S1228"/>
      <c r="T1228"/>
      <c r="U1228"/>
      <c r="V1228" s="39"/>
      <c r="W1228"/>
      <c r="X1228"/>
      <c r="Y1228"/>
      <c r="Z1228"/>
      <c r="AA1228"/>
    </row>
    <row r="1229" spans="1:27" x14ac:dyDescent="0.25">
      <c r="A1229"/>
      <c r="B1229" s="36"/>
      <c r="C1229" s="36"/>
      <c r="D1229"/>
      <c r="E1229"/>
      <c r="F1229"/>
      <c r="G1229"/>
      <c r="H1229"/>
      <c r="I1229"/>
      <c r="J1229"/>
      <c r="K1229"/>
      <c r="L1229"/>
      <c r="M1229"/>
      <c r="N1229"/>
      <c r="O1229"/>
      <c r="P1229" s="36"/>
      <c r="Q1229" s="37"/>
      <c r="R1229"/>
      <c r="S1229"/>
      <c r="T1229"/>
      <c r="U1229"/>
      <c r="V1229" s="39"/>
      <c r="W1229"/>
      <c r="X1229"/>
      <c r="Y1229"/>
      <c r="Z1229"/>
      <c r="AA1229"/>
    </row>
    <row r="1230" spans="1:27" x14ac:dyDescent="0.25">
      <c r="A1230"/>
      <c r="B1230" s="36"/>
      <c r="C1230" s="36"/>
      <c r="D1230"/>
      <c r="E1230"/>
      <c r="F1230"/>
      <c r="G1230"/>
      <c r="H1230"/>
      <c r="I1230"/>
      <c r="J1230"/>
      <c r="K1230"/>
      <c r="L1230"/>
      <c r="M1230"/>
      <c r="N1230"/>
      <c r="O1230"/>
      <c r="P1230" s="36"/>
      <c r="Q1230" s="37"/>
      <c r="R1230"/>
      <c r="S1230"/>
      <c r="T1230"/>
      <c r="U1230"/>
      <c r="V1230" s="39"/>
      <c r="W1230"/>
      <c r="X1230"/>
      <c r="Y1230"/>
      <c r="Z1230"/>
      <c r="AA1230"/>
    </row>
    <row r="1231" spans="1:27" x14ac:dyDescent="0.25">
      <c r="A1231"/>
      <c r="B1231" s="36"/>
      <c r="C1231" s="36"/>
      <c r="D1231"/>
      <c r="E1231"/>
      <c r="F1231"/>
      <c r="G1231"/>
      <c r="H1231"/>
      <c r="I1231"/>
      <c r="J1231"/>
      <c r="K1231"/>
      <c r="L1231"/>
      <c r="M1231"/>
      <c r="N1231"/>
      <c r="O1231"/>
      <c r="P1231" s="36"/>
      <c r="Q1231" s="37"/>
      <c r="R1231"/>
      <c r="S1231"/>
      <c r="T1231"/>
      <c r="U1231"/>
      <c r="V1231" s="39"/>
      <c r="W1231"/>
      <c r="X1231"/>
      <c r="Y1231"/>
      <c r="Z1231"/>
      <c r="AA1231"/>
    </row>
    <row r="1232" spans="1:27" x14ac:dyDescent="0.25">
      <c r="A1232"/>
      <c r="B1232" s="36"/>
      <c r="C1232" s="36"/>
      <c r="D1232"/>
      <c r="E1232"/>
      <c r="F1232"/>
      <c r="G1232"/>
      <c r="H1232"/>
      <c r="I1232"/>
      <c r="J1232"/>
      <c r="K1232"/>
      <c r="L1232"/>
      <c r="M1232"/>
      <c r="N1232"/>
      <c r="O1232"/>
      <c r="P1232" s="36"/>
      <c r="Q1232" s="37"/>
      <c r="R1232"/>
      <c r="S1232"/>
      <c r="T1232"/>
      <c r="U1232"/>
      <c r="V1232" s="39"/>
      <c r="W1232"/>
      <c r="X1232"/>
      <c r="Y1232"/>
      <c r="Z1232"/>
      <c r="AA1232"/>
    </row>
    <row r="1233" spans="1:27" x14ac:dyDescent="0.25">
      <c r="A1233"/>
      <c r="B1233" s="36"/>
      <c r="C1233" s="36"/>
      <c r="D1233"/>
      <c r="E1233"/>
      <c r="F1233"/>
      <c r="G1233"/>
      <c r="H1233"/>
      <c r="I1233"/>
      <c r="J1233"/>
      <c r="K1233"/>
      <c r="L1233"/>
      <c r="M1233"/>
      <c r="N1233"/>
      <c r="O1233"/>
      <c r="P1233" s="36"/>
      <c r="Q1233" s="37"/>
      <c r="R1233"/>
      <c r="S1233"/>
      <c r="T1233"/>
      <c r="U1233"/>
      <c r="V1233" s="39"/>
      <c r="W1233"/>
      <c r="X1233"/>
      <c r="Y1233"/>
      <c r="Z1233"/>
      <c r="AA1233"/>
    </row>
    <row r="1234" spans="1:27" x14ac:dyDescent="0.25">
      <c r="A1234"/>
      <c r="B1234" s="36"/>
      <c r="C1234" s="36"/>
      <c r="D1234"/>
      <c r="E1234"/>
      <c r="F1234"/>
      <c r="G1234"/>
      <c r="H1234"/>
      <c r="I1234"/>
      <c r="J1234"/>
      <c r="K1234"/>
      <c r="L1234"/>
      <c r="M1234"/>
      <c r="N1234"/>
      <c r="O1234"/>
      <c r="P1234" s="36"/>
      <c r="Q1234" s="37"/>
      <c r="R1234"/>
      <c r="S1234"/>
      <c r="T1234"/>
      <c r="U1234"/>
      <c r="V1234" s="39"/>
      <c r="W1234"/>
      <c r="X1234"/>
      <c r="Y1234"/>
      <c r="Z1234"/>
      <c r="AA1234"/>
    </row>
    <row r="1235" spans="1:27" x14ac:dyDescent="0.25">
      <c r="A1235"/>
      <c r="B1235" s="36"/>
      <c r="C1235" s="36"/>
      <c r="D1235"/>
      <c r="E1235"/>
      <c r="F1235"/>
      <c r="G1235"/>
      <c r="H1235"/>
      <c r="I1235"/>
      <c r="J1235"/>
      <c r="K1235"/>
      <c r="L1235"/>
      <c r="M1235"/>
      <c r="N1235"/>
      <c r="O1235"/>
      <c r="P1235" s="36"/>
      <c r="Q1235" s="37"/>
      <c r="R1235" s="44"/>
      <c r="S1235"/>
      <c r="T1235"/>
      <c r="U1235"/>
      <c r="V1235" s="39"/>
      <c r="W1235"/>
      <c r="X1235"/>
      <c r="Y1235"/>
      <c r="Z1235"/>
      <c r="AA1235" s="44"/>
    </row>
    <row r="1236" spans="1:27" x14ac:dyDescent="0.25">
      <c r="A1236"/>
      <c r="B1236" s="36"/>
      <c r="C1236" s="36"/>
      <c r="D1236"/>
      <c r="E1236"/>
      <c r="F1236"/>
      <c r="G1236"/>
      <c r="H1236"/>
      <c r="I1236"/>
      <c r="J1236"/>
      <c r="K1236"/>
      <c r="L1236"/>
      <c r="M1236"/>
      <c r="N1236"/>
      <c r="O1236"/>
      <c r="P1236" s="36"/>
      <c r="Q1236" s="37"/>
      <c r="R1236" s="44"/>
      <c r="S1236"/>
      <c r="T1236"/>
      <c r="U1236"/>
      <c r="V1236" s="39"/>
      <c r="W1236"/>
      <c r="X1236"/>
      <c r="Y1236"/>
      <c r="Z1236"/>
      <c r="AA1236"/>
    </row>
    <row r="1237" spans="1:27" x14ac:dyDescent="0.25">
      <c r="A1237"/>
      <c r="B1237" s="36"/>
      <c r="C1237" s="36"/>
      <c r="D1237"/>
      <c r="E1237"/>
      <c r="F1237"/>
      <c r="G1237"/>
      <c r="H1237"/>
      <c r="I1237"/>
      <c r="J1237"/>
      <c r="K1237"/>
      <c r="L1237"/>
      <c r="M1237"/>
      <c r="N1237"/>
      <c r="O1237"/>
      <c r="P1237" s="36"/>
      <c r="Q1237" s="37"/>
      <c r="R1237"/>
      <c r="S1237"/>
      <c r="T1237"/>
      <c r="U1237"/>
      <c r="V1237" s="39"/>
      <c r="W1237"/>
      <c r="X1237"/>
      <c r="Y1237"/>
      <c r="Z1237"/>
      <c r="AA1237"/>
    </row>
    <row r="1238" spans="1:27" x14ac:dyDescent="0.25">
      <c r="A1238"/>
      <c r="B1238" s="36"/>
      <c r="C1238" s="36"/>
      <c r="D1238"/>
      <c r="E1238"/>
      <c r="F1238"/>
      <c r="G1238"/>
      <c r="H1238"/>
      <c r="I1238"/>
      <c r="J1238"/>
      <c r="K1238"/>
      <c r="L1238"/>
      <c r="M1238"/>
      <c r="N1238"/>
      <c r="O1238"/>
      <c r="P1238" s="36"/>
      <c r="Q1238" s="37"/>
      <c r="R1238"/>
      <c r="S1238"/>
      <c r="T1238"/>
      <c r="U1238"/>
      <c r="V1238" s="39"/>
      <c r="W1238"/>
      <c r="X1238"/>
      <c r="Y1238"/>
      <c r="Z1238"/>
      <c r="AA1238"/>
    </row>
    <row r="1239" spans="1:27" x14ac:dyDescent="0.25">
      <c r="A1239"/>
      <c r="B1239" s="36"/>
      <c r="C1239" s="36"/>
      <c r="D1239"/>
      <c r="E1239"/>
      <c r="F1239"/>
      <c r="G1239"/>
      <c r="H1239"/>
      <c r="I1239"/>
      <c r="J1239"/>
      <c r="K1239"/>
      <c r="L1239"/>
      <c r="M1239"/>
      <c r="N1239"/>
      <c r="O1239"/>
      <c r="P1239" s="36"/>
      <c r="Q1239" s="37"/>
      <c r="R1239"/>
      <c r="S1239"/>
      <c r="T1239"/>
      <c r="U1239"/>
      <c r="V1239" s="39"/>
      <c r="W1239"/>
      <c r="X1239"/>
      <c r="Y1239"/>
      <c r="Z1239"/>
      <c r="AA1239"/>
    </row>
    <row r="1240" spans="1:27" x14ac:dyDescent="0.25">
      <c r="A1240"/>
      <c r="B1240" s="36"/>
      <c r="C1240" s="36"/>
      <c r="D1240"/>
      <c r="E1240"/>
      <c r="F1240"/>
      <c r="G1240"/>
      <c r="H1240"/>
      <c r="I1240"/>
      <c r="J1240"/>
      <c r="K1240"/>
      <c r="L1240"/>
      <c r="M1240"/>
      <c r="N1240"/>
      <c r="O1240"/>
      <c r="P1240" s="36"/>
      <c r="Q1240" s="37"/>
      <c r="R1240"/>
      <c r="S1240"/>
      <c r="T1240"/>
      <c r="U1240"/>
      <c r="V1240" s="39"/>
      <c r="W1240"/>
      <c r="X1240"/>
      <c r="Y1240"/>
      <c r="Z1240"/>
      <c r="AA1240"/>
    </row>
    <row r="1241" spans="1:27" x14ac:dyDescent="0.25">
      <c r="A1241"/>
      <c r="B1241" s="36"/>
      <c r="C1241" s="36"/>
      <c r="D1241"/>
      <c r="E1241"/>
      <c r="F1241"/>
      <c r="G1241"/>
      <c r="H1241"/>
      <c r="I1241"/>
      <c r="J1241"/>
      <c r="K1241"/>
      <c r="L1241"/>
      <c r="M1241"/>
      <c r="N1241"/>
      <c r="O1241"/>
      <c r="P1241" s="36"/>
      <c r="Q1241" s="37"/>
      <c r="R1241"/>
      <c r="S1241"/>
      <c r="T1241"/>
      <c r="U1241"/>
      <c r="V1241" s="39"/>
      <c r="W1241"/>
      <c r="X1241"/>
      <c r="Y1241"/>
      <c r="Z1241"/>
      <c r="AA1241"/>
    </row>
    <row r="1242" spans="1:27" x14ac:dyDescent="0.25">
      <c r="A1242"/>
      <c r="B1242" s="36"/>
      <c r="C1242" s="36"/>
      <c r="D1242"/>
      <c r="E1242"/>
      <c r="F1242"/>
      <c r="G1242"/>
      <c r="H1242"/>
      <c r="I1242"/>
      <c r="J1242"/>
      <c r="K1242"/>
      <c r="L1242"/>
      <c r="M1242"/>
      <c r="N1242"/>
      <c r="O1242"/>
      <c r="P1242" s="36"/>
      <c r="Q1242" s="37"/>
      <c r="R1242"/>
      <c r="S1242"/>
      <c r="T1242"/>
      <c r="U1242"/>
      <c r="V1242" s="39"/>
      <c r="W1242"/>
      <c r="X1242"/>
      <c r="Y1242"/>
      <c r="Z1242"/>
      <c r="AA1242"/>
    </row>
    <row r="1243" spans="1:27" x14ac:dyDescent="0.25">
      <c r="A1243"/>
      <c r="B1243" s="36"/>
      <c r="C1243" s="36"/>
      <c r="D1243"/>
      <c r="E1243"/>
      <c r="F1243"/>
      <c r="G1243"/>
      <c r="H1243"/>
      <c r="I1243"/>
      <c r="J1243"/>
      <c r="K1243"/>
      <c r="L1243"/>
      <c r="M1243"/>
      <c r="N1243"/>
      <c r="O1243"/>
      <c r="P1243" s="36"/>
      <c r="Q1243" s="37"/>
      <c r="R1243"/>
      <c r="S1243"/>
      <c r="T1243"/>
      <c r="U1243"/>
      <c r="V1243" s="39"/>
      <c r="W1243"/>
      <c r="X1243"/>
      <c r="Y1243"/>
      <c r="Z1243"/>
      <c r="AA1243"/>
    </row>
    <row r="1244" spans="1:27" x14ac:dyDescent="0.25">
      <c r="A1244"/>
      <c r="B1244" s="36"/>
      <c r="C1244" s="36"/>
      <c r="D1244"/>
      <c r="E1244"/>
      <c r="F1244"/>
      <c r="G1244"/>
      <c r="H1244"/>
      <c r="I1244"/>
      <c r="J1244"/>
      <c r="K1244"/>
      <c r="L1244"/>
      <c r="M1244"/>
      <c r="N1244"/>
      <c r="O1244"/>
      <c r="P1244" s="36"/>
      <c r="Q1244" s="37"/>
      <c r="R1244"/>
      <c r="S1244"/>
      <c r="T1244"/>
      <c r="U1244"/>
      <c r="V1244" s="39"/>
      <c r="W1244"/>
      <c r="X1244"/>
      <c r="Y1244"/>
      <c r="Z1244"/>
      <c r="AA1244"/>
    </row>
    <row r="1245" spans="1:27" x14ac:dyDescent="0.25">
      <c r="A1245"/>
      <c r="B1245" s="36"/>
      <c r="C1245" s="36"/>
      <c r="D1245"/>
      <c r="E1245"/>
      <c r="F1245"/>
      <c r="G1245"/>
      <c r="H1245"/>
      <c r="I1245"/>
      <c r="J1245"/>
      <c r="K1245"/>
      <c r="L1245"/>
      <c r="M1245"/>
      <c r="N1245"/>
      <c r="O1245"/>
      <c r="P1245" s="36"/>
      <c r="Q1245" s="37"/>
      <c r="R1245"/>
      <c r="S1245"/>
      <c r="T1245"/>
      <c r="U1245"/>
      <c r="V1245" s="39"/>
      <c r="W1245"/>
      <c r="X1245"/>
      <c r="Y1245"/>
      <c r="Z1245"/>
      <c r="AA1245"/>
    </row>
    <row r="1246" spans="1:27" x14ac:dyDescent="0.25">
      <c r="A1246"/>
      <c r="B1246" s="36"/>
      <c r="C1246" s="36"/>
      <c r="D1246"/>
      <c r="E1246"/>
      <c r="F1246"/>
      <c r="G1246"/>
      <c r="H1246"/>
      <c r="I1246"/>
      <c r="J1246"/>
      <c r="K1246"/>
      <c r="L1246"/>
      <c r="M1246"/>
      <c r="N1246"/>
      <c r="O1246"/>
      <c r="P1246" s="36"/>
      <c r="Q1246" s="37"/>
      <c r="R1246"/>
      <c r="S1246"/>
      <c r="T1246"/>
      <c r="U1246"/>
      <c r="V1246" s="39"/>
      <c r="W1246"/>
      <c r="X1246"/>
      <c r="Y1246"/>
      <c r="Z1246"/>
      <c r="AA1246"/>
    </row>
    <row r="1247" spans="1:27" x14ac:dyDescent="0.25">
      <c r="A1247"/>
      <c r="B1247" s="36"/>
      <c r="C1247" s="36"/>
      <c r="D1247"/>
      <c r="E1247"/>
      <c r="F1247"/>
      <c r="G1247"/>
      <c r="H1247"/>
      <c r="I1247"/>
      <c r="J1247"/>
      <c r="K1247"/>
      <c r="L1247"/>
      <c r="M1247"/>
      <c r="N1247"/>
      <c r="O1247"/>
      <c r="P1247" s="36"/>
      <c r="Q1247" s="37"/>
      <c r="R1247"/>
      <c r="S1247"/>
      <c r="T1247"/>
      <c r="U1247"/>
      <c r="V1247" s="39"/>
      <c r="W1247"/>
      <c r="X1247"/>
      <c r="Y1247"/>
      <c r="Z1247"/>
      <c r="AA1247"/>
    </row>
    <row r="1248" spans="1:27" x14ac:dyDescent="0.25">
      <c r="A1248"/>
      <c r="B1248" s="36"/>
      <c r="C1248" s="36"/>
      <c r="D1248"/>
      <c r="E1248"/>
      <c r="F1248"/>
      <c r="G1248"/>
      <c r="H1248"/>
      <c r="I1248"/>
      <c r="J1248"/>
      <c r="K1248"/>
      <c r="L1248"/>
      <c r="M1248"/>
      <c r="N1248"/>
      <c r="O1248"/>
      <c r="P1248" s="36"/>
      <c r="Q1248" s="37"/>
      <c r="R1248"/>
      <c r="S1248"/>
      <c r="T1248"/>
      <c r="U1248"/>
      <c r="V1248" s="39"/>
      <c r="W1248"/>
      <c r="X1248"/>
      <c r="Y1248"/>
      <c r="Z1248"/>
      <c r="AA1248"/>
    </row>
    <row r="1249" spans="1:27" x14ac:dyDescent="0.25">
      <c r="A1249"/>
      <c r="B1249" s="36"/>
      <c r="C1249" s="36"/>
      <c r="D1249"/>
      <c r="E1249"/>
      <c r="F1249"/>
      <c r="G1249"/>
      <c r="H1249"/>
      <c r="I1249"/>
      <c r="J1249"/>
      <c r="K1249"/>
      <c r="L1249"/>
      <c r="M1249"/>
      <c r="N1249"/>
      <c r="O1249"/>
      <c r="P1249" s="36"/>
      <c r="Q1249" s="37"/>
      <c r="R1249"/>
      <c r="S1249"/>
      <c r="T1249"/>
      <c r="U1249"/>
      <c r="V1249" s="39"/>
      <c r="W1249"/>
      <c r="X1249"/>
      <c r="Y1249"/>
      <c r="Z1249"/>
      <c r="AA1249"/>
    </row>
    <row r="1250" spans="1:27" x14ac:dyDescent="0.25">
      <c r="A1250"/>
      <c r="B1250" s="36"/>
      <c r="C1250" s="36"/>
      <c r="D1250"/>
      <c r="E1250"/>
      <c r="F1250"/>
      <c r="G1250"/>
      <c r="H1250"/>
      <c r="I1250"/>
      <c r="J1250"/>
      <c r="K1250"/>
      <c r="L1250"/>
      <c r="M1250"/>
      <c r="N1250"/>
      <c r="O1250"/>
      <c r="P1250" s="36"/>
      <c r="Q1250" s="37"/>
      <c r="R1250" s="44"/>
      <c r="S1250"/>
      <c r="T1250"/>
      <c r="U1250"/>
      <c r="V1250" s="39"/>
      <c r="W1250"/>
      <c r="X1250"/>
      <c r="Y1250"/>
      <c r="Z1250"/>
      <c r="AA1250"/>
    </row>
    <row r="1251" spans="1:27" x14ac:dyDescent="0.25">
      <c r="A1251"/>
      <c r="B1251" s="36"/>
      <c r="C1251" s="36"/>
      <c r="D1251"/>
      <c r="E1251"/>
      <c r="F1251"/>
      <c r="G1251"/>
      <c r="H1251"/>
      <c r="I1251"/>
      <c r="J1251"/>
      <c r="K1251"/>
      <c r="L1251"/>
      <c r="M1251"/>
      <c r="N1251"/>
      <c r="O1251"/>
      <c r="P1251" s="36"/>
      <c r="Q1251" s="37"/>
      <c r="R1251"/>
      <c r="S1251"/>
      <c r="T1251"/>
      <c r="U1251"/>
      <c r="V1251" s="39"/>
      <c r="W1251"/>
      <c r="X1251"/>
      <c r="Y1251"/>
      <c r="Z1251"/>
      <c r="AA1251"/>
    </row>
    <row r="1252" spans="1:27" x14ac:dyDescent="0.25">
      <c r="A1252"/>
      <c r="B1252" s="36"/>
      <c r="C1252" s="36"/>
      <c r="D1252"/>
      <c r="E1252"/>
      <c r="F1252"/>
      <c r="G1252"/>
      <c r="H1252"/>
      <c r="I1252"/>
      <c r="J1252"/>
      <c r="K1252"/>
      <c r="L1252"/>
      <c r="M1252"/>
      <c r="N1252"/>
      <c r="O1252"/>
      <c r="P1252" s="36"/>
      <c r="Q1252" s="37"/>
      <c r="R1252"/>
      <c r="S1252"/>
      <c r="T1252"/>
      <c r="U1252"/>
      <c r="V1252" s="39"/>
      <c r="W1252"/>
      <c r="X1252"/>
      <c r="Y1252"/>
      <c r="Z1252"/>
      <c r="AA1252"/>
    </row>
    <row r="1253" spans="1:27" x14ac:dyDescent="0.25">
      <c r="A1253"/>
      <c r="B1253" s="36"/>
      <c r="C1253" s="36"/>
      <c r="D1253"/>
      <c r="E1253"/>
      <c r="F1253"/>
      <c r="G1253"/>
      <c r="H1253"/>
      <c r="I1253"/>
      <c r="J1253"/>
      <c r="K1253"/>
      <c r="L1253"/>
      <c r="M1253"/>
      <c r="N1253"/>
      <c r="O1253"/>
      <c r="P1253" s="36"/>
      <c r="Q1253" s="37"/>
      <c r="R1253"/>
      <c r="S1253"/>
      <c r="T1253"/>
      <c r="U1253"/>
      <c r="V1253" s="39"/>
      <c r="W1253"/>
      <c r="X1253"/>
      <c r="Y1253"/>
      <c r="Z1253"/>
      <c r="AA1253"/>
    </row>
    <row r="1254" spans="1:27" x14ac:dyDescent="0.25">
      <c r="A1254"/>
      <c r="B1254" s="36"/>
      <c r="C1254" s="36"/>
      <c r="D1254"/>
      <c r="E1254"/>
      <c r="F1254"/>
      <c r="G1254"/>
      <c r="H1254"/>
      <c r="I1254"/>
      <c r="J1254"/>
      <c r="K1254"/>
      <c r="L1254"/>
      <c r="M1254"/>
      <c r="N1254"/>
      <c r="O1254"/>
      <c r="P1254" s="36"/>
      <c r="Q1254" s="37"/>
      <c r="R1254"/>
      <c r="S1254"/>
      <c r="T1254"/>
      <c r="U1254"/>
      <c r="V1254" s="39"/>
      <c r="W1254"/>
      <c r="X1254"/>
      <c r="Y1254"/>
      <c r="Z1254"/>
      <c r="AA1254"/>
    </row>
    <row r="1255" spans="1:27" x14ac:dyDescent="0.25">
      <c r="A1255"/>
      <c r="B1255" s="36"/>
      <c r="C1255" s="36"/>
      <c r="D1255"/>
      <c r="E1255"/>
      <c r="F1255"/>
      <c r="G1255"/>
      <c r="H1255"/>
      <c r="I1255"/>
      <c r="J1255"/>
      <c r="K1255"/>
      <c r="L1255"/>
      <c r="M1255"/>
      <c r="N1255"/>
      <c r="O1255"/>
      <c r="P1255" s="36"/>
      <c r="Q1255" s="37"/>
      <c r="R1255"/>
      <c r="S1255"/>
      <c r="T1255"/>
      <c r="U1255"/>
      <c r="V1255" s="39"/>
      <c r="W1255"/>
      <c r="X1255"/>
      <c r="Y1255"/>
      <c r="Z1255"/>
      <c r="AA1255"/>
    </row>
    <row r="1256" spans="1:27" x14ac:dyDescent="0.25">
      <c r="A1256"/>
      <c r="B1256" s="36"/>
      <c r="C1256" s="36"/>
      <c r="D1256"/>
      <c r="E1256"/>
      <c r="F1256"/>
      <c r="G1256"/>
      <c r="H1256"/>
      <c r="I1256"/>
      <c r="J1256"/>
      <c r="K1256"/>
      <c r="L1256"/>
      <c r="M1256"/>
      <c r="N1256"/>
      <c r="O1256"/>
      <c r="P1256" s="36"/>
      <c r="Q1256" s="37"/>
      <c r="R1256"/>
      <c r="S1256"/>
      <c r="T1256"/>
      <c r="U1256"/>
      <c r="V1256" s="39"/>
      <c r="W1256"/>
      <c r="X1256"/>
      <c r="Y1256"/>
      <c r="Z1256"/>
      <c r="AA1256"/>
    </row>
    <row r="1257" spans="1:27" x14ac:dyDescent="0.25">
      <c r="A1257"/>
      <c r="B1257" s="36"/>
      <c r="C1257" s="36"/>
      <c r="D1257"/>
      <c r="E1257"/>
      <c r="F1257"/>
      <c r="G1257"/>
      <c r="H1257"/>
      <c r="I1257"/>
      <c r="J1257"/>
      <c r="K1257"/>
      <c r="L1257"/>
      <c r="M1257"/>
      <c r="N1257"/>
      <c r="O1257"/>
      <c r="P1257" s="36"/>
      <c r="Q1257" s="37"/>
      <c r="R1257"/>
      <c r="S1257"/>
      <c r="T1257"/>
      <c r="U1257"/>
      <c r="V1257" s="39"/>
      <c r="W1257"/>
      <c r="X1257"/>
      <c r="Y1257"/>
      <c r="Z1257"/>
      <c r="AA1257"/>
    </row>
    <row r="1258" spans="1:27" x14ac:dyDescent="0.25">
      <c r="A1258"/>
      <c r="B1258" s="36"/>
      <c r="C1258" s="36"/>
      <c r="D1258"/>
      <c r="E1258"/>
      <c r="F1258"/>
      <c r="G1258"/>
      <c r="H1258"/>
      <c r="I1258"/>
      <c r="J1258"/>
      <c r="K1258"/>
      <c r="L1258"/>
      <c r="M1258"/>
      <c r="N1258"/>
      <c r="O1258"/>
      <c r="P1258" s="36"/>
      <c r="Q1258" s="37"/>
      <c r="R1258"/>
      <c r="S1258"/>
      <c r="T1258"/>
      <c r="U1258"/>
      <c r="V1258" s="39"/>
      <c r="W1258"/>
      <c r="X1258"/>
      <c r="Y1258"/>
      <c r="Z1258"/>
      <c r="AA1258"/>
    </row>
    <row r="1259" spans="1:27" x14ac:dyDescent="0.25">
      <c r="A1259"/>
      <c r="B1259" s="36"/>
      <c r="C1259" s="36"/>
      <c r="D1259"/>
      <c r="E1259"/>
      <c r="F1259"/>
      <c r="G1259"/>
      <c r="H1259"/>
      <c r="I1259"/>
      <c r="J1259"/>
      <c r="K1259"/>
      <c r="L1259"/>
      <c r="M1259"/>
      <c r="N1259"/>
      <c r="O1259"/>
      <c r="P1259" s="36"/>
      <c r="Q1259" s="37"/>
      <c r="R1259"/>
      <c r="S1259"/>
      <c r="T1259"/>
      <c r="U1259"/>
      <c r="V1259" s="39"/>
      <c r="W1259"/>
      <c r="X1259"/>
      <c r="Y1259"/>
      <c r="Z1259"/>
      <c r="AA1259"/>
    </row>
    <row r="1260" spans="1:27" x14ac:dyDescent="0.25">
      <c r="A1260"/>
      <c r="B1260" s="36"/>
      <c r="C1260" s="36"/>
      <c r="D1260"/>
      <c r="E1260"/>
      <c r="F1260"/>
      <c r="G1260"/>
      <c r="H1260"/>
      <c r="I1260"/>
      <c r="J1260"/>
      <c r="K1260"/>
      <c r="L1260"/>
      <c r="M1260"/>
      <c r="N1260"/>
      <c r="O1260"/>
      <c r="P1260" s="36"/>
      <c r="Q1260" s="37"/>
      <c r="R1260"/>
      <c r="S1260"/>
      <c r="T1260"/>
      <c r="U1260"/>
      <c r="V1260" s="39"/>
      <c r="W1260"/>
      <c r="X1260"/>
      <c r="Y1260"/>
      <c r="Z1260"/>
      <c r="AA1260"/>
    </row>
    <row r="1261" spans="1:27" x14ac:dyDescent="0.25">
      <c r="A1261"/>
      <c r="B1261" s="36"/>
      <c r="C1261" s="36"/>
      <c r="D1261"/>
      <c r="E1261"/>
      <c r="F1261"/>
      <c r="G1261"/>
      <c r="H1261"/>
      <c r="I1261"/>
      <c r="J1261"/>
      <c r="K1261"/>
      <c r="L1261"/>
      <c r="M1261"/>
      <c r="N1261"/>
      <c r="O1261"/>
      <c r="P1261" s="36"/>
      <c r="Q1261" s="37"/>
      <c r="R1261"/>
      <c r="S1261"/>
      <c r="T1261"/>
      <c r="U1261"/>
      <c r="V1261" s="39"/>
      <c r="W1261"/>
      <c r="X1261"/>
      <c r="Y1261"/>
      <c r="Z1261"/>
      <c r="AA1261"/>
    </row>
    <row r="1262" spans="1:27" x14ac:dyDescent="0.25">
      <c r="A1262"/>
      <c r="B1262" s="36"/>
      <c r="C1262" s="36"/>
      <c r="D1262"/>
      <c r="E1262"/>
      <c r="F1262"/>
      <c r="G1262"/>
      <c r="H1262"/>
      <c r="I1262"/>
      <c r="J1262"/>
      <c r="K1262"/>
      <c r="L1262"/>
      <c r="M1262"/>
      <c r="N1262"/>
      <c r="O1262"/>
      <c r="P1262" s="36"/>
      <c r="Q1262" s="37"/>
      <c r="R1262"/>
      <c r="S1262"/>
      <c r="T1262"/>
      <c r="U1262"/>
      <c r="V1262" s="39"/>
      <c r="W1262"/>
      <c r="X1262"/>
      <c r="Y1262"/>
      <c r="Z1262"/>
      <c r="AA1262"/>
    </row>
    <row r="1263" spans="1:27" x14ac:dyDescent="0.25">
      <c r="A1263"/>
      <c r="B1263" s="36"/>
      <c r="C1263" s="36"/>
      <c r="D1263"/>
      <c r="E1263"/>
      <c r="F1263"/>
      <c r="G1263"/>
      <c r="H1263"/>
      <c r="I1263"/>
      <c r="J1263"/>
      <c r="K1263"/>
      <c r="L1263"/>
      <c r="M1263"/>
      <c r="N1263"/>
      <c r="O1263"/>
      <c r="P1263" s="36"/>
      <c r="Q1263" s="37"/>
      <c r="R1263"/>
      <c r="S1263"/>
      <c r="T1263"/>
      <c r="U1263"/>
      <c r="V1263" s="39"/>
      <c r="W1263"/>
      <c r="X1263"/>
      <c r="Y1263"/>
      <c r="Z1263"/>
      <c r="AA1263"/>
    </row>
    <row r="1264" spans="1:27" x14ac:dyDescent="0.25">
      <c r="A1264"/>
      <c r="B1264" s="36"/>
      <c r="C1264" s="36"/>
      <c r="D1264"/>
      <c r="E1264"/>
      <c r="F1264"/>
      <c r="G1264"/>
      <c r="H1264"/>
      <c r="I1264"/>
      <c r="J1264"/>
      <c r="K1264"/>
      <c r="L1264"/>
      <c r="M1264"/>
      <c r="N1264"/>
      <c r="O1264"/>
      <c r="P1264" s="36"/>
      <c r="Q1264" s="37"/>
      <c r="R1264"/>
      <c r="S1264"/>
      <c r="T1264"/>
      <c r="U1264"/>
      <c r="V1264" s="39"/>
      <c r="W1264"/>
      <c r="X1264"/>
      <c r="Y1264"/>
      <c r="Z1264"/>
      <c r="AA1264"/>
    </row>
    <row r="1265" spans="1:27" x14ac:dyDescent="0.25">
      <c r="A1265"/>
      <c r="B1265" s="36"/>
      <c r="C1265" s="36"/>
      <c r="D1265"/>
      <c r="E1265"/>
      <c r="F1265"/>
      <c r="G1265"/>
      <c r="H1265"/>
      <c r="I1265"/>
      <c r="J1265"/>
      <c r="K1265"/>
      <c r="L1265"/>
      <c r="M1265"/>
      <c r="N1265"/>
      <c r="O1265"/>
      <c r="P1265" s="36"/>
      <c r="Q1265" s="37"/>
      <c r="R1265"/>
      <c r="S1265"/>
      <c r="T1265"/>
      <c r="U1265"/>
      <c r="V1265" s="39"/>
      <c r="W1265"/>
      <c r="X1265"/>
      <c r="Y1265"/>
      <c r="Z1265"/>
      <c r="AA1265"/>
    </row>
    <row r="1266" spans="1:27" x14ac:dyDescent="0.25">
      <c r="A1266"/>
      <c r="B1266" s="36"/>
      <c r="C1266" s="36"/>
      <c r="D1266"/>
      <c r="E1266"/>
      <c r="F1266"/>
      <c r="G1266"/>
      <c r="H1266"/>
      <c r="I1266"/>
      <c r="J1266"/>
      <c r="K1266"/>
      <c r="L1266"/>
      <c r="M1266"/>
      <c r="N1266"/>
      <c r="O1266"/>
      <c r="P1266" s="36"/>
      <c r="Q1266" s="37"/>
      <c r="R1266"/>
      <c r="S1266"/>
      <c r="T1266"/>
      <c r="U1266"/>
      <c r="V1266" s="39"/>
      <c r="W1266"/>
      <c r="X1266"/>
      <c r="Y1266"/>
      <c r="Z1266"/>
      <c r="AA1266"/>
    </row>
    <row r="1267" spans="1:27" x14ac:dyDescent="0.25">
      <c r="A1267"/>
      <c r="B1267" s="36"/>
      <c r="C1267" s="36"/>
      <c r="D1267"/>
      <c r="E1267"/>
      <c r="F1267"/>
      <c r="G1267"/>
      <c r="H1267"/>
      <c r="I1267"/>
      <c r="J1267"/>
      <c r="K1267"/>
      <c r="L1267"/>
      <c r="M1267"/>
      <c r="N1267"/>
      <c r="O1267"/>
      <c r="P1267" s="36"/>
      <c r="Q1267" s="37"/>
      <c r="R1267"/>
      <c r="S1267"/>
      <c r="T1267"/>
      <c r="U1267"/>
      <c r="V1267" s="39"/>
      <c r="W1267"/>
      <c r="X1267"/>
      <c r="Y1267"/>
      <c r="Z1267"/>
      <c r="AA1267"/>
    </row>
    <row r="1268" spans="1:27" x14ac:dyDescent="0.25">
      <c r="A1268"/>
      <c r="B1268" s="36"/>
      <c r="C1268" s="36"/>
      <c r="D1268"/>
      <c r="E1268"/>
      <c r="F1268"/>
      <c r="G1268"/>
      <c r="H1268"/>
      <c r="I1268"/>
      <c r="J1268"/>
      <c r="K1268"/>
      <c r="L1268"/>
      <c r="M1268"/>
      <c r="N1268"/>
      <c r="O1268"/>
      <c r="P1268" s="36"/>
      <c r="Q1268" s="37"/>
      <c r="R1268"/>
      <c r="S1268"/>
      <c r="T1268"/>
      <c r="U1268"/>
      <c r="V1268" s="39"/>
      <c r="W1268"/>
      <c r="X1268"/>
      <c r="Y1268"/>
      <c r="Z1268"/>
      <c r="AA1268"/>
    </row>
    <row r="1269" spans="1:27" x14ac:dyDescent="0.25">
      <c r="A1269"/>
      <c r="B1269" s="36"/>
      <c r="C1269" s="36"/>
      <c r="D1269"/>
      <c r="E1269"/>
      <c r="F1269"/>
      <c r="G1269"/>
      <c r="H1269"/>
      <c r="I1269"/>
      <c r="J1269"/>
      <c r="K1269"/>
      <c r="L1269"/>
      <c r="M1269"/>
      <c r="N1269"/>
      <c r="O1269"/>
      <c r="P1269" s="36"/>
      <c r="Q1269" s="37"/>
      <c r="R1269"/>
      <c r="S1269"/>
      <c r="T1269"/>
      <c r="U1269"/>
      <c r="V1269" s="39"/>
      <c r="W1269"/>
      <c r="X1269"/>
      <c r="Y1269"/>
      <c r="Z1269"/>
      <c r="AA1269"/>
    </row>
    <row r="1270" spans="1:27" x14ac:dyDescent="0.25">
      <c r="A1270"/>
      <c r="B1270" s="36"/>
      <c r="C1270" s="36"/>
      <c r="D1270"/>
      <c r="E1270"/>
      <c r="F1270"/>
      <c r="G1270"/>
      <c r="H1270"/>
      <c r="I1270"/>
      <c r="J1270"/>
      <c r="K1270"/>
      <c r="L1270"/>
      <c r="M1270"/>
      <c r="N1270"/>
      <c r="O1270"/>
      <c r="P1270" s="36"/>
      <c r="Q1270" s="37"/>
      <c r="R1270"/>
      <c r="S1270"/>
      <c r="T1270"/>
      <c r="U1270"/>
      <c r="V1270" s="39"/>
      <c r="W1270"/>
      <c r="X1270"/>
      <c r="Y1270"/>
      <c r="Z1270"/>
      <c r="AA1270"/>
    </row>
    <row r="1271" spans="1:27" x14ac:dyDescent="0.25">
      <c r="A1271"/>
      <c r="B1271" s="36"/>
      <c r="C1271" s="36"/>
      <c r="D1271"/>
      <c r="E1271"/>
      <c r="F1271"/>
      <c r="G1271"/>
      <c r="H1271"/>
      <c r="I1271"/>
      <c r="J1271"/>
      <c r="K1271"/>
      <c r="L1271"/>
      <c r="M1271"/>
      <c r="N1271"/>
      <c r="O1271"/>
      <c r="P1271" s="36"/>
      <c r="Q1271" s="37"/>
      <c r="R1271" s="44"/>
      <c r="S1271"/>
      <c r="T1271"/>
      <c r="U1271"/>
      <c r="V1271" s="39"/>
      <c r="W1271"/>
      <c r="X1271"/>
      <c r="Y1271"/>
      <c r="Z1271"/>
      <c r="AA1271"/>
    </row>
    <row r="1272" spans="1:27" x14ac:dyDescent="0.25">
      <c r="A1272"/>
      <c r="B1272" s="36"/>
      <c r="C1272" s="36"/>
      <c r="D1272"/>
      <c r="E1272"/>
      <c r="F1272"/>
      <c r="G1272"/>
      <c r="H1272"/>
      <c r="I1272"/>
      <c r="J1272"/>
      <c r="K1272"/>
      <c r="L1272"/>
      <c r="M1272"/>
      <c r="N1272"/>
      <c r="O1272"/>
      <c r="P1272" s="36"/>
      <c r="Q1272" s="37"/>
      <c r="R1272"/>
      <c r="S1272"/>
      <c r="T1272"/>
      <c r="U1272"/>
      <c r="V1272" s="39"/>
      <c r="W1272"/>
      <c r="X1272"/>
      <c r="Y1272"/>
      <c r="Z1272"/>
      <c r="AA1272"/>
    </row>
    <row r="1273" spans="1:27" x14ac:dyDescent="0.25">
      <c r="A1273"/>
      <c r="B1273" s="36"/>
      <c r="C1273" s="36"/>
      <c r="D1273"/>
      <c r="E1273"/>
      <c r="F1273"/>
      <c r="G1273"/>
      <c r="H1273"/>
      <c r="I1273"/>
      <c r="J1273"/>
      <c r="K1273"/>
      <c r="L1273"/>
      <c r="M1273"/>
      <c r="N1273"/>
      <c r="O1273"/>
      <c r="P1273" s="36"/>
      <c r="Q1273" s="37"/>
      <c r="R1273"/>
      <c r="S1273"/>
      <c r="T1273"/>
      <c r="U1273"/>
      <c r="V1273" s="39"/>
      <c r="W1273"/>
      <c r="X1273"/>
      <c r="Y1273"/>
      <c r="Z1273"/>
      <c r="AA1273"/>
    </row>
    <row r="1274" spans="1:27" x14ac:dyDescent="0.25">
      <c r="A1274"/>
      <c r="B1274" s="36"/>
      <c r="C1274" s="36"/>
      <c r="D1274"/>
      <c r="E1274"/>
      <c r="F1274"/>
      <c r="G1274"/>
      <c r="H1274"/>
      <c r="I1274"/>
      <c r="J1274"/>
      <c r="K1274"/>
      <c r="L1274"/>
      <c r="M1274"/>
      <c r="N1274"/>
      <c r="O1274"/>
      <c r="P1274" s="36"/>
      <c r="Q1274" s="37"/>
      <c r="R1274"/>
      <c r="S1274"/>
      <c r="T1274"/>
      <c r="U1274"/>
      <c r="V1274" s="39"/>
      <c r="W1274"/>
      <c r="X1274"/>
      <c r="Y1274"/>
      <c r="Z1274"/>
      <c r="AA1274"/>
    </row>
    <row r="1275" spans="1:27" x14ac:dyDescent="0.25">
      <c r="A1275"/>
      <c r="B1275" s="36"/>
      <c r="C1275" s="36"/>
      <c r="D1275"/>
      <c r="E1275"/>
      <c r="F1275"/>
      <c r="G1275"/>
      <c r="H1275"/>
      <c r="I1275"/>
      <c r="J1275"/>
      <c r="K1275"/>
      <c r="L1275"/>
      <c r="M1275"/>
      <c r="N1275"/>
      <c r="O1275"/>
      <c r="P1275" s="36"/>
      <c r="Q1275" s="37"/>
      <c r="R1275"/>
      <c r="S1275"/>
      <c r="T1275"/>
      <c r="U1275"/>
      <c r="V1275" s="39"/>
      <c r="W1275"/>
      <c r="X1275"/>
      <c r="Y1275"/>
      <c r="Z1275"/>
      <c r="AA1275"/>
    </row>
    <row r="1276" spans="1:27" x14ac:dyDescent="0.25">
      <c r="A1276"/>
      <c r="B1276" s="36"/>
      <c r="C1276" s="36"/>
      <c r="D1276"/>
      <c r="E1276"/>
      <c r="F1276"/>
      <c r="G1276"/>
      <c r="H1276"/>
      <c r="I1276"/>
      <c r="J1276"/>
      <c r="K1276"/>
      <c r="L1276"/>
      <c r="M1276"/>
      <c r="N1276"/>
      <c r="O1276"/>
      <c r="P1276" s="36"/>
      <c r="Q1276" s="37"/>
      <c r="R1276"/>
      <c r="S1276"/>
      <c r="T1276"/>
      <c r="U1276"/>
      <c r="V1276" s="39"/>
      <c r="W1276"/>
      <c r="X1276"/>
      <c r="Y1276"/>
      <c r="Z1276"/>
      <c r="AA1276"/>
    </row>
    <row r="1277" spans="1:27" x14ac:dyDescent="0.25">
      <c r="A1277"/>
      <c r="B1277" s="36"/>
      <c r="C1277" s="36"/>
      <c r="D1277"/>
      <c r="E1277"/>
      <c r="F1277"/>
      <c r="G1277"/>
      <c r="H1277"/>
      <c r="I1277"/>
      <c r="J1277"/>
      <c r="K1277"/>
      <c r="L1277"/>
      <c r="M1277"/>
      <c r="N1277"/>
      <c r="O1277"/>
      <c r="P1277" s="36"/>
      <c r="Q1277" s="37"/>
      <c r="R1277"/>
      <c r="S1277"/>
      <c r="T1277"/>
      <c r="U1277"/>
      <c r="V1277" s="39"/>
      <c r="W1277"/>
      <c r="X1277"/>
      <c r="Y1277"/>
      <c r="Z1277"/>
      <c r="AA1277"/>
    </row>
    <row r="1278" spans="1:27" x14ac:dyDescent="0.25">
      <c r="A1278"/>
      <c r="B1278" s="36"/>
      <c r="C1278" s="36"/>
      <c r="D1278"/>
      <c r="E1278"/>
      <c r="F1278"/>
      <c r="G1278"/>
      <c r="H1278"/>
      <c r="I1278"/>
      <c r="J1278"/>
      <c r="K1278"/>
      <c r="L1278"/>
      <c r="M1278"/>
      <c r="N1278"/>
      <c r="O1278"/>
      <c r="P1278" s="36"/>
      <c r="Q1278" s="37"/>
      <c r="R1278"/>
      <c r="S1278"/>
      <c r="T1278"/>
      <c r="U1278"/>
      <c r="V1278" s="39"/>
      <c r="W1278"/>
      <c r="X1278"/>
      <c r="Y1278"/>
      <c r="Z1278"/>
      <c r="AA1278"/>
    </row>
    <row r="1279" spans="1:27" x14ac:dyDescent="0.25">
      <c r="A1279"/>
      <c r="B1279" s="36"/>
      <c r="C1279" s="36"/>
      <c r="D1279"/>
      <c r="E1279"/>
      <c r="F1279"/>
      <c r="G1279"/>
      <c r="H1279"/>
      <c r="I1279"/>
      <c r="J1279"/>
      <c r="K1279"/>
      <c r="L1279"/>
      <c r="M1279"/>
      <c r="N1279"/>
      <c r="O1279"/>
      <c r="P1279" s="36"/>
      <c r="Q1279" s="37"/>
      <c r="R1279"/>
      <c r="S1279"/>
      <c r="T1279"/>
      <c r="U1279"/>
      <c r="V1279" s="39"/>
      <c r="W1279"/>
      <c r="X1279"/>
      <c r="Y1279"/>
      <c r="Z1279"/>
      <c r="AA1279"/>
    </row>
    <row r="1280" spans="1:27" x14ac:dyDescent="0.25">
      <c r="A1280"/>
      <c r="B1280" s="36"/>
      <c r="C1280" s="36"/>
      <c r="D1280"/>
      <c r="E1280"/>
      <c r="F1280"/>
      <c r="G1280"/>
      <c r="H1280"/>
      <c r="I1280"/>
      <c r="J1280"/>
      <c r="K1280"/>
      <c r="L1280"/>
      <c r="M1280"/>
      <c r="N1280"/>
      <c r="O1280"/>
      <c r="P1280" s="36"/>
      <c r="Q1280" s="37"/>
      <c r="R1280"/>
      <c r="S1280"/>
      <c r="T1280"/>
      <c r="U1280"/>
      <c r="V1280" s="39"/>
      <c r="W1280"/>
      <c r="X1280"/>
      <c r="Y1280"/>
      <c r="Z1280"/>
      <c r="AA1280"/>
    </row>
    <row r="1281" spans="1:27" x14ac:dyDescent="0.25">
      <c r="A1281"/>
      <c r="B1281" s="36"/>
      <c r="C1281" s="36"/>
      <c r="D1281"/>
      <c r="E1281"/>
      <c r="F1281"/>
      <c r="G1281"/>
      <c r="H1281"/>
      <c r="I1281"/>
      <c r="J1281"/>
      <c r="K1281"/>
      <c r="L1281"/>
      <c r="M1281"/>
      <c r="N1281"/>
      <c r="O1281"/>
      <c r="P1281" s="36"/>
      <c r="Q1281" s="37"/>
      <c r="R1281"/>
      <c r="S1281"/>
      <c r="T1281"/>
      <c r="U1281"/>
      <c r="V1281" s="39"/>
      <c r="W1281"/>
      <c r="X1281"/>
      <c r="Y1281"/>
      <c r="Z1281"/>
      <c r="AA1281"/>
    </row>
    <row r="1282" spans="1:27" x14ac:dyDescent="0.25">
      <c r="A1282"/>
      <c r="B1282" s="36"/>
      <c r="C1282" s="36"/>
      <c r="D1282"/>
      <c r="E1282"/>
      <c r="F1282"/>
      <c r="G1282"/>
      <c r="H1282"/>
      <c r="I1282"/>
      <c r="J1282"/>
      <c r="K1282"/>
      <c r="L1282"/>
      <c r="M1282"/>
      <c r="N1282"/>
      <c r="O1282"/>
      <c r="P1282" s="36"/>
      <c r="Q1282" s="37"/>
      <c r="R1282"/>
      <c r="S1282"/>
      <c r="T1282"/>
      <c r="U1282"/>
      <c r="V1282" s="39"/>
      <c r="W1282"/>
      <c r="X1282"/>
      <c r="Y1282"/>
      <c r="Z1282"/>
      <c r="AA1282"/>
    </row>
    <row r="1283" spans="1:27" x14ac:dyDescent="0.25">
      <c r="A1283"/>
      <c r="B1283" s="36"/>
      <c r="C1283" s="36"/>
      <c r="D1283"/>
      <c r="E1283"/>
      <c r="F1283"/>
      <c r="G1283"/>
      <c r="H1283"/>
      <c r="I1283"/>
      <c r="J1283"/>
      <c r="K1283"/>
      <c r="L1283"/>
      <c r="M1283"/>
      <c r="N1283"/>
      <c r="O1283"/>
      <c r="P1283" s="36"/>
      <c r="Q1283" s="37"/>
      <c r="R1283"/>
      <c r="S1283"/>
      <c r="T1283"/>
      <c r="U1283"/>
      <c r="V1283" s="39"/>
      <c r="W1283"/>
      <c r="X1283"/>
      <c r="Y1283"/>
      <c r="Z1283"/>
      <c r="AA1283"/>
    </row>
    <row r="1284" spans="1:27" x14ac:dyDescent="0.25">
      <c r="A1284"/>
      <c r="B1284" s="36"/>
      <c r="C1284" s="36"/>
      <c r="D1284"/>
      <c r="E1284"/>
      <c r="F1284"/>
      <c r="G1284"/>
      <c r="H1284"/>
      <c r="I1284"/>
      <c r="J1284"/>
      <c r="K1284"/>
      <c r="L1284"/>
      <c r="M1284"/>
      <c r="N1284"/>
      <c r="O1284"/>
      <c r="P1284" s="36"/>
      <c r="Q1284" s="37"/>
      <c r="R1284"/>
      <c r="S1284"/>
      <c r="T1284"/>
      <c r="U1284"/>
      <c r="V1284" s="39"/>
      <c r="W1284"/>
      <c r="X1284"/>
      <c r="Y1284"/>
      <c r="Z1284"/>
      <c r="AA1284"/>
    </row>
    <row r="1285" spans="1:27" x14ac:dyDescent="0.25">
      <c r="A1285"/>
      <c r="B1285" s="36"/>
      <c r="C1285" s="36"/>
      <c r="D1285"/>
      <c r="E1285"/>
      <c r="F1285"/>
      <c r="G1285"/>
      <c r="H1285"/>
      <c r="I1285"/>
      <c r="J1285"/>
      <c r="K1285"/>
      <c r="L1285"/>
      <c r="M1285"/>
      <c r="N1285"/>
      <c r="O1285"/>
      <c r="P1285" s="36"/>
      <c r="Q1285" s="37"/>
      <c r="R1285"/>
      <c r="S1285"/>
      <c r="T1285"/>
      <c r="U1285"/>
      <c r="V1285" s="39"/>
      <c r="W1285"/>
      <c r="X1285"/>
      <c r="Y1285"/>
      <c r="Z1285"/>
      <c r="AA1285"/>
    </row>
    <row r="1286" spans="1:27" x14ac:dyDescent="0.25">
      <c r="A1286"/>
      <c r="B1286" s="36"/>
      <c r="C1286" s="36"/>
      <c r="D1286"/>
      <c r="E1286"/>
      <c r="F1286"/>
      <c r="G1286"/>
      <c r="H1286"/>
      <c r="I1286"/>
      <c r="J1286"/>
      <c r="K1286"/>
      <c r="L1286"/>
      <c r="M1286"/>
      <c r="N1286"/>
      <c r="O1286"/>
      <c r="P1286" s="36"/>
      <c r="Q1286" s="37"/>
      <c r="R1286"/>
      <c r="S1286"/>
      <c r="T1286"/>
      <c r="U1286"/>
      <c r="V1286" s="39"/>
      <c r="W1286"/>
      <c r="X1286"/>
      <c r="Y1286"/>
      <c r="Z1286"/>
      <c r="AA1286"/>
    </row>
    <row r="1287" spans="1:27" x14ac:dyDescent="0.25">
      <c r="A1287"/>
      <c r="B1287" s="36"/>
      <c r="C1287" s="36"/>
      <c r="D1287"/>
      <c r="E1287"/>
      <c r="F1287"/>
      <c r="G1287"/>
      <c r="H1287"/>
      <c r="I1287"/>
      <c r="J1287"/>
      <c r="K1287"/>
      <c r="L1287"/>
      <c r="M1287"/>
      <c r="N1287"/>
      <c r="O1287"/>
      <c r="P1287" s="36"/>
      <c r="Q1287" s="37"/>
      <c r="R1287"/>
      <c r="S1287"/>
      <c r="T1287"/>
      <c r="U1287"/>
      <c r="V1287" s="39"/>
      <c r="W1287"/>
      <c r="X1287"/>
      <c r="Y1287"/>
      <c r="Z1287"/>
      <c r="AA1287"/>
    </row>
    <row r="1288" spans="1:27" x14ac:dyDescent="0.25">
      <c r="A1288"/>
      <c r="B1288" s="36"/>
      <c r="C1288" s="36"/>
      <c r="D1288"/>
      <c r="E1288"/>
      <c r="F1288"/>
      <c r="G1288"/>
      <c r="H1288"/>
      <c r="I1288"/>
      <c r="J1288"/>
      <c r="K1288"/>
      <c r="L1288"/>
      <c r="M1288"/>
      <c r="N1288"/>
      <c r="O1288"/>
      <c r="P1288" s="36"/>
      <c r="Q1288" s="37"/>
      <c r="R1288"/>
      <c r="S1288"/>
      <c r="T1288"/>
      <c r="U1288"/>
      <c r="V1288" s="39"/>
      <c r="W1288"/>
      <c r="X1288"/>
      <c r="Y1288"/>
      <c r="Z1288"/>
      <c r="AA1288"/>
    </row>
    <row r="1289" spans="1:27" x14ac:dyDescent="0.25">
      <c r="A1289"/>
      <c r="B1289" s="36"/>
      <c r="C1289" s="36"/>
      <c r="D1289"/>
      <c r="E1289"/>
      <c r="F1289"/>
      <c r="G1289"/>
      <c r="H1289"/>
      <c r="I1289"/>
      <c r="J1289"/>
      <c r="K1289"/>
      <c r="L1289"/>
      <c r="M1289"/>
      <c r="N1289"/>
      <c r="O1289"/>
      <c r="P1289" s="36"/>
      <c r="Q1289" s="37"/>
      <c r="R1289"/>
      <c r="S1289"/>
      <c r="T1289"/>
      <c r="U1289"/>
      <c r="V1289" s="39"/>
      <c r="W1289"/>
      <c r="X1289"/>
      <c r="Y1289"/>
      <c r="Z1289"/>
      <c r="AA1289"/>
    </row>
    <row r="1290" spans="1:27" x14ac:dyDescent="0.25">
      <c r="A1290"/>
      <c r="B1290" s="36"/>
      <c r="C1290" s="36"/>
      <c r="D1290"/>
      <c r="E1290"/>
      <c r="F1290"/>
      <c r="G1290"/>
      <c r="H1290"/>
      <c r="I1290"/>
      <c r="J1290"/>
      <c r="K1290"/>
      <c r="L1290"/>
      <c r="M1290"/>
      <c r="N1290"/>
      <c r="O1290"/>
      <c r="P1290" s="36"/>
      <c r="Q1290" s="37"/>
      <c r="R1290"/>
      <c r="S1290"/>
      <c r="T1290"/>
      <c r="U1290"/>
      <c r="V1290" s="39"/>
      <c r="W1290"/>
      <c r="X1290"/>
      <c r="Y1290"/>
      <c r="Z1290"/>
      <c r="AA1290"/>
    </row>
    <row r="1291" spans="1:27" x14ac:dyDescent="0.25">
      <c r="A1291"/>
      <c r="B1291" s="36"/>
      <c r="C1291" s="36"/>
      <c r="D1291"/>
      <c r="E1291"/>
      <c r="F1291"/>
      <c r="G1291"/>
      <c r="H1291"/>
      <c r="I1291"/>
      <c r="J1291"/>
      <c r="K1291"/>
      <c r="L1291"/>
      <c r="M1291"/>
      <c r="N1291"/>
      <c r="O1291"/>
      <c r="P1291" s="36"/>
      <c r="Q1291" s="37"/>
      <c r="R1291"/>
      <c r="S1291"/>
      <c r="T1291"/>
      <c r="U1291"/>
      <c r="V1291" s="39"/>
      <c r="W1291"/>
      <c r="X1291"/>
      <c r="Y1291"/>
      <c r="Z1291"/>
      <c r="AA1291"/>
    </row>
    <row r="1292" spans="1:27" x14ac:dyDescent="0.25">
      <c r="A1292"/>
      <c r="B1292" s="36"/>
      <c r="C1292" s="36"/>
      <c r="D1292"/>
      <c r="E1292"/>
      <c r="F1292"/>
      <c r="G1292"/>
      <c r="H1292"/>
      <c r="I1292"/>
      <c r="J1292"/>
      <c r="K1292"/>
      <c r="L1292"/>
      <c r="M1292"/>
      <c r="N1292"/>
      <c r="O1292"/>
      <c r="P1292" s="36"/>
      <c r="Q1292" s="37"/>
      <c r="R1292"/>
      <c r="S1292"/>
      <c r="T1292"/>
      <c r="U1292"/>
      <c r="V1292" s="39"/>
      <c r="W1292"/>
      <c r="X1292"/>
      <c r="Y1292"/>
      <c r="Z1292"/>
      <c r="AA1292"/>
    </row>
    <row r="1293" spans="1:27" x14ac:dyDescent="0.25">
      <c r="A1293"/>
      <c r="B1293" s="36"/>
      <c r="C1293" s="36"/>
      <c r="D1293"/>
      <c r="E1293"/>
      <c r="F1293"/>
      <c r="G1293"/>
      <c r="H1293"/>
      <c r="I1293"/>
      <c r="J1293"/>
      <c r="K1293"/>
      <c r="L1293"/>
      <c r="M1293"/>
      <c r="N1293"/>
      <c r="O1293"/>
      <c r="P1293" s="36"/>
      <c r="Q1293" s="37"/>
      <c r="R1293"/>
      <c r="S1293"/>
      <c r="T1293"/>
      <c r="U1293"/>
      <c r="V1293" s="39"/>
      <c r="W1293"/>
      <c r="X1293"/>
      <c r="Y1293"/>
      <c r="Z1293"/>
      <c r="AA1293"/>
    </row>
    <row r="1294" spans="1:27" x14ac:dyDescent="0.25">
      <c r="A1294"/>
      <c r="B1294" s="36"/>
      <c r="C1294" s="36"/>
      <c r="D1294"/>
      <c r="E1294"/>
      <c r="F1294"/>
      <c r="G1294"/>
      <c r="H1294"/>
      <c r="I1294"/>
      <c r="J1294"/>
      <c r="K1294"/>
      <c r="L1294"/>
      <c r="M1294"/>
      <c r="N1294"/>
      <c r="O1294"/>
      <c r="P1294" s="36"/>
      <c r="Q1294" s="37"/>
      <c r="R1294"/>
      <c r="S1294"/>
      <c r="T1294"/>
      <c r="U1294"/>
      <c r="V1294" s="39"/>
      <c r="W1294"/>
      <c r="X1294"/>
      <c r="Y1294"/>
      <c r="Z1294"/>
      <c r="AA1294"/>
    </row>
    <row r="1295" spans="1:27" x14ac:dyDescent="0.25">
      <c r="A1295"/>
      <c r="B1295" s="36"/>
      <c r="C1295" s="36"/>
      <c r="D1295"/>
      <c r="E1295"/>
      <c r="F1295"/>
      <c r="G1295"/>
      <c r="H1295"/>
      <c r="I1295"/>
      <c r="J1295"/>
      <c r="K1295"/>
      <c r="L1295"/>
      <c r="M1295"/>
      <c r="N1295"/>
      <c r="O1295"/>
      <c r="P1295" s="36"/>
      <c r="Q1295" s="37"/>
      <c r="R1295"/>
      <c r="S1295"/>
      <c r="T1295"/>
      <c r="U1295"/>
      <c r="V1295" s="39"/>
      <c r="W1295"/>
      <c r="X1295"/>
      <c r="Y1295"/>
      <c r="Z1295"/>
      <c r="AA1295"/>
    </row>
    <row r="1296" spans="1:27" x14ac:dyDescent="0.25">
      <c r="A1296"/>
      <c r="B1296" s="36"/>
      <c r="C1296" s="36"/>
      <c r="D1296"/>
      <c r="E1296"/>
      <c r="F1296"/>
      <c r="G1296"/>
      <c r="H1296"/>
      <c r="I1296"/>
      <c r="J1296"/>
      <c r="K1296"/>
      <c r="L1296"/>
      <c r="M1296"/>
      <c r="N1296"/>
      <c r="O1296"/>
      <c r="P1296" s="36"/>
      <c r="Q1296" s="37"/>
      <c r="R1296"/>
      <c r="S1296"/>
      <c r="T1296"/>
      <c r="U1296"/>
      <c r="V1296" s="39"/>
      <c r="W1296"/>
      <c r="X1296"/>
      <c r="Y1296"/>
      <c r="Z1296"/>
      <c r="AA1296"/>
    </row>
    <row r="1297" spans="1:27" x14ac:dyDescent="0.25">
      <c r="A1297"/>
      <c r="B1297" s="36"/>
      <c r="C1297" s="36"/>
      <c r="D1297"/>
      <c r="E1297"/>
      <c r="F1297"/>
      <c r="G1297"/>
      <c r="H1297"/>
      <c r="I1297"/>
      <c r="J1297"/>
      <c r="K1297"/>
      <c r="L1297"/>
      <c r="M1297"/>
      <c r="N1297"/>
      <c r="O1297"/>
      <c r="P1297" s="36"/>
      <c r="Q1297" s="37"/>
      <c r="R1297"/>
      <c r="S1297"/>
      <c r="T1297"/>
      <c r="U1297"/>
      <c r="V1297" s="39"/>
      <c r="W1297"/>
      <c r="X1297"/>
      <c r="Y1297"/>
      <c r="Z1297"/>
      <c r="AA1297"/>
    </row>
    <row r="1298" spans="1:27" x14ac:dyDescent="0.25">
      <c r="A1298"/>
      <c r="B1298" s="36"/>
      <c r="C1298" s="36"/>
      <c r="D1298"/>
      <c r="E1298"/>
      <c r="F1298"/>
      <c r="G1298"/>
      <c r="H1298"/>
      <c r="I1298"/>
      <c r="J1298"/>
      <c r="K1298"/>
      <c r="L1298"/>
      <c r="M1298"/>
      <c r="N1298"/>
      <c r="O1298"/>
      <c r="P1298" s="36"/>
      <c r="Q1298" s="37"/>
      <c r="R1298"/>
      <c r="S1298"/>
      <c r="T1298"/>
      <c r="U1298"/>
      <c r="V1298" s="39"/>
      <c r="W1298"/>
      <c r="X1298"/>
      <c r="Y1298"/>
      <c r="Z1298"/>
      <c r="AA1298"/>
    </row>
    <row r="1299" spans="1:27" x14ac:dyDescent="0.25">
      <c r="A1299"/>
      <c r="B1299" s="36"/>
      <c r="C1299" s="36"/>
      <c r="D1299"/>
      <c r="E1299"/>
      <c r="F1299"/>
      <c r="G1299"/>
      <c r="H1299"/>
      <c r="I1299"/>
      <c r="J1299"/>
      <c r="K1299"/>
      <c r="L1299"/>
      <c r="M1299"/>
      <c r="N1299"/>
      <c r="O1299"/>
      <c r="P1299" s="36"/>
      <c r="Q1299" s="37"/>
      <c r="R1299"/>
      <c r="S1299"/>
      <c r="T1299"/>
      <c r="U1299"/>
      <c r="V1299" s="39"/>
      <c r="W1299"/>
      <c r="X1299"/>
      <c r="Y1299"/>
      <c r="Z1299"/>
      <c r="AA1299"/>
    </row>
    <row r="1300" spans="1:27" x14ac:dyDescent="0.25">
      <c r="A1300"/>
      <c r="B1300" s="36"/>
      <c r="C1300" s="36"/>
      <c r="D1300"/>
      <c r="E1300"/>
      <c r="F1300"/>
      <c r="G1300"/>
      <c r="H1300"/>
      <c r="I1300"/>
      <c r="J1300"/>
      <c r="K1300"/>
      <c r="L1300"/>
      <c r="M1300"/>
      <c r="N1300"/>
      <c r="O1300"/>
      <c r="P1300" s="36"/>
      <c r="Q1300" s="37"/>
      <c r="R1300"/>
      <c r="S1300"/>
      <c r="T1300"/>
      <c r="U1300"/>
      <c r="V1300" s="39"/>
      <c r="W1300"/>
      <c r="X1300"/>
      <c r="Y1300"/>
      <c r="Z1300"/>
      <c r="AA1300"/>
    </row>
    <row r="1301" spans="1:27" x14ac:dyDescent="0.25">
      <c r="A1301"/>
      <c r="B1301" s="36"/>
      <c r="C1301" s="36"/>
      <c r="D1301"/>
      <c r="E1301"/>
      <c r="F1301"/>
      <c r="G1301"/>
      <c r="H1301"/>
      <c r="I1301"/>
      <c r="J1301"/>
      <c r="K1301"/>
      <c r="L1301"/>
      <c r="M1301"/>
      <c r="N1301"/>
      <c r="O1301"/>
      <c r="P1301" s="36"/>
      <c r="Q1301" s="37"/>
      <c r="R1301"/>
      <c r="S1301"/>
      <c r="T1301"/>
      <c r="U1301"/>
      <c r="V1301" s="39"/>
      <c r="W1301"/>
      <c r="X1301"/>
      <c r="Y1301"/>
      <c r="Z1301"/>
      <c r="AA1301"/>
    </row>
    <row r="1302" spans="1:27" x14ac:dyDescent="0.25">
      <c r="A1302"/>
      <c r="B1302" s="36"/>
      <c r="C1302" s="36"/>
      <c r="D1302"/>
      <c r="E1302"/>
      <c r="F1302"/>
      <c r="G1302"/>
      <c r="H1302"/>
      <c r="I1302"/>
      <c r="J1302"/>
      <c r="K1302"/>
      <c r="L1302"/>
      <c r="M1302"/>
      <c r="N1302"/>
      <c r="O1302"/>
      <c r="P1302" s="36"/>
      <c r="Q1302" s="37"/>
      <c r="R1302"/>
      <c r="S1302"/>
      <c r="T1302"/>
      <c r="U1302"/>
      <c r="V1302" s="39"/>
      <c r="W1302"/>
      <c r="X1302"/>
      <c r="Y1302"/>
      <c r="Z1302"/>
      <c r="AA1302"/>
    </row>
    <row r="1303" spans="1:27" x14ac:dyDescent="0.25">
      <c r="A1303"/>
      <c r="B1303" s="36"/>
      <c r="C1303" s="36"/>
      <c r="D1303"/>
      <c r="E1303"/>
      <c r="F1303"/>
      <c r="G1303"/>
      <c r="H1303"/>
      <c r="I1303"/>
      <c r="J1303"/>
      <c r="K1303"/>
      <c r="L1303"/>
      <c r="M1303"/>
      <c r="N1303"/>
      <c r="O1303"/>
      <c r="P1303" s="36"/>
      <c r="Q1303" s="37"/>
      <c r="R1303"/>
      <c r="S1303"/>
      <c r="T1303"/>
      <c r="U1303"/>
      <c r="V1303" s="39"/>
      <c r="W1303"/>
      <c r="X1303"/>
      <c r="Y1303"/>
      <c r="Z1303"/>
      <c r="AA1303"/>
    </row>
    <row r="1304" spans="1:27" x14ac:dyDescent="0.25">
      <c r="A1304"/>
      <c r="B1304" s="36"/>
      <c r="C1304" s="36"/>
      <c r="D1304"/>
      <c r="E1304"/>
      <c r="F1304"/>
      <c r="G1304"/>
      <c r="H1304"/>
      <c r="I1304"/>
      <c r="J1304"/>
      <c r="K1304"/>
      <c r="L1304"/>
      <c r="M1304"/>
      <c r="N1304"/>
      <c r="O1304"/>
      <c r="P1304" s="36"/>
      <c r="Q1304" s="37"/>
      <c r="R1304"/>
      <c r="S1304"/>
      <c r="T1304"/>
      <c r="U1304"/>
      <c r="V1304" s="39"/>
      <c r="W1304"/>
      <c r="X1304"/>
      <c r="Y1304"/>
      <c r="Z1304"/>
      <c r="AA1304"/>
    </row>
    <row r="1305" spans="1:27" x14ac:dyDescent="0.25">
      <c r="A1305"/>
      <c r="B1305" s="36"/>
      <c r="C1305" s="36"/>
      <c r="D1305"/>
      <c r="E1305"/>
      <c r="F1305"/>
      <c r="G1305"/>
      <c r="H1305"/>
      <c r="I1305"/>
      <c r="J1305"/>
      <c r="K1305"/>
      <c r="L1305"/>
      <c r="M1305"/>
      <c r="N1305"/>
      <c r="O1305"/>
      <c r="P1305" s="36"/>
      <c r="Q1305" s="37"/>
      <c r="R1305"/>
      <c r="S1305"/>
      <c r="T1305"/>
      <c r="U1305"/>
      <c r="V1305" s="39"/>
      <c r="W1305"/>
      <c r="X1305"/>
      <c r="Y1305"/>
      <c r="Z1305"/>
      <c r="AA1305"/>
    </row>
    <row r="1306" spans="1:27" x14ac:dyDescent="0.25">
      <c r="A1306"/>
      <c r="B1306" s="36"/>
      <c r="C1306" s="36"/>
      <c r="D1306"/>
      <c r="E1306"/>
      <c r="F1306"/>
      <c r="G1306"/>
      <c r="H1306"/>
      <c r="I1306"/>
      <c r="J1306"/>
      <c r="K1306"/>
      <c r="L1306"/>
      <c r="M1306"/>
      <c r="N1306"/>
      <c r="O1306"/>
      <c r="P1306" s="36"/>
      <c r="Q1306" s="37"/>
      <c r="R1306"/>
      <c r="S1306"/>
      <c r="T1306"/>
      <c r="U1306"/>
      <c r="V1306" s="39"/>
      <c r="W1306"/>
      <c r="X1306"/>
      <c r="Y1306"/>
      <c r="Z1306"/>
      <c r="AA1306"/>
    </row>
    <row r="1307" spans="1:27" x14ac:dyDescent="0.25">
      <c r="A1307"/>
      <c r="B1307" s="36"/>
      <c r="C1307" s="36"/>
      <c r="D1307"/>
      <c r="E1307"/>
      <c r="F1307"/>
      <c r="G1307"/>
      <c r="H1307"/>
      <c r="I1307"/>
      <c r="J1307"/>
      <c r="K1307"/>
      <c r="L1307"/>
      <c r="M1307"/>
      <c r="N1307"/>
      <c r="O1307"/>
      <c r="P1307" s="36"/>
      <c r="Q1307" s="37"/>
      <c r="R1307"/>
      <c r="S1307"/>
      <c r="T1307"/>
      <c r="U1307"/>
      <c r="V1307" s="39"/>
      <c r="W1307"/>
      <c r="X1307"/>
      <c r="Y1307"/>
      <c r="Z1307"/>
      <c r="AA1307"/>
    </row>
    <row r="1308" spans="1:27" x14ac:dyDescent="0.25">
      <c r="A1308"/>
      <c r="B1308" s="36"/>
      <c r="C1308" s="36"/>
      <c r="D1308"/>
      <c r="E1308"/>
      <c r="F1308"/>
      <c r="G1308"/>
      <c r="H1308"/>
      <c r="I1308"/>
      <c r="J1308"/>
      <c r="K1308"/>
      <c r="L1308"/>
      <c r="M1308"/>
      <c r="N1308"/>
      <c r="O1308"/>
      <c r="P1308" s="36"/>
      <c r="Q1308" s="37"/>
      <c r="R1308"/>
      <c r="S1308"/>
      <c r="T1308"/>
      <c r="U1308"/>
      <c r="V1308" s="39"/>
      <c r="W1308"/>
      <c r="X1308"/>
      <c r="Y1308"/>
      <c r="Z1308"/>
      <c r="AA1308"/>
    </row>
    <row r="1309" spans="1:27" x14ac:dyDescent="0.25">
      <c r="A1309"/>
      <c r="B1309" s="36"/>
      <c r="C1309" s="36"/>
      <c r="D1309"/>
      <c r="E1309"/>
      <c r="F1309"/>
      <c r="G1309"/>
      <c r="H1309"/>
      <c r="I1309"/>
      <c r="J1309"/>
      <c r="K1309"/>
      <c r="L1309"/>
      <c r="M1309"/>
      <c r="N1309"/>
      <c r="O1309"/>
      <c r="P1309" s="36"/>
      <c r="Q1309" s="37"/>
      <c r="R1309"/>
      <c r="S1309"/>
      <c r="T1309"/>
      <c r="U1309"/>
      <c r="V1309" s="39"/>
      <c r="W1309"/>
      <c r="X1309"/>
      <c r="Y1309"/>
      <c r="Z1309"/>
      <c r="AA1309"/>
    </row>
    <row r="1310" spans="1:27" x14ac:dyDescent="0.25">
      <c r="A1310"/>
      <c r="B1310" s="36"/>
      <c r="C1310" s="36"/>
      <c r="D1310"/>
      <c r="E1310"/>
      <c r="F1310"/>
      <c r="G1310"/>
      <c r="H1310"/>
      <c r="I1310"/>
      <c r="J1310"/>
      <c r="K1310"/>
      <c r="L1310"/>
      <c r="M1310"/>
      <c r="N1310"/>
      <c r="O1310"/>
      <c r="P1310" s="36"/>
      <c r="Q1310" s="37"/>
      <c r="R1310"/>
      <c r="S1310"/>
      <c r="T1310"/>
      <c r="U1310"/>
      <c r="V1310" s="39"/>
      <c r="W1310"/>
      <c r="X1310"/>
      <c r="Y1310"/>
      <c r="Z1310"/>
      <c r="AA1310"/>
    </row>
    <row r="1311" spans="1:27" x14ac:dyDescent="0.25">
      <c r="A1311"/>
      <c r="B1311" s="36"/>
      <c r="C1311" s="36"/>
      <c r="D1311"/>
      <c r="E1311"/>
      <c r="F1311"/>
      <c r="G1311"/>
      <c r="H1311"/>
      <c r="I1311"/>
      <c r="J1311"/>
      <c r="K1311"/>
      <c r="L1311"/>
      <c r="M1311"/>
      <c r="N1311"/>
      <c r="O1311"/>
      <c r="P1311" s="36"/>
      <c r="Q1311" s="37"/>
      <c r="R1311"/>
      <c r="S1311"/>
      <c r="T1311"/>
      <c r="U1311"/>
      <c r="V1311" s="39"/>
      <c r="W1311"/>
      <c r="X1311"/>
      <c r="Y1311"/>
      <c r="Z1311"/>
      <c r="AA1311"/>
    </row>
    <row r="1312" spans="1:27" x14ac:dyDescent="0.25">
      <c r="A1312"/>
      <c r="B1312" s="36"/>
      <c r="C1312" s="36"/>
      <c r="D1312"/>
      <c r="E1312"/>
      <c r="F1312"/>
      <c r="G1312"/>
      <c r="H1312"/>
      <c r="I1312"/>
      <c r="J1312"/>
      <c r="K1312"/>
      <c r="L1312"/>
      <c r="M1312"/>
      <c r="N1312"/>
      <c r="O1312"/>
      <c r="P1312" s="36"/>
      <c r="Q1312" s="37"/>
      <c r="R1312"/>
      <c r="S1312"/>
      <c r="T1312"/>
      <c r="U1312"/>
      <c r="V1312" s="39"/>
      <c r="W1312"/>
      <c r="X1312"/>
      <c r="Y1312"/>
      <c r="Z1312"/>
      <c r="AA1312"/>
    </row>
    <row r="1313" spans="1:27" x14ac:dyDescent="0.25">
      <c r="A1313"/>
      <c r="B1313" s="36"/>
      <c r="C1313" s="36"/>
      <c r="D1313"/>
      <c r="E1313"/>
      <c r="F1313"/>
      <c r="G1313"/>
      <c r="H1313"/>
      <c r="I1313"/>
      <c r="J1313"/>
      <c r="K1313"/>
      <c r="L1313"/>
      <c r="M1313"/>
      <c r="N1313"/>
      <c r="O1313"/>
      <c r="P1313" s="36"/>
      <c r="Q1313" s="37"/>
      <c r="R1313"/>
      <c r="S1313"/>
      <c r="T1313"/>
      <c r="U1313"/>
      <c r="V1313" s="39"/>
      <c r="W1313"/>
      <c r="X1313"/>
      <c r="Y1313"/>
      <c r="Z1313"/>
      <c r="AA1313"/>
    </row>
    <row r="1314" spans="1:27" x14ac:dyDescent="0.25">
      <c r="A1314"/>
      <c r="B1314" s="36"/>
      <c r="C1314" s="36"/>
      <c r="D1314"/>
      <c r="E1314"/>
      <c r="F1314"/>
      <c r="G1314"/>
      <c r="H1314"/>
      <c r="I1314"/>
      <c r="J1314"/>
      <c r="K1314"/>
      <c r="L1314"/>
      <c r="M1314"/>
      <c r="N1314"/>
      <c r="O1314"/>
      <c r="P1314" s="36"/>
      <c r="Q1314" s="37"/>
      <c r="R1314"/>
      <c r="S1314"/>
      <c r="T1314"/>
      <c r="U1314"/>
      <c r="V1314" s="39"/>
      <c r="W1314"/>
      <c r="X1314"/>
      <c r="Y1314"/>
      <c r="Z1314"/>
      <c r="AA1314"/>
    </row>
    <row r="1315" spans="1:27" x14ac:dyDescent="0.25">
      <c r="A1315"/>
      <c r="B1315" s="36"/>
      <c r="C1315" s="36"/>
      <c r="D1315"/>
      <c r="E1315"/>
      <c r="F1315"/>
      <c r="G1315"/>
      <c r="H1315"/>
      <c r="I1315"/>
      <c r="J1315"/>
      <c r="K1315"/>
      <c r="L1315"/>
      <c r="M1315"/>
      <c r="N1315"/>
      <c r="O1315"/>
      <c r="P1315" s="36"/>
      <c r="Q1315" s="37"/>
      <c r="R1315"/>
      <c r="S1315"/>
      <c r="T1315"/>
      <c r="U1315"/>
      <c r="V1315" s="39"/>
      <c r="W1315"/>
      <c r="X1315"/>
      <c r="Y1315"/>
      <c r="Z1315"/>
      <c r="AA1315"/>
    </row>
    <row r="1316" spans="1:27" x14ac:dyDescent="0.25">
      <c r="A1316"/>
      <c r="B1316" s="36"/>
      <c r="C1316" s="36"/>
      <c r="D1316"/>
      <c r="E1316"/>
      <c r="F1316"/>
      <c r="G1316"/>
      <c r="H1316"/>
      <c r="I1316"/>
      <c r="J1316"/>
      <c r="K1316"/>
      <c r="L1316"/>
      <c r="M1316"/>
      <c r="N1316"/>
      <c r="O1316"/>
      <c r="P1316" s="36"/>
      <c r="Q1316" s="37"/>
      <c r="R1316"/>
      <c r="S1316"/>
      <c r="T1316"/>
      <c r="U1316"/>
      <c r="V1316" s="39"/>
      <c r="W1316"/>
      <c r="X1316"/>
      <c r="Y1316"/>
      <c r="Z1316"/>
      <c r="AA1316"/>
    </row>
    <row r="1317" spans="1:27" x14ac:dyDescent="0.25">
      <c r="A1317"/>
      <c r="B1317" s="36"/>
      <c r="C1317" s="36"/>
      <c r="D1317"/>
      <c r="E1317"/>
      <c r="F1317"/>
      <c r="G1317"/>
      <c r="H1317"/>
      <c r="I1317"/>
      <c r="J1317"/>
      <c r="K1317"/>
      <c r="L1317"/>
      <c r="M1317"/>
      <c r="N1317"/>
      <c r="O1317"/>
      <c r="P1317" s="36"/>
      <c r="Q1317" s="37"/>
      <c r="R1317"/>
      <c r="S1317"/>
      <c r="T1317"/>
      <c r="U1317"/>
      <c r="V1317" s="39"/>
      <c r="W1317"/>
      <c r="X1317"/>
      <c r="Y1317"/>
      <c r="Z1317"/>
      <c r="AA1317"/>
    </row>
    <row r="1318" spans="1:27" x14ac:dyDescent="0.25">
      <c r="A1318"/>
      <c r="B1318" s="36"/>
      <c r="C1318" s="36"/>
      <c r="D1318"/>
      <c r="E1318"/>
      <c r="F1318"/>
      <c r="G1318"/>
      <c r="H1318"/>
      <c r="I1318"/>
      <c r="J1318"/>
      <c r="K1318"/>
      <c r="L1318"/>
      <c r="M1318"/>
      <c r="N1318"/>
      <c r="O1318"/>
      <c r="P1318" s="36"/>
      <c r="Q1318" s="37"/>
      <c r="R1318"/>
      <c r="S1318"/>
      <c r="T1318"/>
      <c r="U1318"/>
      <c r="V1318" s="39"/>
      <c r="W1318"/>
      <c r="X1318"/>
      <c r="Y1318"/>
      <c r="Z1318"/>
      <c r="AA1318"/>
    </row>
    <row r="1319" spans="1:27" x14ac:dyDescent="0.25">
      <c r="A1319"/>
      <c r="B1319" s="36"/>
      <c r="C1319" s="36"/>
      <c r="D1319"/>
      <c r="E1319"/>
      <c r="F1319"/>
      <c r="G1319"/>
      <c r="H1319"/>
      <c r="I1319"/>
      <c r="J1319"/>
      <c r="K1319"/>
      <c r="L1319"/>
      <c r="M1319"/>
      <c r="N1319"/>
      <c r="O1319"/>
      <c r="P1319" s="36"/>
      <c r="Q1319" s="37"/>
      <c r="R1319"/>
      <c r="S1319"/>
      <c r="T1319"/>
      <c r="U1319"/>
      <c r="V1319" s="39"/>
      <c r="W1319"/>
      <c r="X1319"/>
      <c r="Y1319"/>
      <c r="Z1319"/>
      <c r="AA1319"/>
    </row>
    <row r="1320" spans="1:27" x14ac:dyDescent="0.25">
      <c r="A1320"/>
      <c r="B1320" s="36"/>
      <c r="C1320" s="36"/>
      <c r="D1320"/>
      <c r="E1320"/>
      <c r="F1320"/>
      <c r="G1320"/>
      <c r="H1320"/>
      <c r="I1320"/>
      <c r="J1320"/>
      <c r="K1320"/>
      <c r="L1320"/>
      <c r="M1320"/>
      <c r="N1320"/>
      <c r="O1320"/>
      <c r="P1320" s="36"/>
      <c r="Q1320" s="37"/>
      <c r="R1320"/>
      <c r="S1320"/>
      <c r="T1320"/>
      <c r="U1320"/>
      <c r="V1320" s="39"/>
      <c r="W1320"/>
      <c r="X1320"/>
      <c r="Y1320"/>
      <c r="Z1320"/>
      <c r="AA1320"/>
    </row>
    <row r="1321" spans="1:27" x14ac:dyDescent="0.25">
      <c r="A1321"/>
      <c r="B1321" s="36"/>
      <c r="C1321" s="36"/>
      <c r="D1321"/>
      <c r="E1321"/>
      <c r="F1321"/>
      <c r="G1321"/>
      <c r="H1321"/>
      <c r="I1321"/>
      <c r="J1321"/>
      <c r="K1321"/>
      <c r="L1321"/>
      <c r="M1321"/>
      <c r="N1321"/>
      <c r="O1321"/>
      <c r="P1321" s="36"/>
      <c r="Q1321" s="37"/>
      <c r="R1321"/>
      <c r="S1321"/>
      <c r="T1321"/>
      <c r="U1321"/>
      <c r="V1321" s="39"/>
      <c r="W1321"/>
      <c r="X1321"/>
      <c r="Y1321"/>
      <c r="Z1321"/>
      <c r="AA1321"/>
    </row>
    <row r="1322" spans="1:27" x14ac:dyDescent="0.25">
      <c r="A1322"/>
      <c r="B1322" s="36"/>
      <c r="C1322" s="36"/>
      <c r="D1322"/>
      <c r="E1322"/>
      <c r="F1322"/>
      <c r="G1322"/>
      <c r="H1322"/>
      <c r="I1322"/>
      <c r="J1322"/>
      <c r="K1322"/>
      <c r="L1322"/>
      <c r="M1322"/>
      <c r="N1322"/>
      <c r="O1322"/>
      <c r="P1322" s="36"/>
      <c r="Q1322" s="37"/>
      <c r="R1322"/>
      <c r="S1322"/>
      <c r="T1322"/>
      <c r="U1322"/>
      <c r="V1322" s="39"/>
      <c r="W1322"/>
      <c r="X1322"/>
      <c r="Y1322"/>
      <c r="Z1322"/>
      <c r="AA1322"/>
    </row>
    <row r="1323" spans="1:27" x14ac:dyDescent="0.25">
      <c r="A1323"/>
      <c r="B1323" s="36"/>
      <c r="C1323" s="36"/>
      <c r="D1323"/>
      <c r="E1323"/>
      <c r="F1323"/>
      <c r="G1323"/>
      <c r="H1323"/>
      <c r="I1323"/>
      <c r="J1323"/>
      <c r="K1323"/>
      <c r="L1323"/>
      <c r="M1323"/>
      <c r="N1323"/>
      <c r="O1323"/>
      <c r="P1323" s="36"/>
      <c r="Q1323" s="37"/>
      <c r="R1323"/>
      <c r="S1323"/>
      <c r="T1323"/>
      <c r="U1323"/>
      <c r="V1323" s="39"/>
      <c r="W1323"/>
      <c r="X1323"/>
      <c r="Y1323"/>
      <c r="Z1323"/>
      <c r="AA1323"/>
    </row>
    <row r="1324" spans="1:27" x14ac:dyDescent="0.25">
      <c r="A1324"/>
      <c r="B1324" s="36"/>
      <c r="C1324" s="36"/>
      <c r="D1324"/>
      <c r="E1324"/>
      <c r="F1324"/>
      <c r="G1324"/>
      <c r="H1324"/>
      <c r="I1324"/>
      <c r="J1324"/>
      <c r="K1324"/>
      <c r="L1324"/>
      <c r="M1324"/>
      <c r="N1324"/>
      <c r="O1324"/>
      <c r="P1324" s="36"/>
      <c r="Q1324" s="37"/>
      <c r="R1324"/>
      <c r="S1324"/>
      <c r="T1324"/>
      <c r="U1324"/>
      <c r="V1324" s="39"/>
      <c r="W1324"/>
      <c r="X1324"/>
      <c r="Y1324"/>
      <c r="Z1324"/>
      <c r="AA1324"/>
    </row>
    <row r="1325" spans="1:27" x14ac:dyDescent="0.25">
      <c r="A1325"/>
      <c r="B1325" s="36"/>
      <c r="C1325" s="36"/>
      <c r="D1325"/>
      <c r="E1325"/>
      <c r="F1325"/>
      <c r="G1325"/>
      <c r="H1325"/>
      <c r="I1325"/>
      <c r="J1325"/>
      <c r="K1325"/>
      <c r="L1325"/>
      <c r="M1325"/>
      <c r="N1325"/>
      <c r="O1325"/>
      <c r="P1325" s="36"/>
      <c r="Q1325" s="37"/>
      <c r="R1325"/>
      <c r="S1325"/>
      <c r="T1325"/>
      <c r="U1325"/>
      <c r="V1325" s="39"/>
      <c r="W1325"/>
      <c r="X1325"/>
      <c r="Y1325"/>
      <c r="Z1325"/>
      <c r="AA1325"/>
    </row>
    <row r="1326" spans="1:27" x14ac:dyDescent="0.25">
      <c r="A1326"/>
      <c r="B1326" s="36"/>
      <c r="C1326" s="36"/>
      <c r="D1326"/>
      <c r="E1326"/>
      <c r="F1326"/>
      <c r="G1326"/>
      <c r="H1326"/>
      <c r="I1326"/>
      <c r="J1326"/>
      <c r="K1326"/>
      <c r="L1326"/>
      <c r="M1326"/>
      <c r="N1326"/>
      <c r="O1326"/>
      <c r="P1326" s="36"/>
      <c r="Q1326" s="37"/>
      <c r="R1326"/>
      <c r="S1326"/>
      <c r="T1326"/>
      <c r="U1326"/>
      <c r="V1326" s="39"/>
      <c r="W1326"/>
      <c r="X1326"/>
      <c r="Y1326"/>
      <c r="Z1326"/>
      <c r="AA1326"/>
    </row>
    <row r="1327" spans="1:27" x14ac:dyDescent="0.25">
      <c r="A1327"/>
      <c r="B1327" s="36"/>
      <c r="C1327" s="36"/>
      <c r="D1327"/>
      <c r="E1327"/>
      <c r="F1327"/>
      <c r="G1327"/>
      <c r="H1327"/>
      <c r="I1327"/>
      <c r="J1327"/>
      <c r="K1327"/>
      <c r="L1327"/>
      <c r="M1327"/>
      <c r="N1327"/>
      <c r="O1327"/>
      <c r="P1327" s="36"/>
      <c r="Q1327" s="37"/>
      <c r="R1327"/>
      <c r="S1327"/>
      <c r="T1327"/>
      <c r="U1327"/>
      <c r="V1327" s="39"/>
      <c r="W1327"/>
      <c r="X1327"/>
      <c r="Y1327"/>
      <c r="Z1327"/>
      <c r="AA1327"/>
    </row>
    <row r="1328" spans="1:27" x14ac:dyDescent="0.25">
      <c r="A1328"/>
      <c r="B1328" s="36"/>
      <c r="C1328" s="36"/>
      <c r="D1328"/>
      <c r="E1328"/>
      <c r="F1328"/>
      <c r="G1328"/>
      <c r="H1328"/>
      <c r="I1328"/>
      <c r="J1328"/>
      <c r="K1328"/>
      <c r="L1328"/>
      <c r="M1328"/>
      <c r="N1328"/>
      <c r="O1328"/>
      <c r="P1328" s="36"/>
      <c r="Q1328" s="37"/>
      <c r="R1328"/>
      <c r="S1328"/>
      <c r="T1328"/>
      <c r="U1328"/>
      <c r="V1328" s="39"/>
      <c r="W1328"/>
      <c r="X1328"/>
      <c r="Y1328"/>
      <c r="Z1328"/>
      <c r="AA1328"/>
    </row>
    <row r="1329" spans="1:27" x14ac:dyDescent="0.25">
      <c r="A1329"/>
      <c r="B1329" s="36"/>
      <c r="C1329" s="36"/>
      <c r="D1329"/>
      <c r="E1329"/>
      <c r="F1329"/>
      <c r="G1329"/>
      <c r="H1329"/>
      <c r="I1329"/>
      <c r="J1329"/>
      <c r="K1329"/>
      <c r="L1329"/>
      <c r="M1329"/>
      <c r="N1329"/>
      <c r="O1329"/>
      <c r="P1329" s="36"/>
      <c r="Q1329" s="37"/>
      <c r="R1329"/>
      <c r="S1329"/>
      <c r="T1329"/>
      <c r="U1329"/>
      <c r="V1329" s="39"/>
      <c r="W1329"/>
      <c r="X1329"/>
      <c r="Y1329"/>
      <c r="Z1329"/>
      <c r="AA1329"/>
    </row>
    <row r="1330" spans="1:27" x14ac:dyDescent="0.25">
      <c r="A1330"/>
      <c r="B1330" s="36"/>
      <c r="C1330" s="36"/>
      <c r="D1330"/>
      <c r="E1330"/>
      <c r="F1330"/>
      <c r="G1330"/>
      <c r="H1330"/>
      <c r="I1330"/>
      <c r="J1330"/>
      <c r="K1330"/>
      <c r="L1330"/>
      <c r="M1330"/>
      <c r="N1330"/>
      <c r="O1330"/>
      <c r="P1330" s="36"/>
      <c r="Q1330" s="37"/>
      <c r="R1330"/>
      <c r="S1330"/>
      <c r="T1330"/>
      <c r="U1330"/>
      <c r="V1330" s="39"/>
      <c r="W1330"/>
      <c r="X1330"/>
      <c r="Y1330"/>
      <c r="Z1330"/>
      <c r="AA1330"/>
    </row>
    <row r="1331" spans="1:27" x14ac:dyDescent="0.25">
      <c r="A1331"/>
      <c r="B1331" s="36"/>
      <c r="C1331" s="36"/>
      <c r="D1331"/>
      <c r="E1331"/>
      <c r="F1331"/>
      <c r="G1331"/>
      <c r="H1331"/>
      <c r="I1331"/>
      <c r="J1331"/>
      <c r="K1331"/>
      <c r="L1331"/>
      <c r="M1331"/>
      <c r="N1331"/>
      <c r="O1331"/>
      <c r="P1331" s="36"/>
      <c r="Q1331" s="37"/>
      <c r="R1331"/>
      <c r="S1331"/>
      <c r="T1331"/>
      <c r="U1331"/>
      <c r="V1331" s="39"/>
      <c r="W1331"/>
      <c r="X1331"/>
      <c r="Y1331"/>
      <c r="Z1331"/>
      <c r="AA1331"/>
    </row>
    <row r="1332" spans="1:27" x14ac:dyDescent="0.25">
      <c r="A1332"/>
      <c r="B1332" s="36"/>
      <c r="C1332" s="36"/>
      <c r="D1332"/>
      <c r="E1332"/>
      <c r="F1332"/>
      <c r="G1332"/>
      <c r="H1332"/>
      <c r="I1332"/>
      <c r="J1332"/>
      <c r="K1332"/>
      <c r="L1332"/>
      <c r="M1332"/>
      <c r="N1332"/>
      <c r="O1332"/>
      <c r="P1332" s="36"/>
      <c r="Q1332" s="37"/>
      <c r="R1332"/>
      <c r="S1332"/>
      <c r="T1332"/>
      <c r="U1332"/>
      <c r="V1332" s="39"/>
      <c r="W1332"/>
      <c r="X1332"/>
      <c r="Y1332"/>
      <c r="Z1332"/>
      <c r="AA1332"/>
    </row>
    <row r="1333" spans="1:27" x14ac:dyDescent="0.25">
      <c r="A1333"/>
      <c r="B1333" s="36"/>
      <c r="C1333" s="36"/>
      <c r="D1333"/>
      <c r="E1333"/>
      <c r="F1333"/>
      <c r="G1333"/>
      <c r="H1333"/>
      <c r="I1333"/>
      <c r="J1333"/>
      <c r="K1333"/>
      <c r="L1333"/>
      <c r="M1333"/>
      <c r="N1333"/>
      <c r="O1333"/>
      <c r="P1333" s="36"/>
      <c r="Q1333" s="37"/>
      <c r="R1333"/>
      <c r="S1333"/>
      <c r="T1333"/>
      <c r="U1333"/>
      <c r="V1333" s="39"/>
      <c r="W1333"/>
      <c r="X1333"/>
      <c r="Y1333"/>
      <c r="Z1333"/>
      <c r="AA1333"/>
    </row>
    <row r="1334" spans="1:27" x14ac:dyDescent="0.25">
      <c r="A1334"/>
      <c r="B1334" s="36"/>
      <c r="C1334" s="36"/>
      <c r="D1334"/>
      <c r="E1334"/>
      <c r="F1334"/>
      <c r="G1334"/>
      <c r="H1334"/>
      <c r="I1334"/>
      <c r="J1334"/>
      <c r="K1334"/>
      <c r="L1334"/>
      <c r="M1334"/>
      <c r="N1334"/>
      <c r="O1334"/>
      <c r="P1334" s="36"/>
      <c r="Q1334" s="37"/>
      <c r="R1334"/>
      <c r="S1334"/>
      <c r="T1334"/>
      <c r="U1334"/>
      <c r="V1334" s="39"/>
      <c r="W1334"/>
      <c r="X1334"/>
      <c r="Y1334"/>
      <c r="Z1334"/>
      <c r="AA1334"/>
    </row>
    <row r="1335" spans="1:27" x14ac:dyDescent="0.25">
      <c r="A1335"/>
      <c r="B1335" s="36"/>
      <c r="C1335" s="36"/>
      <c r="D1335"/>
      <c r="E1335"/>
      <c r="F1335"/>
      <c r="G1335"/>
      <c r="H1335"/>
      <c r="I1335"/>
      <c r="J1335"/>
      <c r="K1335"/>
      <c r="L1335"/>
      <c r="M1335"/>
      <c r="N1335"/>
      <c r="O1335"/>
      <c r="P1335" s="36"/>
      <c r="Q1335" s="37"/>
      <c r="R1335"/>
      <c r="S1335"/>
      <c r="T1335"/>
      <c r="U1335"/>
      <c r="V1335" s="39"/>
      <c r="W1335"/>
      <c r="X1335"/>
      <c r="Y1335"/>
      <c r="Z1335"/>
      <c r="AA1335"/>
    </row>
    <row r="1336" spans="1:27" x14ac:dyDescent="0.25">
      <c r="A1336"/>
      <c r="B1336" s="36"/>
      <c r="C1336" s="36"/>
      <c r="D1336"/>
      <c r="E1336"/>
      <c r="F1336"/>
      <c r="G1336"/>
      <c r="H1336"/>
      <c r="I1336"/>
      <c r="J1336"/>
      <c r="K1336"/>
      <c r="L1336"/>
      <c r="M1336"/>
      <c r="N1336"/>
      <c r="O1336"/>
      <c r="P1336" s="36"/>
      <c r="Q1336" s="37"/>
      <c r="R1336"/>
      <c r="S1336"/>
      <c r="T1336"/>
      <c r="U1336"/>
      <c r="V1336" s="39"/>
      <c r="W1336"/>
      <c r="X1336"/>
      <c r="Y1336"/>
      <c r="Z1336"/>
      <c r="AA1336"/>
    </row>
    <row r="1337" spans="1:27" x14ac:dyDescent="0.25">
      <c r="A1337"/>
      <c r="B1337" s="36"/>
      <c r="C1337" s="36"/>
      <c r="D1337"/>
      <c r="E1337"/>
      <c r="F1337"/>
      <c r="G1337"/>
      <c r="H1337"/>
      <c r="I1337"/>
      <c r="J1337"/>
      <c r="K1337"/>
      <c r="L1337"/>
      <c r="M1337"/>
      <c r="N1337"/>
      <c r="O1337"/>
      <c r="P1337" s="36"/>
      <c r="Q1337" s="37"/>
      <c r="R1337"/>
      <c r="S1337"/>
      <c r="T1337"/>
      <c r="U1337"/>
      <c r="V1337" s="39"/>
      <c r="W1337"/>
      <c r="X1337"/>
      <c r="Y1337"/>
      <c r="Z1337"/>
      <c r="AA1337"/>
    </row>
    <row r="1338" spans="1:27" x14ac:dyDescent="0.25">
      <c r="A1338"/>
      <c r="B1338" s="36"/>
      <c r="C1338" s="36"/>
      <c r="D1338"/>
      <c r="E1338"/>
      <c r="F1338"/>
      <c r="G1338"/>
      <c r="H1338"/>
      <c r="I1338"/>
      <c r="J1338"/>
      <c r="K1338"/>
      <c r="L1338"/>
      <c r="M1338"/>
      <c r="N1338"/>
      <c r="O1338"/>
      <c r="P1338" s="36"/>
      <c r="Q1338" s="37"/>
      <c r="R1338"/>
      <c r="S1338"/>
      <c r="T1338"/>
      <c r="U1338"/>
      <c r="V1338" s="39"/>
      <c r="W1338"/>
      <c r="X1338"/>
      <c r="Y1338"/>
      <c r="Z1338"/>
      <c r="AA1338"/>
    </row>
    <row r="1339" spans="1:27" x14ac:dyDescent="0.25">
      <c r="A1339"/>
      <c r="B1339" s="36"/>
      <c r="C1339" s="36"/>
      <c r="D1339"/>
      <c r="E1339"/>
      <c r="F1339"/>
      <c r="G1339"/>
      <c r="H1339"/>
      <c r="I1339"/>
      <c r="J1339"/>
      <c r="K1339"/>
      <c r="L1339"/>
      <c r="M1339"/>
      <c r="N1339"/>
      <c r="O1339"/>
      <c r="P1339" s="36"/>
      <c r="Q1339" s="37"/>
      <c r="R1339"/>
      <c r="S1339"/>
      <c r="T1339"/>
      <c r="U1339"/>
      <c r="V1339" s="39"/>
      <c r="W1339"/>
      <c r="X1339"/>
      <c r="Y1339"/>
      <c r="Z1339"/>
      <c r="AA1339"/>
    </row>
    <row r="1340" spans="1:27" x14ac:dyDescent="0.25">
      <c r="A1340"/>
      <c r="B1340" s="36"/>
      <c r="C1340" s="36"/>
      <c r="D1340"/>
      <c r="E1340"/>
      <c r="F1340"/>
      <c r="G1340"/>
      <c r="H1340"/>
      <c r="I1340"/>
      <c r="J1340"/>
      <c r="K1340"/>
      <c r="L1340"/>
      <c r="M1340"/>
      <c r="N1340"/>
      <c r="O1340"/>
      <c r="P1340" s="36"/>
      <c r="Q1340" s="37"/>
      <c r="R1340"/>
      <c r="S1340"/>
      <c r="T1340"/>
      <c r="U1340"/>
      <c r="V1340" s="39"/>
      <c r="W1340"/>
      <c r="X1340"/>
      <c r="Y1340"/>
      <c r="Z1340"/>
      <c r="AA1340"/>
    </row>
    <row r="1341" spans="1:27" x14ac:dyDescent="0.25">
      <c r="A1341"/>
      <c r="B1341" s="36"/>
      <c r="C1341" s="36"/>
      <c r="D1341"/>
      <c r="E1341"/>
      <c r="F1341"/>
      <c r="G1341"/>
      <c r="H1341"/>
      <c r="I1341"/>
      <c r="J1341"/>
      <c r="K1341"/>
      <c r="L1341"/>
      <c r="M1341"/>
      <c r="N1341"/>
      <c r="O1341"/>
      <c r="P1341" s="36"/>
      <c r="Q1341" s="37"/>
      <c r="R1341"/>
      <c r="S1341"/>
      <c r="T1341"/>
      <c r="U1341"/>
      <c r="V1341" s="39"/>
      <c r="W1341"/>
      <c r="X1341"/>
      <c r="Y1341"/>
      <c r="Z1341"/>
      <c r="AA1341"/>
    </row>
    <row r="1342" spans="1:27" x14ac:dyDescent="0.25">
      <c r="A1342"/>
      <c r="B1342" s="36"/>
      <c r="C1342" s="36"/>
      <c r="D1342"/>
      <c r="E1342"/>
      <c r="F1342"/>
      <c r="G1342"/>
      <c r="H1342"/>
      <c r="I1342"/>
      <c r="J1342"/>
      <c r="K1342"/>
      <c r="L1342"/>
      <c r="M1342"/>
      <c r="N1342"/>
      <c r="O1342"/>
      <c r="P1342" s="36"/>
      <c r="Q1342" s="37"/>
      <c r="R1342"/>
      <c r="S1342"/>
      <c r="T1342"/>
      <c r="U1342"/>
      <c r="V1342" s="39"/>
      <c r="W1342"/>
      <c r="X1342"/>
      <c r="Y1342"/>
      <c r="Z1342"/>
      <c r="AA1342"/>
    </row>
    <row r="1343" spans="1:27" x14ac:dyDescent="0.25">
      <c r="A1343"/>
      <c r="B1343" s="36"/>
      <c r="C1343" s="36"/>
      <c r="D1343"/>
      <c r="E1343"/>
      <c r="F1343"/>
      <c r="G1343"/>
      <c r="H1343"/>
      <c r="I1343"/>
      <c r="J1343"/>
      <c r="K1343"/>
      <c r="L1343"/>
      <c r="M1343"/>
      <c r="N1343"/>
      <c r="O1343"/>
      <c r="P1343" s="36"/>
      <c r="Q1343" s="37"/>
      <c r="R1343"/>
      <c r="S1343"/>
      <c r="T1343"/>
      <c r="U1343"/>
      <c r="V1343" s="39"/>
      <c r="W1343"/>
      <c r="X1343"/>
      <c r="Y1343"/>
      <c r="Z1343"/>
      <c r="AA1343"/>
    </row>
    <row r="1344" spans="1:27" x14ac:dyDescent="0.25">
      <c r="A1344"/>
      <c r="B1344" s="36"/>
      <c r="C1344" s="36"/>
      <c r="D1344"/>
      <c r="E1344"/>
      <c r="F1344"/>
      <c r="G1344"/>
      <c r="H1344"/>
      <c r="I1344"/>
      <c r="J1344"/>
      <c r="K1344"/>
      <c r="L1344"/>
      <c r="M1344"/>
      <c r="N1344"/>
      <c r="O1344"/>
      <c r="P1344" s="36"/>
      <c r="Q1344" s="37"/>
      <c r="R1344"/>
      <c r="S1344"/>
      <c r="T1344"/>
      <c r="U1344"/>
      <c r="V1344" s="39"/>
      <c r="W1344"/>
      <c r="X1344"/>
      <c r="Y1344"/>
      <c r="Z1344"/>
      <c r="AA1344"/>
    </row>
    <row r="1345" spans="1:27" x14ac:dyDescent="0.25">
      <c r="A1345"/>
      <c r="B1345" s="36"/>
      <c r="C1345" s="36"/>
      <c r="D1345"/>
      <c r="E1345"/>
      <c r="F1345"/>
      <c r="G1345"/>
      <c r="H1345"/>
      <c r="I1345"/>
      <c r="J1345"/>
      <c r="K1345"/>
      <c r="L1345"/>
      <c r="M1345"/>
      <c r="N1345"/>
      <c r="O1345"/>
      <c r="P1345" s="36"/>
      <c r="Q1345" s="37"/>
      <c r="R1345" s="44"/>
      <c r="S1345"/>
      <c r="T1345"/>
      <c r="U1345"/>
      <c r="V1345" s="39"/>
      <c r="W1345"/>
      <c r="X1345"/>
      <c r="Y1345"/>
      <c r="Z1345"/>
      <c r="AA1345"/>
    </row>
    <row r="1346" spans="1:27" x14ac:dyDescent="0.25">
      <c r="A1346"/>
      <c r="B1346" s="36"/>
      <c r="C1346" s="36"/>
      <c r="D1346"/>
      <c r="E1346"/>
      <c r="F1346"/>
      <c r="G1346"/>
      <c r="H1346"/>
      <c r="I1346"/>
      <c r="J1346"/>
      <c r="K1346"/>
      <c r="L1346"/>
      <c r="M1346"/>
      <c r="N1346"/>
      <c r="O1346"/>
      <c r="P1346" s="36"/>
      <c r="Q1346" s="37"/>
      <c r="R1346"/>
      <c r="S1346"/>
      <c r="T1346"/>
      <c r="U1346"/>
      <c r="V1346" s="39"/>
      <c r="W1346"/>
      <c r="X1346"/>
      <c r="Y1346"/>
      <c r="Z1346"/>
      <c r="AA1346"/>
    </row>
    <row r="1347" spans="1:27" x14ac:dyDescent="0.25">
      <c r="A1347"/>
      <c r="B1347" s="36"/>
      <c r="C1347" s="36"/>
      <c r="D1347"/>
      <c r="E1347"/>
      <c r="F1347"/>
      <c r="G1347"/>
      <c r="H1347"/>
      <c r="I1347"/>
      <c r="J1347"/>
      <c r="K1347"/>
      <c r="L1347"/>
      <c r="M1347"/>
      <c r="N1347"/>
      <c r="O1347"/>
      <c r="P1347" s="36"/>
      <c r="Q1347" s="37"/>
      <c r="R1347"/>
      <c r="S1347"/>
      <c r="T1347"/>
      <c r="U1347"/>
      <c r="V1347" s="39"/>
      <c r="W1347"/>
      <c r="X1347"/>
      <c r="Y1347"/>
      <c r="Z1347"/>
      <c r="AA1347"/>
    </row>
    <row r="1348" spans="1:27" x14ac:dyDescent="0.25">
      <c r="A1348"/>
      <c r="B1348" s="36"/>
      <c r="C1348" s="36"/>
      <c r="D1348"/>
      <c r="E1348"/>
      <c r="F1348"/>
      <c r="G1348"/>
      <c r="H1348"/>
      <c r="I1348"/>
      <c r="J1348"/>
      <c r="K1348"/>
      <c r="L1348"/>
      <c r="M1348"/>
      <c r="N1348"/>
      <c r="O1348"/>
      <c r="P1348" s="36"/>
      <c r="Q1348" s="37"/>
      <c r="R1348"/>
      <c r="S1348"/>
      <c r="T1348"/>
      <c r="U1348"/>
      <c r="V1348" s="39"/>
      <c r="W1348"/>
      <c r="X1348"/>
      <c r="Y1348"/>
      <c r="Z1348"/>
      <c r="AA1348"/>
    </row>
    <row r="1349" spans="1:27" x14ac:dyDescent="0.25">
      <c r="A1349"/>
      <c r="B1349" s="36"/>
      <c r="C1349" s="36"/>
      <c r="D1349"/>
      <c r="E1349"/>
      <c r="F1349"/>
      <c r="G1349"/>
      <c r="H1349"/>
      <c r="I1349"/>
      <c r="J1349"/>
      <c r="K1349"/>
      <c r="L1349"/>
      <c r="M1349"/>
      <c r="N1349"/>
      <c r="O1349"/>
      <c r="P1349" s="36"/>
      <c r="Q1349" s="37"/>
      <c r="R1349"/>
      <c r="S1349"/>
      <c r="T1349"/>
      <c r="U1349"/>
      <c r="V1349" s="39"/>
      <c r="W1349"/>
      <c r="X1349"/>
      <c r="Y1349"/>
      <c r="Z1349"/>
      <c r="AA1349"/>
    </row>
    <row r="1350" spans="1:27" x14ac:dyDescent="0.25">
      <c r="A1350"/>
      <c r="B1350" s="36"/>
      <c r="C1350" s="36"/>
      <c r="D1350"/>
      <c r="E1350"/>
      <c r="F1350"/>
      <c r="G1350"/>
      <c r="H1350"/>
      <c r="I1350"/>
      <c r="J1350"/>
      <c r="K1350"/>
      <c r="L1350"/>
      <c r="M1350"/>
      <c r="N1350"/>
      <c r="O1350"/>
      <c r="P1350" s="36"/>
      <c r="Q1350" s="37"/>
      <c r="R1350"/>
      <c r="S1350"/>
      <c r="T1350"/>
      <c r="U1350"/>
      <c r="V1350" s="39"/>
      <c r="W1350"/>
      <c r="X1350"/>
      <c r="Y1350"/>
      <c r="Z1350"/>
      <c r="AA1350"/>
    </row>
    <row r="1351" spans="1:27" x14ac:dyDescent="0.25">
      <c r="A1351"/>
      <c r="B1351" s="36"/>
      <c r="C1351" s="36"/>
      <c r="D1351"/>
      <c r="E1351"/>
      <c r="F1351"/>
      <c r="G1351"/>
      <c r="H1351"/>
      <c r="I1351"/>
      <c r="J1351"/>
      <c r="K1351"/>
      <c r="L1351"/>
      <c r="M1351"/>
      <c r="N1351"/>
      <c r="O1351"/>
      <c r="P1351" s="36"/>
      <c r="Q1351" s="37"/>
      <c r="R1351"/>
      <c r="S1351"/>
      <c r="T1351"/>
      <c r="U1351"/>
      <c r="V1351" s="39"/>
      <c r="W1351"/>
      <c r="X1351"/>
      <c r="Y1351"/>
      <c r="Z1351"/>
      <c r="AA1351"/>
    </row>
    <row r="1352" spans="1:27" x14ac:dyDescent="0.25">
      <c r="A1352"/>
      <c r="B1352" s="36"/>
      <c r="C1352" s="36"/>
      <c r="D1352"/>
      <c r="E1352"/>
      <c r="F1352"/>
      <c r="G1352"/>
      <c r="H1352"/>
      <c r="I1352"/>
      <c r="J1352"/>
      <c r="K1352"/>
      <c r="L1352"/>
      <c r="M1352"/>
      <c r="N1352"/>
      <c r="O1352"/>
      <c r="P1352" s="36"/>
      <c r="Q1352" s="37"/>
      <c r="R1352"/>
      <c r="S1352"/>
      <c r="T1352"/>
      <c r="U1352"/>
      <c r="V1352" s="39"/>
      <c r="W1352"/>
      <c r="X1352"/>
      <c r="Y1352"/>
      <c r="Z1352"/>
      <c r="AA1352"/>
    </row>
    <row r="1353" spans="1:27" x14ac:dyDescent="0.25">
      <c r="A1353"/>
      <c r="B1353" s="36"/>
      <c r="C1353" s="36"/>
      <c r="D1353"/>
      <c r="E1353"/>
      <c r="F1353"/>
      <c r="G1353"/>
      <c r="H1353"/>
      <c r="I1353"/>
      <c r="J1353"/>
      <c r="K1353"/>
      <c r="L1353"/>
      <c r="M1353"/>
      <c r="N1353"/>
      <c r="O1353"/>
      <c r="P1353" s="36"/>
      <c r="Q1353" s="37"/>
      <c r="R1353"/>
      <c r="S1353"/>
      <c r="T1353"/>
      <c r="U1353"/>
      <c r="V1353" s="39"/>
      <c r="W1353"/>
      <c r="X1353"/>
      <c r="Y1353"/>
      <c r="Z1353"/>
      <c r="AA1353"/>
    </row>
    <row r="1354" spans="1:27" x14ac:dyDescent="0.25">
      <c r="A1354"/>
      <c r="B1354" s="36"/>
      <c r="C1354" s="36"/>
      <c r="D1354"/>
      <c r="E1354"/>
      <c r="F1354"/>
      <c r="G1354"/>
      <c r="H1354"/>
      <c r="I1354"/>
      <c r="J1354"/>
      <c r="K1354"/>
      <c r="L1354"/>
      <c r="M1354"/>
      <c r="N1354"/>
      <c r="O1354"/>
      <c r="P1354" s="36"/>
      <c r="Q1354" s="37"/>
      <c r="R1354"/>
      <c r="S1354"/>
      <c r="T1354"/>
      <c r="U1354"/>
      <c r="V1354" s="39"/>
      <c r="W1354"/>
      <c r="X1354"/>
      <c r="Y1354"/>
      <c r="Z1354"/>
      <c r="AA1354"/>
    </row>
    <row r="1355" spans="1:27" x14ac:dyDescent="0.25">
      <c r="A1355"/>
      <c r="B1355" s="36"/>
      <c r="C1355" s="36"/>
      <c r="D1355"/>
      <c r="E1355"/>
      <c r="F1355"/>
      <c r="G1355"/>
      <c r="H1355"/>
      <c r="I1355"/>
      <c r="J1355"/>
      <c r="K1355"/>
      <c r="L1355"/>
      <c r="M1355"/>
      <c r="N1355"/>
      <c r="O1355"/>
      <c r="P1355" s="36"/>
      <c r="Q1355" s="37"/>
      <c r="R1355"/>
      <c r="S1355"/>
      <c r="T1355"/>
      <c r="U1355"/>
      <c r="V1355" s="39"/>
      <c r="W1355"/>
      <c r="X1355"/>
      <c r="Y1355"/>
      <c r="Z1355"/>
      <c r="AA1355"/>
    </row>
    <row r="1356" spans="1:27" x14ac:dyDescent="0.25">
      <c r="A1356"/>
      <c r="B1356" s="36"/>
      <c r="C1356" s="36"/>
      <c r="D1356"/>
      <c r="E1356"/>
      <c r="F1356"/>
      <c r="G1356"/>
      <c r="H1356"/>
      <c r="I1356"/>
      <c r="J1356"/>
      <c r="K1356"/>
      <c r="L1356"/>
      <c r="M1356"/>
      <c r="N1356"/>
      <c r="O1356"/>
      <c r="P1356" s="36"/>
      <c r="Q1356" s="37"/>
      <c r="R1356"/>
      <c r="S1356"/>
      <c r="T1356"/>
      <c r="U1356"/>
      <c r="V1356" s="39"/>
      <c r="W1356"/>
      <c r="X1356"/>
      <c r="Y1356"/>
      <c r="Z1356"/>
      <c r="AA1356"/>
    </row>
    <row r="1357" spans="1:27" x14ac:dyDescent="0.25">
      <c r="A1357"/>
      <c r="B1357" s="36"/>
      <c r="C1357" s="36"/>
      <c r="D1357"/>
      <c r="E1357"/>
      <c r="F1357"/>
      <c r="G1357"/>
      <c r="H1357"/>
      <c r="I1357"/>
      <c r="J1357"/>
      <c r="K1357"/>
      <c r="L1357"/>
      <c r="M1357"/>
      <c r="N1357"/>
      <c r="O1357"/>
      <c r="P1357" s="36"/>
      <c r="Q1357" s="37"/>
      <c r="R1357"/>
      <c r="S1357"/>
      <c r="T1357"/>
      <c r="U1357"/>
      <c r="V1357" s="39"/>
      <c r="W1357"/>
      <c r="X1357"/>
      <c r="Y1357"/>
      <c r="Z1357"/>
      <c r="AA1357"/>
    </row>
    <row r="1358" spans="1:27" x14ac:dyDescent="0.25">
      <c r="A1358"/>
      <c r="B1358" s="36"/>
      <c r="C1358" s="36"/>
      <c r="D1358"/>
      <c r="E1358"/>
      <c r="F1358"/>
      <c r="G1358"/>
      <c r="H1358"/>
      <c r="I1358"/>
      <c r="J1358"/>
      <c r="K1358"/>
      <c r="L1358"/>
      <c r="M1358"/>
      <c r="N1358"/>
      <c r="O1358"/>
      <c r="P1358" s="36"/>
      <c r="Q1358" s="37"/>
      <c r="R1358"/>
      <c r="S1358"/>
      <c r="T1358"/>
      <c r="U1358"/>
      <c r="V1358" s="39"/>
      <c r="W1358"/>
      <c r="X1358"/>
      <c r="Y1358"/>
      <c r="Z1358"/>
      <c r="AA1358"/>
    </row>
    <row r="1359" spans="1:27" x14ac:dyDescent="0.25">
      <c r="A1359"/>
      <c r="B1359" s="36"/>
      <c r="C1359" s="36"/>
      <c r="D1359"/>
      <c r="E1359"/>
      <c r="F1359"/>
      <c r="G1359"/>
      <c r="H1359"/>
      <c r="I1359"/>
      <c r="J1359"/>
      <c r="K1359"/>
      <c r="L1359"/>
      <c r="M1359"/>
      <c r="N1359"/>
      <c r="O1359"/>
      <c r="P1359" s="36"/>
      <c r="Q1359" s="37"/>
      <c r="R1359"/>
      <c r="S1359"/>
      <c r="T1359"/>
      <c r="U1359"/>
      <c r="V1359" s="39"/>
      <c r="W1359"/>
      <c r="X1359"/>
      <c r="Y1359"/>
      <c r="Z1359"/>
      <c r="AA1359"/>
    </row>
    <row r="1360" spans="1:27" x14ac:dyDescent="0.25">
      <c r="A1360"/>
      <c r="B1360" s="36"/>
      <c r="C1360" s="36"/>
      <c r="D1360"/>
      <c r="E1360"/>
      <c r="F1360"/>
      <c r="G1360"/>
      <c r="H1360"/>
      <c r="I1360"/>
      <c r="J1360"/>
      <c r="K1360"/>
      <c r="L1360"/>
      <c r="M1360"/>
      <c r="N1360"/>
      <c r="O1360"/>
      <c r="P1360" s="36"/>
      <c r="Q1360" s="37"/>
      <c r="R1360"/>
      <c r="S1360"/>
      <c r="T1360"/>
      <c r="U1360"/>
      <c r="V1360" s="39"/>
      <c r="W1360"/>
      <c r="X1360"/>
      <c r="Y1360"/>
      <c r="Z1360"/>
      <c r="AA1360"/>
    </row>
    <row r="1361" spans="1:27" x14ac:dyDescent="0.25">
      <c r="A1361"/>
      <c r="B1361" s="36"/>
      <c r="C1361" s="36"/>
      <c r="D1361"/>
      <c r="E1361"/>
      <c r="F1361"/>
      <c r="G1361"/>
      <c r="H1361"/>
      <c r="I1361"/>
      <c r="J1361"/>
      <c r="K1361"/>
      <c r="L1361"/>
      <c r="M1361"/>
      <c r="N1361"/>
      <c r="O1361"/>
      <c r="P1361" s="36"/>
      <c r="Q1361" s="37"/>
      <c r="R1361"/>
      <c r="S1361"/>
      <c r="T1361"/>
      <c r="U1361"/>
      <c r="V1361" s="39"/>
      <c r="W1361"/>
      <c r="X1361"/>
      <c r="Y1361"/>
      <c r="Z1361"/>
      <c r="AA1361"/>
    </row>
    <row r="1362" spans="1:27" x14ac:dyDescent="0.25">
      <c r="A1362"/>
      <c r="B1362" s="36"/>
      <c r="C1362" s="36"/>
      <c r="D1362"/>
      <c r="E1362"/>
      <c r="F1362"/>
      <c r="G1362"/>
      <c r="H1362"/>
      <c r="I1362"/>
      <c r="J1362"/>
      <c r="K1362"/>
      <c r="L1362"/>
      <c r="M1362"/>
      <c r="N1362"/>
      <c r="O1362"/>
      <c r="P1362" s="36"/>
      <c r="Q1362" s="37"/>
      <c r="R1362"/>
      <c r="S1362"/>
      <c r="T1362"/>
      <c r="U1362"/>
      <c r="V1362" s="39"/>
      <c r="W1362"/>
      <c r="X1362"/>
      <c r="Y1362"/>
      <c r="Z1362"/>
      <c r="AA1362"/>
    </row>
    <row r="1363" spans="1:27" x14ac:dyDescent="0.25">
      <c r="A1363"/>
      <c r="B1363" s="36"/>
      <c r="C1363" s="36"/>
      <c r="D1363"/>
      <c r="E1363"/>
      <c r="F1363"/>
      <c r="G1363"/>
      <c r="H1363"/>
      <c r="I1363"/>
      <c r="J1363"/>
      <c r="K1363"/>
      <c r="L1363"/>
      <c r="M1363"/>
      <c r="N1363"/>
      <c r="O1363"/>
      <c r="P1363" s="36"/>
      <c r="Q1363" s="37"/>
      <c r="R1363"/>
      <c r="S1363"/>
      <c r="T1363"/>
      <c r="U1363"/>
      <c r="V1363" s="39"/>
      <c r="W1363"/>
      <c r="X1363"/>
      <c r="Y1363"/>
      <c r="Z1363"/>
      <c r="AA1363"/>
    </row>
    <row r="1364" spans="1:27" x14ac:dyDescent="0.25">
      <c r="A1364"/>
      <c r="B1364" s="36"/>
      <c r="C1364" s="36"/>
      <c r="D1364"/>
      <c r="E1364"/>
      <c r="F1364"/>
      <c r="G1364"/>
      <c r="H1364"/>
      <c r="I1364"/>
      <c r="J1364"/>
      <c r="K1364"/>
      <c r="L1364"/>
      <c r="M1364"/>
      <c r="N1364"/>
      <c r="O1364"/>
      <c r="P1364" s="36"/>
      <c r="Q1364" s="37"/>
      <c r="R1364"/>
      <c r="S1364"/>
      <c r="T1364"/>
      <c r="U1364"/>
      <c r="V1364" s="39"/>
      <c r="W1364"/>
      <c r="X1364"/>
      <c r="Y1364"/>
      <c r="Z1364"/>
      <c r="AA1364"/>
    </row>
    <row r="1365" spans="1:27" x14ac:dyDescent="0.25">
      <c r="A1365"/>
      <c r="B1365" s="36"/>
      <c r="C1365" s="36"/>
      <c r="D1365"/>
      <c r="E1365"/>
      <c r="F1365"/>
      <c r="G1365"/>
      <c r="H1365"/>
      <c r="I1365"/>
      <c r="J1365"/>
      <c r="K1365"/>
      <c r="L1365"/>
      <c r="M1365"/>
      <c r="N1365"/>
      <c r="O1365"/>
      <c r="P1365" s="36"/>
      <c r="Q1365" s="37"/>
      <c r="R1365"/>
      <c r="S1365"/>
      <c r="T1365"/>
      <c r="U1365"/>
      <c r="V1365" s="39"/>
      <c r="W1365"/>
      <c r="X1365"/>
      <c r="Y1365"/>
      <c r="Z1365"/>
      <c r="AA1365"/>
    </row>
    <row r="1366" spans="1:27" x14ac:dyDescent="0.25">
      <c r="A1366"/>
      <c r="B1366" s="36"/>
      <c r="C1366" s="36"/>
      <c r="D1366"/>
      <c r="E1366"/>
      <c r="F1366"/>
      <c r="G1366"/>
      <c r="H1366"/>
      <c r="I1366"/>
      <c r="J1366"/>
      <c r="K1366"/>
      <c r="L1366"/>
      <c r="M1366"/>
      <c r="N1366"/>
      <c r="O1366"/>
      <c r="P1366" s="36"/>
      <c r="Q1366" s="37"/>
      <c r="R1366"/>
      <c r="S1366"/>
      <c r="T1366"/>
      <c r="U1366"/>
      <c r="V1366" s="39"/>
      <c r="W1366"/>
      <c r="X1366"/>
      <c r="Y1366"/>
      <c r="Z1366"/>
      <c r="AA1366"/>
    </row>
    <row r="1367" spans="1:27" x14ac:dyDescent="0.25">
      <c r="A1367"/>
      <c r="B1367" s="36"/>
      <c r="C1367" s="36"/>
      <c r="D1367"/>
      <c r="E1367"/>
      <c r="F1367"/>
      <c r="G1367"/>
      <c r="H1367"/>
      <c r="I1367"/>
      <c r="J1367"/>
      <c r="K1367"/>
      <c r="L1367"/>
      <c r="M1367"/>
      <c r="N1367"/>
      <c r="O1367"/>
      <c r="P1367" s="36"/>
      <c r="Q1367" s="37"/>
      <c r="R1367"/>
      <c r="S1367"/>
      <c r="T1367"/>
      <c r="U1367"/>
      <c r="V1367" s="39"/>
      <c r="W1367"/>
      <c r="X1367"/>
      <c r="Y1367"/>
      <c r="Z1367"/>
      <c r="AA1367"/>
    </row>
    <row r="1368" spans="1:27" x14ac:dyDescent="0.25">
      <c r="A1368"/>
      <c r="B1368" s="36"/>
      <c r="C1368" s="36"/>
      <c r="D1368"/>
      <c r="E1368"/>
      <c r="F1368"/>
      <c r="G1368"/>
      <c r="H1368"/>
      <c r="I1368"/>
      <c r="J1368"/>
      <c r="K1368"/>
      <c r="L1368"/>
      <c r="M1368"/>
      <c r="N1368"/>
      <c r="O1368"/>
      <c r="P1368" s="36"/>
      <c r="Q1368" s="37"/>
      <c r="R1368"/>
      <c r="S1368"/>
      <c r="T1368"/>
      <c r="U1368"/>
      <c r="V1368" s="39"/>
      <c r="W1368"/>
      <c r="X1368"/>
      <c r="Y1368"/>
      <c r="Z1368"/>
      <c r="AA1368"/>
    </row>
    <row r="1369" spans="1:27" x14ac:dyDescent="0.25">
      <c r="A1369"/>
      <c r="B1369" s="36"/>
      <c r="C1369" s="36"/>
      <c r="D1369"/>
      <c r="E1369"/>
      <c r="F1369"/>
      <c r="G1369"/>
      <c r="H1369"/>
      <c r="I1369"/>
      <c r="J1369"/>
      <c r="K1369"/>
      <c r="L1369"/>
      <c r="M1369"/>
      <c r="N1369"/>
      <c r="O1369"/>
      <c r="P1369" s="36"/>
      <c r="Q1369" s="37"/>
      <c r="R1369"/>
      <c r="S1369"/>
      <c r="T1369"/>
      <c r="U1369"/>
      <c r="V1369" s="39"/>
      <c r="W1369"/>
      <c r="X1369"/>
      <c r="Y1369"/>
      <c r="Z1369"/>
      <c r="AA1369"/>
    </row>
    <row r="1370" spans="1:27" x14ac:dyDescent="0.25">
      <c r="A1370"/>
      <c r="B1370" s="36"/>
      <c r="C1370" s="36"/>
      <c r="D1370"/>
      <c r="E1370"/>
      <c r="F1370"/>
      <c r="G1370"/>
      <c r="H1370"/>
      <c r="I1370"/>
      <c r="J1370"/>
      <c r="K1370"/>
      <c r="L1370"/>
      <c r="M1370"/>
      <c r="N1370"/>
      <c r="O1370"/>
      <c r="P1370" s="36"/>
      <c r="Q1370" s="37"/>
      <c r="R1370"/>
      <c r="S1370"/>
      <c r="T1370"/>
      <c r="U1370"/>
      <c r="V1370" s="39"/>
      <c r="W1370"/>
      <c r="X1370"/>
      <c r="Y1370"/>
      <c r="Z1370"/>
      <c r="AA1370"/>
    </row>
    <row r="1371" spans="1:27" x14ac:dyDescent="0.25">
      <c r="A1371"/>
      <c r="B1371" s="36"/>
      <c r="C1371" s="36"/>
      <c r="D1371"/>
      <c r="E1371"/>
      <c r="F1371"/>
      <c r="G1371"/>
      <c r="H1371"/>
      <c r="I1371"/>
      <c r="J1371"/>
      <c r="K1371"/>
      <c r="L1371"/>
      <c r="M1371"/>
      <c r="N1371"/>
      <c r="O1371"/>
      <c r="P1371" s="36"/>
      <c r="Q1371" s="37"/>
      <c r="R1371"/>
      <c r="S1371"/>
      <c r="T1371"/>
      <c r="U1371"/>
      <c r="V1371" s="39"/>
      <c r="W1371"/>
      <c r="X1371"/>
      <c r="Y1371"/>
      <c r="Z1371"/>
      <c r="AA1371"/>
    </row>
    <row r="1372" spans="1:27" x14ac:dyDescent="0.25">
      <c r="A1372"/>
      <c r="B1372" s="36"/>
      <c r="C1372" s="36"/>
      <c r="D1372"/>
      <c r="E1372"/>
      <c r="F1372"/>
      <c r="G1372"/>
      <c r="H1372"/>
      <c r="I1372"/>
      <c r="J1372"/>
      <c r="K1372"/>
      <c r="L1372"/>
      <c r="M1372"/>
      <c r="N1372"/>
      <c r="O1372"/>
      <c r="P1372" s="36"/>
      <c r="Q1372" s="37"/>
      <c r="R1372"/>
      <c r="S1372"/>
      <c r="T1372"/>
      <c r="U1372"/>
      <c r="V1372" s="39"/>
      <c r="W1372"/>
      <c r="X1372"/>
      <c r="Y1372"/>
      <c r="Z1372"/>
      <c r="AA1372"/>
    </row>
    <row r="1373" spans="1:27" x14ac:dyDescent="0.25">
      <c r="A1373"/>
      <c r="B1373" s="36"/>
      <c r="C1373" s="36"/>
      <c r="D1373"/>
      <c r="E1373"/>
      <c r="F1373"/>
      <c r="G1373"/>
      <c r="H1373"/>
      <c r="I1373"/>
      <c r="J1373"/>
      <c r="K1373"/>
      <c r="L1373"/>
      <c r="M1373"/>
      <c r="N1373"/>
      <c r="O1373"/>
      <c r="P1373" s="36"/>
      <c r="Q1373" s="37"/>
      <c r="R1373"/>
      <c r="S1373"/>
      <c r="T1373"/>
      <c r="U1373"/>
      <c r="V1373" s="39"/>
      <c r="W1373"/>
      <c r="X1373"/>
      <c r="Y1373"/>
      <c r="Z1373"/>
      <c r="AA1373"/>
    </row>
    <row r="1374" spans="1:27" x14ac:dyDescent="0.25">
      <c r="A1374"/>
      <c r="B1374" s="36"/>
      <c r="C1374" s="36"/>
      <c r="D1374"/>
      <c r="E1374"/>
      <c r="F1374"/>
      <c r="G1374"/>
      <c r="H1374"/>
      <c r="I1374"/>
      <c r="J1374"/>
      <c r="K1374"/>
      <c r="L1374"/>
      <c r="M1374"/>
      <c r="N1374"/>
      <c r="O1374"/>
      <c r="P1374" s="36"/>
      <c r="Q1374" s="37"/>
      <c r="R1374"/>
      <c r="S1374"/>
      <c r="T1374"/>
      <c r="U1374"/>
      <c r="V1374" s="39"/>
      <c r="W1374"/>
      <c r="X1374"/>
      <c r="Y1374"/>
      <c r="Z1374"/>
      <c r="AA1374"/>
    </row>
    <row r="1375" spans="1:27" x14ac:dyDescent="0.25">
      <c r="A1375"/>
      <c r="B1375" s="36"/>
      <c r="C1375" s="36"/>
      <c r="D1375"/>
      <c r="E1375"/>
      <c r="F1375"/>
      <c r="G1375"/>
      <c r="H1375"/>
      <c r="I1375"/>
      <c r="J1375"/>
      <c r="K1375"/>
      <c r="L1375"/>
      <c r="M1375"/>
      <c r="N1375"/>
      <c r="O1375"/>
      <c r="P1375" s="36"/>
      <c r="Q1375" s="37"/>
      <c r="R1375"/>
      <c r="S1375"/>
      <c r="T1375"/>
      <c r="U1375"/>
      <c r="V1375" s="39"/>
      <c r="W1375"/>
      <c r="X1375"/>
      <c r="Y1375"/>
      <c r="Z1375"/>
      <c r="AA1375"/>
    </row>
    <row r="1376" spans="1:27" x14ac:dyDescent="0.25">
      <c r="A1376"/>
      <c r="B1376" s="36"/>
      <c r="C1376" s="36"/>
      <c r="D1376"/>
      <c r="E1376"/>
      <c r="F1376"/>
      <c r="G1376"/>
      <c r="H1376"/>
      <c r="I1376"/>
      <c r="J1376"/>
      <c r="K1376"/>
      <c r="L1376"/>
      <c r="M1376"/>
      <c r="N1376"/>
      <c r="O1376"/>
      <c r="P1376" s="36"/>
      <c r="Q1376" s="37"/>
      <c r="R1376"/>
      <c r="S1376"/>
      <c r="T1376"/>
      <c r="U1376"/>
      <c r="V1376" s="39"/>
      <c r="W1376"/>
      <c r="X1376"/>
      <c r="Y1376"/>
      <c r="Z1376"/>
      <c r="AA1376"/>
    </row>
    <row r="1377" spans="1:27" x14ac:dyDescent="0.25">
      <c r="A1377"/>
      <c r="B1377" s="36"/>
      <c r="C1377" s="36"/>
      <c r="D1377"/>
      <c r="E1377"/>
      <c r="F1377"/>
      <c r="G1377"/>
      <c r="H1377"/>
      <c r="I1377"/>
      <c r="J1377"/>
      <c r="K1377"/>
      <c r="L1377"/>
      <c r="M1377"/>
      <c r="N1377"/>
      <c r="O1377"/>
      <c r="P1377" s="36"/>
      <c r="Q1377" s="37"/>
      <c r="R1377"/>
      <c r="S1377"/>
      <c r="T1377"/>
      <c r="U1377"/>
      <c r="V1377" s="39"/>
      <c r="W1377"/>
      <c r="X1377"/>
      <c r="Y1377"/>
      <c r="Z1377"/>
      <c r="AA1377"/>
    </row>
    <row r="1378" spans="1:27" x14ac:dyDescent="0.25">
      <c r="A1378"/>
      <c r="B1378" s="36"/>
      <c r="C1378" s="36"/>
      <c r="D1378"/>
      <c r="E1378"/>
      <c r="F1378"/>
      <c r="G1378"/>
      <c r="H1378"/>
      <c r="I1378"/>
      <c r="J1378"/>
      <c r="K1378"/>
      <c r="L1378"/>
      <c r="M1378"/>
      <c r="N1378"/>
      <c r="O1378"/>
      <c r="P1378" s="36"/>
      <c r="Q1378" s="37"/>
      <c r="R1378"/>
      <c r="S1378"/>
      <c r="T1378"/>
      <c r="U1378"/>
      <c r="V1378" s="39"/>
      <c r="W1378"/>
      <c r="X1378"/>
      <c r="Y1378"/>
      <c r="Z1378"/>
      <c r="AA1378"/>
    </row>
    <row r="1379" spans="1:27" x14ac:dyDescent="0.25">
      <c r="A1379"/>
      <c r="B1379" s="36"/>
      <c r="C1379" s="36"/>
      <c r="D1379"/>
      <c r="E1379"/>
      <c r="F1379"/>
      <c r="G1379"/>
      <c r="H1379"/>
      <c r="I1379"/>
      <c r="J1379"/>
      <c r="K1379"/>
      <c r="L1379"/>
      <c r="M1379"/>
      <c r="N1379"/>
      <c r="O1379"/>
      <c r="P1379" s="36"/>
      <c r="Q1379" s="37"/>
      <c r="R1379"/>
      <c r="S1379"/>
      <c r="T1379"/>
      <c r="U1379"/>
      <c r="V1379" s="39"/>
      <c r="W1379"/>
      <c r="X1379"/>
      <c r="Y1379"/>
      <c r="Z1379"/>
      <c r="AA1379"/>
    </row>
    <row r="1380" spans="1:27" x14ac:dyDescent="0.25">
      <c r="A1380"/>
      <c r="B1380" s="36"/>
      <c r="C1380" s="36"/>
      <c r="D1380"/>
      <c r="E1380"/>
      <c r="F1380"/>
      <c r="G1380"/>
      <c r="H1380"/>
      <c r="I1380"/>
      <c r="J1380"/>
      <c r="K1380"/>
      <c r="L1380"/>
      <c r="M1380"/>
      <c r="N1380"/>
      <c r="O1380"/>
      <c r="P1380" s="36"/>
      <c r="Q1380" s="37"/>
      <c r="R1380"/>
      <c r="S1380"/>
      <c r="T1380"/>
      <c r="U1380"/>
      <c r="V1380" s="39"/>
      <c r="W1380"/>
      <c r="X1380"/>
      <c r="Y1380"/>
      <c r="Z1380"/>
      <c r="AA1380"/>
    </row>
    <row r="1381" spans="1:27" x14ac:dyDescent="0.25">
      <c r="A1381"/>
      <c r="B1381" s="36"/>
      <c r="C1381" s="36"/>
      <c r="D1381"/>
      <c r="E1381"/>
      <c r="F1381"/>
      <c r="G1381"/>
      <c r="H1381"/>
      <c r="I1381"/>
      <c r="J1381"/>
      <c r="K1381"/>
      <c r="L1381"/>
      <c r="M1381"/>
      <c r="N1381"/>
      <c r="O1381"/>
      <c r="P1381" s="36"/>
      <c r="Q1381" s="37"/>
      <c r="R1381"/>
      <c r="S1381"/>
      <c r="T1381"/>
      <c r="U1381"/>
      <c r="V1381" s="39"/>
      <c r="W1381"/>
      <c r="X1381"/>
      <c r="Y1381"/>
      <c r="Z1381"/>
      <c r="AA1381"/>
    </row>
    <row r="1382" spans="1:27" x14ac:dyDescent="0.25">
      <c r="A1382"/>
      <c r="B1382" s="36"/>
      <c r="C1382" s="36"/>
      <c r="D1382"/>
      <c r="E1382"/>
      <c r="F1382"/>
      <c r="G1382"/>
      <c r="H1382"/>
      <c r="I1382"/>
      <c r="J1382"/>
      <c r="K1382"/>
      <c r="L1382"/>
      <c r="M1382"/>
      <c r="N1382"/>
      <c r="O1382"/>
      <c r="P1382" s="36"/>
      <c r="Q1382" s="37"/>
      <c r="R1382"/>
      <c r="S1382"/>
      <c r="T1382"/>
      <c r="U1382"/>
      <c r="V1382" s="39"/>
      <c r="W1382"/>
      <c r="X1382"/>
      <c r="Y1382"/>
      <c r="Z1382"/>
      <c r="AA1382"/>
    </row>
    <row r="1383" spans="1:27" x14ac:dyDescent="0.25">
      <c r="A1383"/>
      <c r="B1383" s="36"/>
      <c r="C1383" s="36"/>
      <c r="D1383"/>
      <c r="E1383"/>
      <c r="F1383"/>
      <c r="G1383"/>
      <c r="H1383"/>
      <c r="I1383"/>
      <c r="J1383"/>
      <c r="K1383"/>
      <c r="L1383"/>
      <c r="M1383"/>
      <c r="N1383"/>
      <c r="O1383"/>
      <c r="P1383" s="36"/>
      <c r="Q1383" s="37"/>
      <c r="R1383"/>
      <c r="S1383"/>
      <c r="T1383"/>
      <c r="U1383"/>
      <c r="V1383" s="39"/>
      <c r="W1383"/>
      <c r="X1383"/>
      <c r="Y1383"/>
      <c r="Z1383"/>
      <c r="AA1383"/>
    </row>
    <row r="1384" spans="1:27" x14ac:dyDescent="0.25">
      <c r="A1384"/>
      <c r="B1384" s="36"/>
      <c r="C1384" s="36"/>
      <c r="D1384"/>
      <c r="E1384"/>
      <c r="F1384"/>
      <c r="G1384"/>
      <c r="H1384"/>
      <c r="I1384"/>
      <c r="J1384"/>
      <c r="K1384"/>
      <c r="L1384"/>
      <c r="M1384"/>
      <c r="N1384"/>
      <c r="O1384"/>
      <c r="P1384" s="36"/>
      <c r="Q1384" s="37"/>
      <c r="R1384"/>
      <c r="S1384"/>
      <c r="T1384"/>
      <c r="U1384"/>
      <c r="V1384" s="39"/>
      <c r="W1384"/>
      <c r="X1384"/>
      <c r="Y1384"/>
      <c r="Z1384"/>
      <c r="AA1384"/>
    </row>
    <row r="1385" spans="1:27" x14ac:dyDescent="0.25">
      <c r="A1385"/>
      <c r="B1385" s="36"/>
      <c r="C1385" s="36"/>
      <c r="D1385"/>
      <c r="E1385"/>
      <c r="F1385"/>
      <c r="G1385"/>
      <c r="H1385"/>
      <c r="I1385"/>
      <c r="J1385"/>
      <c r="K1385"/>
      <c r="L1385"/>
      <c r="M1385"/>
      <c r="N1385"/>
      <c r="O1385"/>
      <c r="P1385" s="36"/>
      <c r="Q1385" s="37"/>
      <c r="R1385"/>
      <c r="S1385"/>
      <c r="T1385"/>
      <c r="U1385"/>
      <c r="V1385" s="39"/>
      <c r="W1385"/>
      <c r="X1385"/>
      <c r="Y1385"/>
      <c r="Z1385"/>
      <c r="AA1385"/>
    </row>
    <row r="1386" spans="1:27" x14ac:dyDescent="0.25">
      <c r="A1386"/>
      <c r="B1386" s="36"/>
      <c r="C1386" s="36"/>
      <c r="D1386"/>
      <c r="E1386"/>
      <c r="F1386"/>
      <c r="G1386"/>
      <c r="H1386"/>
      <c r="I1386"/>
      <c r="J1386"/>
      <c r="K1386"/>
      <c r="L1386"/>
      <c r="M1386"/>
      <c r="N1386"/>
      <c r="O1386"/>
      <c r="P1386" s="36"/>
      <c r="Q1386" s="37"/>
      <c r="R1386"/>
      <c r="S1386"/>
      <c r="T1386"/>
      <c r="U1386"/>
      <c r="V1386" s="39"/>
      <c r="W1386"/>
      <c r="X1386"/>
      <c r="Y1386"/>
      <c r="Z1386"/>
      <c r="AA1386"/>
    </row>
    <row r="1387" spans="1:27" x14ac:dyDescent="0.25">
      <c r="A1387"/>
      <c r="B1387" s="36"/>
      <c r="C1387" s="36"/>
      <c r="D1387"/>
      <c r="E1387"/>
      <c r="F1387"/>
      <c r="G1387"/>
      <c r="H1387"/>
      <c r="I1387"/>
      <c r="J1387"/>
      <c r="K1387"/>
      <c r="L1387"/>
      <c r="M1387"/>
      <c r="N1387"/>
      <c r="O1387"/>
      <c r="P1387" s="36"/>
      <c r="Q1387" s="37"/>
      <c r="R1387"/>
      <c r="S1387"/>
      <c r="T1387"/>
      <c r="U1387"/>
      <c r="V1387" s="39"/>
      <c r="W1387"/>
      <c r="X1387"/>
      <c r="Y1387"/>
      <c r="Z1387"/>
      <c r="AA1387"/>
    </row>
    <row r="1388" spans="1:27" x14ac:dyDescent="0.25">
      <c r="A1388"/>
      <c r="B1388" s="36"/>
      <c r="C1388" s="36"/>
      <c r="D1388"/>
      <c r="E1388"/>
      <c r="F1388"/>
      <c r="G1388"/>
      <c r="H1388"/>
      <c r="I1388"/>
      <c r="J1388"/>
      <c r="K1388"/>
      <c r="L1388"/>
      <c r="M1388"/>
      <c r="N1388"/>
      <c r="O1388"/>
      <c r="P1388" s="36"/>
      <c r="Q1388" s="37"/>
      <c r="R1388"/>
      <c r="S1388"/>
      <c r="T1388"/>
      <c r="U1388"/>
      <c r="V1388" s="39"/>
      <c r="W1388"/>
      <c r="X1388"/>
      <c r="Y1388"/>
      <c r="Z1388"/>
      <c r="AA1388"/>
    </row>
    <row r="1389" spans="1:27" x14ac:dyDescent="0.25">
      <c r="A1389"/>
      <c r="B1389" s="36"/>
      <c r="C1389" s="36"/>
      <c r="D1389"/>
      <c r="E1389"/>
      <c r="F1389"/>
      <c r="G1389"/>
      <c r="H1389"/>
      <c r="I1389"/>
      <c r="J1389"/>
      <c r="K1389"/>
      <c r="L1389"/>
      <c r="M1389"/>
      <c r="N1389"/>
      <c r="O1389"/>
      <c r="P1389" s="36"/>
      <c r="Q1389" s="37"/>
      <c r="R1389"/>
      <c r="S1389"/>
      <c r="T1389"/>
      <c r="U1389"/>
      <c r="V1389" s="39"/>
      <c r="W1389"/>
      <c r="X1389"/>
      <c r="Y1389"/>
      <c r="Z1389"/>
      <c r="AA1389"/>
    </row>
    <row r="1390" spans="1:27" x14ac:dyDescent="0.25">
      <c r="A1390"/>
      <c r="B1390" s="36"/>
      <c r="C1390" s="36"/>
      <c r="D1390"/>
      <c r="E1390"/>
      <c r="F1390"/>
      <c r="G1390"/>
      <c r="H1390"/>
      <c r="I1390"/>
      <c r="J1390"/>
      <c r="K1390"/>
      <c r="L1390"/>
      <c r="M1390"/>
      <c r="N1390"/>
      <c r="O1390"/>
      <c r="P1390" s="36"/>
      <c r="Q1390" s="37"/>
      <c r="R1390"/>
      <c r="S1390"/>
      <c r="T1390"/>
      <c r="U1390"/>
      <c r="V1390" s="39"/>
      <c r="W1390"/>
      <c r="X1390"/>
      <c r="Y1390"/>
      <c r="Z1390"/>
      <c r="AA1390"/>
    </row>
    <row r="1391" spans="1:27" x14ac:dyDescent="0.25">
      <c r="A1391"/>
      <c r="B1391" s="36"/>
      <c r="C1391" s="36"/>
      <c r="D1391"/>
      <c r="E1391"/>
      <c r="F1391"/>
      <c r="G1391"/>
      <c r="H1391"/>
      <c r="I1391"/>
      <c r="J1391"/>
      <c r="K1391"/>
      <c r="L1391"/>
      <c r="M1391"/>
      <c r="N1391"/>
      <c r="O1391"/>
      <c r="P1391" s="36"/>
      <c r="Q1391" s="37"/>
      <c r="R1391"/>
      <c r="S1391"/>
      <c r="T1391"/>
      <c r="U1391"/>
      <c r="V1391" s="39"/>
      <c r="W1391"/>
      <c r="X1391"/>
      <c r="Y1391"/>
      <c r="Z1391"/>
      <c r="AA1391"/>
    </row>
    <row r="1392" spans="1:27" x14ac:dyDescent="0.25">
      <c r="A1392"/>
      <c r="B1392" s="36"/>
      <c r="C1392" s="36"/>
      <c r="D1392"/>
      <c r="E1392"/>
      <c r="F1392"/>
      <c r="G1392"/>
      <c r="H1392"/>
      <c r="I1392"/>
      <c r="J1392"/>
      <c r="K1392"/>
      <c r="L1392"/>
      <c r="M1392"/>
      <c r="N1392"/>
      <c r="O1392"/>
      <c r="P1392" s="36"/>
      <c r="Q1392" s="37"/>
      <c r="R1392"/>
      <c r="S1392"/>
      <c r="T1392"/>
      <c r="U1392"/>
      <c r="V1392" s="39"/>
      <c r="W1392"/>
      <c r="X1392"/>
      <c r="Y1392"/>
      <c r="Z1392"/>
      <c r="AA1392"/>
    </row>
    <row r="1393" spans="1:27" x14ac:dyDescent="0.25">
      <c r="A1393"/>
      <c r="B1393" s="36"/>
      <c r="C1393" s="36"/>
      <c r="D1393"/>
      <c r="E1393"/>
      <c r="F1393"/>
      <c r="G1393"/>
      <c r="H1393"/>
      <c r="I1393"/>
      <c r="J1393"/>
      <c r="K1393"/>
      <c r="L1393"/>
      <c r="M1393"/>
      <c r="N1393"/>
      <c r="O1393"/>
      <c r="P1393" s="36"/>
      <c r="Q1393" s="37"/>
      <c r="R1393"/>
      <c r="S1393"/>
      <c r="T1393"/>
      <c r="U1393"/>
      <c r="V1393" s="39"/>
      <c r="W1393"/>
      <c r="X1393"/>
      <c r="Y1393"/>
      <c r="Z1393"/>
      <c r="AA1393"/>
    </row>
    <row r="1394" spans="1:27" x14ac:dyDescent="0.25">
      <c r="A1394"/>
      <c r="B1394" s="36"/>
      <c r="C1394" s="36"/>
      <c r="D1394"/>
      <c r="E1394"/>
      <c r="F1394"/>
      <c r="G1394"/>
      <c r="H1394"/>
      <c r="I1394"/>
      <c r="J1394"/>
      <c r="K1394"/>
      <c r="L1394"/>
      <c r="M1394"/>
      <c r="N1394"/>
      <c r="O1394"/>
      <c r="P1394" s="36"/>
      <c r="Q1394" s="37"/>
      <c r="R1394"/>
      <c r="S1394"/>
      <c r="T1394"/>
      <c r="U1394"/>
      <c r="V1394" s="39"/>
      <c r="W1394"/>
      <c r="X1394"/>
      <c r="Y1394"/>
      <c r="Z1394"/>
      <c r="AA1394"/>
    </row>
    <row r="1395" spans="1:27" x14ac:dyDescent="0.25">
      <c r="A1395"/>
      <c r="B1395" s="36"/>
      <c r="C1395" s="36"/>
      <c r="D1395"/>
      <c r="E1395"/>
      <c r="F1395"/>
      <c r="G1395"/>
      <c r="H1395"/>
      <c r="I1395"/>
      <c r="J1395"/>
      <c r="K1395"/>
      <c r="L1395"/>
      <c r="M1395"/>
      <c r="N1395"/>
      <c r="O1395"/>
      <c r="P1395" s="36"/>
      <c r="Q1395" s="37"/>
      <c r="R1395"/>
      <c r="S1395"/>
      <c r="T1395"/>
      <c r="U1395"/>
      <c r="V1395" s="39"/>
      <c r="W1395"/>
      <c r="X1395"/>
      <c r="Y1395"/>
      <c r="Z1395"/>
      <c r="AA1395"/>
    </row>
    <row r="1396" spans="1:27" x14ac:dyDescent="0.25">
      <c r="A1396"/>
      <c r="B1396" s="36"/>
      <c r="C1396" s="36"/>
      <c r="D1396"/>
      <c r="E1396"/>
      <c r="F1396"/>
      <c r="G1396"/>
      <c r="H1396"/>
      <c r="I1396"/>
      <c r="J1396"/>
      <c r="K1396"/>
      <c r="L1396"/>
      <c r="M1396"/>
      <c r="N1396"/>
      <c r="O1396"/>
      <c r="P1396" s="36"/>
      <c r="Q1396" s="37"/>
      <c r="R1396"/>
      <c r="S1396"/>
      <c r="T1396"/>
      <c r="U1396"/>
      <c r="V1396" s="39"/>
      <c r="W1396"/>
      <c r="X1396"/>
      <c r="Y1396"/>
      <c r="Z1396"/>
      <c r="AA1396"/>
    </row>
    <row r="1397" spans="1:27" x14ac:dyDescent="0.25">
      <c r="A1397"/>
      <c r="B1397" s="36"/>
      <c r="C1397" s="36"/>
      <c r="D1397"/>
      <c r="E1397"/>
      <c r="F1397"/>
      <c r="G1397"/>
      <c r="H1397"/>
      <c r="I1397"/>
      <c r="J1397"/>
      <c r="K1397"/>
      <c r="L1397"/>
      <c r="M1397"/>
      <c r="N1397"/>
      <c r="O1397"/>
      <c r="P1397" s="36"/>
      <c r="Q1397" s="37"/>
      <c r="R1397"/>
      <c r="S1397"/>
      <c r="T1397"/>
      <c r="U1397"/>
      <c r="V1397" s="39"/>
      <c r="W1397"/>
      <c r="X1397"/>
      <c r="Y1397"/>
      <c r="Z1397"/>
      <c r="AA1397"/>
    </row>
    <row r="1398" spans="1:27" x14ac:dyDescent="0.25">
      <c r="A1398"/>
      <c r="B1398" s="36"/>
      <c r="C1398" s="36"/>
      <c r="D1398"/>
      <c r="E1398"/>
      <c r="F1398"/>
      <c r="G1398"/>
      <c r="H1398"/>
      <c r="I1398"/>
      <c r="J1398"/>
      <c r="K1398"/>
      <c r="L1398"/>
      <c r="M1398"/>
      <c r="N1398"/>
      <c r="O1398"/>
      <c r="P1398" s="36"/>
      <c r="Q1398" s="37"/>
      <c r="R1398"/>
      <c r="S1398"/>
      <c r="T1398"/>
      <c r="U1398"/>
      <c r="V1398" s="39"/>
      <c r="W1398"/>
      <c r="X1398"/>
      <c r="Y1398"/>
      <c r="Z1398"/>
      <c r="AA1398"/>
    </row>
    <row r="1399" spans="1:27" x14ac:dyDescent="0.25">
      <c r="A1399"/>
      <c r="B1399" s="36"/>
      <c r="C1399" s="36"/>
      <c r="D1399"/>
      <c r="E1399"/>
      <c r="F1399"/>
      <c r="G1399"/>
      <c r="H1399"/>
      <c r="I1399"/>
      <c r="J1399"/>
      <c r="K1399"/>
      <c r="L1399"/>
      <c r="M1399"/>
      <c r="N1399"/>
      <c r="O1399"/>
      <c r="P1399" s="36"/>
      <c r="Q1399" s="37"/>
      <c r="R1399"/>
      <c r="S1399"/>
      <c r="T1399"/>
      <c r="U1399"/>
      <c r="V1399" s="39"/>
      <c r="W1399"/>
      <c r="X1399"/>
      <c r="Y1399"/>
      <c r="Z1399"/>
      <c r="AA1399"/>
    </row>
    <row r="1400" spans="1:27" x14ac:dyDescent="0.25">
      <c r="A1400"/>
      <c r="B1400" s="36"/>
      <c r="C1400" s="36"/>
      <c r="D1400"/>
      <c r="E1400"/>
      <c r="F1400"/>
      <c r="G1400"/>
      <c r="H1400"/>
      <c r="I1400"/>
      <c r="J1400"/>
      <c r="K1400"/>
      <c r="L1400"/>
      <c r="M1400"/>
      <c r="N1400"/>
      <c r="O1400"/>
      <c r="P1400" s="36"/>
      <c r="Q1400" s="37"/>
      <c r="R1400"/>
      <c r="S1400"/>
      <c r="T1400"/>
      <c r="U1400"/>
      <c r="V1400" s="39"/>
      <c r="W1400"/>
      <c r="X1400"/>
      <c r="Y1400"/>
      <c r="Z1400"/>
      <c r="AA1400"/>
    </row>
    <row r="1401" spans="1:27" x14ac:dyDescent="0.25">
      <c r="A1401"/>
      <c r="B1401" s="36"/>
      <c r="C1401" s="36"/>
      <c r="D1401"/>
      <c r="E1401"/>
      <c r="F1401"/>
      <c r="G1401"/>
      <c r="H1401"/>
      <c r="I1401"/>
      <c r="J1401"/>
      <c r="K1401"/>
      <c r="L1401"/>
      <c r="M1401"/>
      <c r="N1401"/>
      <c r="O1401"/>
      <c r="P1401" s="36"/>
      <c r="Q1401" s="37"/>
      <c r="R1401"/>
      <c r="S1401"/>
      <c r="T1401"/>
      <c r="U1401"/>
      <c r="V1401" s="39"/>
      <c r="W1401"/>
      <c r="X1401"/>
      <c r="Y1401"/>
      <c r="Z1401"/>
      <c r="AA1401"/>
    </row>
    <row r="1402" spans="1:27" x14ac:dyDescent="0.25">
      <c r="A1402"/>
      <c r="B1402" s="36"/>
      <c r="C1402" s="36"/>
      <c r="D1402"/>
      <c r="E1402"/>
      <c r="F1402"/>
      <c r="G1402"/>
      <c r="H1402"/>
      <c r="I1402"/>
      <c r="J1402"/>
      <c r="K1402"/>
      <c r="L1402"/>
      <c r="M1402"/>
      <c r="N1402"/>
      <c r="O1402"/>
      <c r="P1402" s="36"/>
      <c r="Q1402" s="37"/>
      <c r="R1402"/>
      <c r="S1402"/>
      <c r="T1402"/>
      <c r="U1402"/>
      <c r="V1402" s="39"/>
      <c r="W1402"/>
      <c r="X1402"/>
      <c r="Y1402"/>
      <c r="Z1402"/>
      <c r="AA1402"/>
    </row>
    <row r="1403" spans="1:27" x14ac:dyDescent="0.25">
      <c r="A1403"/>
      <c r="B1403" s="36"/>
      <c r="C1403" s="36"/>
      <c r="D1403"/>
      <c r="E1403"/>
      <c r="F1403"/>
      <c r="G1403"/>
      <c r="H1403"/>
      <c r="I1403"/>
      <c r="J1403"/>
      <c r="K1403"/>
      <c r="L1403"/>
      <c r="M1403"/>
      <c r="N1403"/>
      <c r="O1403"/>
      <c r="P1403" s="36"/>
      <c r="Q1403" s="37"/>
      <c r="R1403"/>
      <c r="S1403"/>
      <c r="T1403"/>
      <c r="U1403"/>
      <c r="V1403" s="39"/>
      <c r="W1403"/>
      <c r="X1403"/>
      <c r="Y1403"/>
      <c r="Z1403"/>
      <c r="AA1403"/>
    </row>
    <row r="1404" spans="1:27" x14ac:dyDescent="0.25">
      <c r="A1404"/>
      <c r="B1404" s="36"/>
      <c r="C1404" s="36"/>
      <c r="D1404"/>
      <c r="E1404"/>
      <c r="F1404"/>
      <c r="G1404"/>
      <c r="H1404"/>
      <c r="I1404"/>
      <c r="J1404"/>
      <c r="K1404"/>
      <c r="L1404"/>
      <c r="M1404"/>
      <c r="N1404"/>
      <c r="O1404"/>
      <c r="P1404" s="36"/>
      <c r="Q1404" s="37"/>
      <c r="R1404"/>
      <c r="S1404"/>
      <c r="T1404"/>
      <c r="U1404"/>
      <c r="V1404" s="39"/>
      <c r="W1404"/>
      <c r="X1404"/>
      <c r="Y1404"/>
      <c r="Z1404"/>
      <c r="AA1404"/>
    </row>
    <row r="1405" spans="1:27" x14ac:dyDescent="0.25">
      <c r="A1405"/>
      <c r="B1405" s="36"/>
      <c r="C1405" s="36"/>
      <c r="D1405"/>
      <c r="E1405"/>
      <c r="F1405"/>
      <c r="G1405"/>
      <c r="H1405"/>
      <c r="I1405"/>
      <c r="J1405"/>
      <c r="K1405"/>
      <c r="L1405"/>
      <c r="M1405"/>
      <c r="N1405"/>
      <c r="O1405"/>
      <c r="P1405" s="36"/>
      <c r="Q1405" s="37"/>
      <c r="R1405"/>
      <c r="S1405"/>
      <c r="T1405"/>
      <c r="U1405"/>
      <c r="V1405" s="39"/>
      <c r="W1405"/>
      <c r="X1405"/>
      <c r="Y1405"/>
      <c r="Z1405"/>
      <c r="AA1405"/>
    </row>
    <row r="1406" spans="1:27" x14ac:dyDescent="0.25">
      <c r="A1406"/>
      <c r="B1406" s="36"/>
      <c r="C1406" s="36"/>
      <c r="D1406"/>
      <c r="E1406"/>
      <c r="F1406"/>
      <c r="G1406"/>
      <c r="H1406"/>
      <c r="I1406"/>
      <c r="J1406"/>
      <c r="K1406"/>
      <c r="L1406"/>
      <c r="M1406"/>
      <c r="N1406"/>
      <c r="O1406"/>
      <c r="P1406" s="36"/>
      <c r="Q1406" s="37"/>
      <c r="R1406"/>
      <c r="S1406"/>
      <c r="T1406"/>
      <c r="U1406"/>
      <c r="V1406" s="39"/>
      <c r="W1406"/>
      <c r="X1406"/>
      <c r="Y1406"/>
      <c r="Z1406"/>
      <c r="AA1406"/>
    </row>
    <row r="1407" spans="1:27" x14ac:dyDescent="0.25">
      <c r="A1407"/>
      <c r="B1407" s="36"/>
      <c r="C1407" s="36"/>
      <c r="D1407"/>
      <c r="E1407"/>
      <c r="F1407"/>
      <c r="G1407"/>
      <c r="H1407"/>
      <c r="I1407"/>
      <c r="J1407"/>
      <c r="K1407"/>
      <c r="L1407"/>
      <c r="M1407"/>
      <c r="N1407"/>
      <c r="O1407"/>
      <c r="P1407" s="36"/>
      <c r="Q1407" s="37"/>
      <c r="R1407"/>
      <c r="S1407"/>
      <c r="T1407"/>
      <c r="U1407"/>
      <c r="V1407" s="39"/>
      <c r="W1407"/>
      <c r="X1407"/>
      <c r="Y1407"/>
      <c r="Z1407"/>
      <c r="AA1407"/>
    </row>
    <row r="1408" spans="1:27" x14ac:dyDescent="0.25">
      <c r="A1408"/>
      <c r="B1408" s="36"/>
      <c r="C1408" s="36"/>
      <c r="D1408"/>
      <c r="E1408"/>
      <c r="F1408"/>
      <c r="G1408"/>
      <c r="H1408"/>
      <c r="I1408"/>
      <c r="J1408"/>
      <c r="K1408"/>
      <c r="L1408"/>
      <c r="M1408"/>
      <c r="N1408"/>
      <c r="O1408"/>
      <c r="P1408" s="36"/>
      <c r="Q1408" s="37"/>
      <c r="R1408"/>
      <c r="S1408"/>
      <c r="T1408"/>
      <c r="U1408"/>
      <c r="V1408" s="39"/>
      <c r="W1408"/>
      <c r="X1408"/>
      <c r="Y1408"/>
      <c r="Z1408"/>
      <c r="AA1408"/>
    </row>
    <row r="1409" spans="1:27" x14ac:dyDescent="0.25">
      <c r="A1409"/>
      <c r="B1409" s="36"/>
      <c r="C1409" s="36"/>
      <c r="D1409"/>
      <c r="E1409"/>
      <c r="F1409"/>
      <c r="G1409"/>
      <c r="H1409"/>
      <c r="I1409"/>
      <c r="J1409"/>
      <c r="K1409"/>
      <c r="L1409"/>
      <c r="M1409"/>
      <c r="N1409"/>
      <c r="O1409"/>
      <c r="P1409" s="36"/>
      <c r="Q1409" s="37"/>
      <c r="R1409"/>
      <c r="S1409"/>
      <c r="T1409"/>
      <c r="U1409"/>
      <c r="V1409" s="39"/>
      <c r="W1409"/>
      <c r="X1409"/>
      <c r="Y1409"/>
      <c r="Z1409"/>
      <c r="AA1409"/>
    </row>
    <row r="1410" spans="1:27" x14ac:dyDescent="0.25">
      <c r="A1410"/>
      <c r="B1410" s="36"/>
      <c r="C1410" s="36"/>
      <c r="D1410"/>
      <c r="E1410"/>
      <c r="F1410"/>
      <c r="G1410"/>
      <c r="H1410"/>
      <c r="I1410"/>
      <c r="J1410"/>
      <c r="K1410"/>
      <c r="L1410"/>
      <c r="M1410"/>
      <c r="N1410"/>
      <c r="O1410"/>
      <c r="P1410" s="36"/>
      <c r="Q1410" s="37"/>
      <c r="R1410"/>
      <c r="S1410"/>
      <c r="T1410"/>
      <c r="U1410"/>
      <c r="V1410" s="39"/>
      <c r="W1410"/>
      <c r="X1410"/>
      <c r="Y1410"/>
      <c r="Z1410"/>
      <c r="AA1410"/>
    </row>
    <row r="1411" spans="1:27" x14ac:dyDescent="0.25">
      <c r="A1411"/>
      <c r="B1411" s="36"/>
      <c r="C1411" s="36"/>
      <c r="D1411"/>
      <c r="E1411"/>
      <c r="F1411"/>
      <c r="G1411"/>
      <c r="H1411"/>
      <c r="I1411"/>
      <c r="J1411"/>
      <c r="K1411"/>
      <c r="L1411"/>
      <c r="M1411"/>
      <c r="N1411"/>
      <c r="O1411"/>
      <c r="P1411" s="36"/>
      <c r="Q1411" s="37"/>
      <c r="R1411"/>
      <c r="S1411"/>
      <c r="T1411"/>
      <c r="U1411"/>
      <c r="V1411" s="39"/>
      <c r="W1411"/>
      <c r="X1411"/>
      <c r="Y1411"/>
      <c r="Z1411"/>
      <c r="AA1411"/>
    </row>
    <row r="1412" spans="1:27" x14ac:dyDescent="0.25">
      <c r="A1412"/>
      <c r="B1412" s="36"/>
      <c r="C1412" s="36"/>
      <c r="D1412"/>
      <c r="E1412"/>
      <c r="F1412"/>
      <c r="G1412"/>
      <c r="H1412"/>
      <c r="I1412"/>
      <c r="J1412"/>
      <c r="K1412"/>
      <c r="L1412"/>
      <c r="M1412"/>
      <c r="N1412"/>
      <c r="O1412"/>
      <c r="P1412" s="36"/>
      <c r="Q1412" s="37"/>
      <c r="R1412"/>
      <c r="S1412"/>
      <c r="T1412"/>
      <c r="U1412"/>
      <c r="V1412" s="39"/>
      <c r="W1412"/>
      <c r="X1412"/>
      <c r="Y1412"/>
      <c r="Z1412"/>
      <c r="AA1412"/>
    </row>
    <row r="1413" spans="1:27" x14ac:dyDescent="0.25">
      <c r="A1413"/>
      <c r="B1413" s="36"/>
      <c r="C1413" s="36"/>
      <c r="D1413"/>
      <c r="E1413"/>
      <c r="F1413"/>
      <c r="G1413"/>
      <c r="H1413"/>
      <c r="I1413"/>
      <c r="J1413"/>
      <c r="K1413"/>
      <c r="L1413"/>
      <c r="M1413"/>
      <c r="N1413"/>
      <c r="O1413"/>
      <c r="P1413" s="36"/>
      <c r="Q1413" s="37"/>
      <c r="R1413"/>
      <c r="S1413"/>
      <c r="T1413"/>
      <c r="U1413"/>
      <c r="V1413" s="39"/>
      <c r="W1413"/>
      <c r="X1413"/>
      <c r="Y1413"/>
      <c r="Z1413"/>
      <c r="AA1413"/>
    </row>
    <row r="1414" spans="1:27" x14ac:dyDescent="0.25">
      <c r="A1414"/>
      <c r="B1414" s="36"/>
      <c r="C1414" s="36"/>
      <c r="D1414"/>
      <c r="E1414"/>
      <c r="F1414"/>
      <c r="G1414"/>
      <c r="H1414"/>
      <c r="I1414"/>
      <c r="J1414"/>
      <c r="K1414"/>
      <c r="L1414"/>
      <c r="M1414"/>
      <c r="N1414"/>
      <c r="O1414"/>
      <c r="P1414" s="36"/>
      <c r="Q1414" s="37"/>
      <c r="R1414"/>
      <c r="S1414"/>
      <c r="T1414"/>
      <c r="U1414"/>
      <c r="V1414" s="39"/>
      <c r="W1414"/>
      <c r="X1414"/>
      <c r="Y1414"/>
      <c r="Z1414"/>
      <c r="AA1414"/>
    </row>
    <row r="1415" spans="1:27" x14ac:dyDescent="0.25">
      <c r="A1415"/>
      <c r="B1415" s="36"/>
      <c r="C1415" s="36"/>
      <c r="D1415"/>
      <c r="E1415"/>
      <c r="F1415"/>
      <c r="G1415"/>
      <c r="H1415"/>
      <c r="I1415"/>
      <c r="J1415"/>
      <c r="K1415"/>
      <c r="L1415"/>
      <c r="M1415"/>
      <c r="N1415"/>
      <c r="O1415"/>
      <c r="P1415" s="36"/>
      <c r="Q1415" s="37"/>
      <c r="R1415" s="44"/>
      <c r="S1415"/>
      <c r="T1415"/>
      <c r="U1415"/>
      <c r="V1415" s="39"/>
      <c r="W1415"/>
      <c r="X1415"/>
      <c r="Y1415"/>
      <c r="Z1415"/>
      <c r="AA1415"/>
    </row>
    <row r="1416" spans="1:27" x14ac:dyDescent="0.25">
      <c r="A1416"/>
      <c r="B1416" s="36"/>
      <c r="C1416" s="36"/>
      <c r="D1416"/>
      <c r="E1416"/>
      <c r="F1416"/>
      <c r="G1416"/>
      <c r="H1416"/>
      <c r="I1416"/>
      <c r="J1416"/>
      <c r="K1416"/>
      <c r="L1416"/>
      <c r="M1416"/>
      <c r="N1416"/>
      <c r="O1416"/>
      <c r="P1416" s="36"/>
      <c r="Q1416" s="37"/>
      <c r="R1416"/>
      <c r="S1416"/>
      <c r="T1416"/>
      <c r="U1416"/>
      <c r="V1416" s="39"/>
      <c r="W1416"/>
      <c r="X1416"/>
      <c r="Y1416"/>
      <c r="Z1416"/>
      <c r="AA1416"/>
    </row>
    <row r="1417" spans="1:27" x14ac:dyDescent="0.25">
      <c r="A1417"/>
      <c r="B1417" s="36"/>
      <c r="C1417" s="36"/>
      <c r="D1417"/>
      <c r="E1417"/>
      <c r="F1417"/>
      <c r="G1417"/>
      <c r="H1417"/>
      <c r="I1417"/>
      <c r="J1417"/>
      <c r="K1417"/>
      <c r="L1417"/>
      <c r="M1417"/>
      <c r="N1417"/>
      <c r="O1417"/>
      <c r="P1417" s="36"/>
      <c r="Q1417" s="37"/>
      <c r="R1417"/>
      <c r="S1417"/>
      <c r="T1417"/>
      <c r="U1417"/>
      <c r="V1417" s="39"/>
      <c r="W1417"/>
      <c r="X1417"/>
      <c r="Y1417"/>
      <c r="Z1417"/>
      <c r="AA1417"/>
    </row>
    <row r="1418" spans="1:27" x14ac:dyDescent="0.25">
      <c r="A1418"/>
      <c r="B1418" s="36"/>
      <c r="C1418" s="36"/>
      <c r="D1418"/>
      <c r="E1418"/>
      <c r="F1418"/>
      <c r="G1418"/>
      <c r="H1418"/>
      <c r="I1418"/>
      <c r="J1418"/>
      <c r="K1418"/>
      <c r="L1418"/>
      <c r="M1418"/>
      <c r="N1418"/>
      <c r="O1418"/>
      <c r="P1418" s="36"/>
      <c r="Q1418" s="37"/>
      <c r="R1418"/>
      <c r="S1418"/>
      <c r="T1418"/>
      <c r="U1418"/>
      <c r="V1418" s="39"/>
      <c r="W1418"/>
      <c r="X1418"/>
      <c r="Y1418"/>
      <c r="Z1418"/>
      <c r="AA1418"/>
    </row>
    <row r="1419" spans="1:27" x14ac:dyDescent="0.25">
      <c r="A1419"/>
      <c r="B1419" s="36"/>
      <c r="C1419" s="36"/>
      <c r="D1419"/>
      <c r="E1419"/>
      <c r="F1419"/>
      <c r="G1419"/>
      <c r="H1419"/>
      <c r="I1419"/>
      <c r="J1419"/>
      <c r="K1419"/>
      <c r="L1419"/>
      <c r="M1419"/>
      <c r="N1419"/>
      <c r="O1419"/>
      <c r="P1419" s="36"/>
      <c r="Q1419" s="37"/>
      <c r="R1419"/>
      <c r="S1419"/>
      <c r="T1419"/>
      <c r="U1419"/>
      <c r="V1419" s="39"/>
      <c r="W1419"/>
      <c r="X1419"/>
      <c r="Y1419"/>
      <c r="Z1419"/>
      <c r="AA1419"/>
    </row>
    <row r="1420" spans="1:27" x14ac:dyDescent="0.25">
      <c r="A1420"/>
      <c r="B1420" s="36"/>
      <c r="C1420" s="36"/>
      <c r="D1420"/>
      <c r="E1420"/>
      <c r="F1420"/>
      <c r="G1420"/>
      <c r="H1420"/>
      <c r="I1420"/>
      <c r="J1420"/>
      <c r="K1420"/>
      <c r="L1420"/>
      <c r="M1420"/>
      <c r="N1420"/>
      <c r="O1420"/>
      <c r="P1420" s="36"/>
      <c r="Q1420" s="37"/>
      <c r="R1420"/>
      <c r="S1420"/>
      <c r="T1420"/>
      <c r="U1420"/>
      <c r="V1420" s="39"/>
      <c r="W1420"/>
      <c r="X1420"/>
      <c r="Y1420"/>
      <c r="Z1420"/>
      <c r="AA1420"/>
    </row>
    <row r="1421" spans="1:27" x14ac:dyDescent="0.25">
      <c r="A1421"/>
      <c r="B1421" s="36"/>
      <c r="C1421" s="36"/>
      <c r="D1421"/>
      <c r="E1421"/>
      <c r="F1421"/>
      <c r="G1421"/>
      <c r="H1421"/>
      <c r="I1421"/>
      <c r="J1421"/>
      <c r="K1421"/>
      <c r="L1421"/>
      <c r="M1421"/>
      <c r="N1421"/>
      <c r="O1421"/>
      <c r="P1421" s="36"/>
      <c r="Q1421" s="37"/>
      <c r="R1421"/>
      <c r="S1421"/>
      <c r="T1421"/>
      <c r="U1421"/>
      <c r="V1421" s="39"/>
      <c r="W1421"/>
      <c r="X1421"/>
      <c r="Y1421"/>
      <c r="Z1421"/>
      <c r="AA1421"/>
    </row>
    <row r="1422" spans="1:27" x14ac:dyDescent="0.25">
      <c r="A1422"/>
      <c r="B1422" s="36"/>
      <c r="C1422" s="36"/>
      <c r="D1422"/>
      <c r="E1422"/>
      <c r="F1422"/>
      <c r="G1422"/>
      <c r="H1422"/>
      <c r="I1422"/>
      <c r="J1422"/>
      <c r="K1422"/>
      <c r="L1422"/>
      <c r="M1422"/>
      <c r="N1422"/>
      <c r="O1422"/>
      <c r="P1422" s="36"/>
      <c r="Q1422" s="37"/>
      <c r="R1422"/>
      <c r="S1422"/>
      <c r="T1422"/>
      <c r="U1422"/>
      <c r="V1422" s="39"/>
      <c r="W1422"/>
      <c r="X1422"/>
      <c r="Y1422"/>
      <c r="Z1422"/>
      <c r="AA1422"/>
    </row>
    <row r="1423" spans="1:27" x14ac:dyDescent="0.25">
      <c r="A1423"/>
      <c r="B1423" s="36"/>
      <c r="C1423" s="36"/>
      <c r="D1423"/>
      <c r="E1423"/>
      <c r="F1423"/>
      <c r="G1423"/>
      <c r="H1423"/>
      <c r="I1423"/>
      <c r="J1423"/>
      <c r="K1423"/>
      <c r="L1423"/>
      <c r="M1423"/>
      <c r="N1423"/>
      <c r="O1423"/>
      <c r="P1423" s="36"/>
      <c r="Q1423" s="37"/>
      <c r="R1423"/>
      <c r="S1423"/>
      <c r="T1423"/>
      <c r="U1423"/>
      <c r="V1423" s="39"/>
      <c r="W1423"/>
      <c r="X1423"/>
      <c r="Y1423"/>
      <c r="Z1423"/>
      <c r="AA1423"/>
    </row>
    <row r="1424" spans="1:27" x14ac:dyDescent="0.25">
      <c r="A1424"/>
      <c r="B1424" s="36"/>
      <c r="C1424" s="36"/>
      <c r="D1424"/>
      <c r="E1424"/>
      <c r="F1424"/>
      <c r="G1424"/>
      <c r="H1424"/>
      <c r="I1424"/>
      <c r="J1424"/>
      <c r="K1424"/>
      <c r="L1424"/>
      <c r="M1424"/>
      <c r="N1424"/>
      <c r="O1424"/>
      <c r="P1424" s="36"/>
      <c r="Q1424" s="37"/>
      <c r="R1424"/>
      <c r="S1424"/>
      <c r="T1424"/>
      <c r="U1424"/>
      <c r="V1424" s="39"/>
      <c r="W1424"/>
      <c r="X1424"/>
      <c r="Y1424"/>
      <c r="Z1424"/>
      <c r="AA1424"/>
    </row>
    <row r="1425" spans="1:27" x14ac:dyDescent="0.25">
      <c r="A1425"/>
      <c r="B1425" s="36"/>
      <c r="C1425" s="36"/>
      <c r="D1425"/>
      <c r="E1425"/>
      <c r="F1425"/>
      <c r="G1425"/>
      <c r="H1425"/>
      <c r="I1425"/>
      <c r="J1425"/>
      <c r="K1425"/>
      <c r="L1425"/>
      <c r="M1425"/>
      <c r="N1425"/>
      <c r="O1425"/>
      <c r="P1425" s="36"/>
      <c r="Q1425" s="37"/>
      <c r="R1425"/>
      <c r="S1425"/>
      <c r="T1425"/>
      <c r="U1425"/>
      <c r="V1425" s="39"/>
      <c r="W1425"/>
      <c r="X1425"/>
      <c r="Y1425"/>
      <c r="Z1425"/>
      <c r="AA1425"/>
    </row>
    <row r="1426" spans="1:27" x14ac:dyDescent="0.25">
      <c r="A1426"/>
      <c r="B1426" s="36"/>
      <c r="C1426" s="36"/>
      <c r="D1426"/>
      <c r="E1426"/>
      <c r="F1426"/>
      <c r="G1426"/>
      <c r="H1426"/>
      <c r="I1426"/>
      <c r="J1426"/>
      <c r="K1426"/>
      <c r="L1426"/>
      <c r="M1426"/>
      <c r="N1426"/>
      <c r="O1426"/>
      <c r="P1426" s="36"/>
      <c r="Q1426" s="37"/>
      <c r="R1426"/>
      <c r="S1426"/>
      <c r="T1426"/>
      <c r="U1426"/>
      <c r="V1426" s="39"/>
      <c r="W1426"/>
      <c r="X1426"/>
      <c r="Y1426"/>
      <c r="Z1426"/>
      <c r="AA1426"/>
    </row>
    <row r="1427" spans="1:27" x14ac:dyDescent="0.25">
      <c r="A1427"/>
      <c r="B1427" s="36"/>
      <c r="C1427" s="36"/>
      <c r="D1427"/>
      <c r="E1427"/>
      <c r="F1427"/>
      <c r="G1427"/>
      <c r="H1427"/>
      <c r="I1427"/>
      <c r="J1427"/>
      <c r="K1427"/>
      <c r="L1427"/>
      <c r="M1427"/>
      <c r="N1427"/>
      <c r="O1427"/>
      <c r="P1427" s="36"/>
      <c r="Q1427" s="37"/>
      <c r="R1427"/>
      <c r="S1427"/>
      <c r="T1427"/>
      <c r="U1427"/>
      <c r="V1427" s="39"/>
      <c r="W1427"/>
      <c r="X1427"/>
      <c r="Y1427"/>
      <c r="Z1427"/>
      <c r="AA1427"/>
    </row>
    <row r="1428" spans="1:27" x14ac:dyDescent="0.25">
      <c r="A1428"/>
      <c r="B1428" s="36"/>
      <c r="C1428" s="36"/>
      <c r="D1428"/>
      <c r="E1428"/>
      <c r="F1428"/>
      <c r="G1428"/>
      <c r="H1428"/>
      <c r="I1428"/>
      <c r="J1428"/>
      <c r="K1428"/>
      <c r="L1428"/>
      <c r="M1428"/>
      <c r="N1428"/>
      <c r="O1428"/>
      <c r="P1428" s="36"/>
      <c r="Q1428" s="37"/>
      <c r="R1428"/>
      <c r="S1428"/>
      <c r="T1428"/>
      <c r="U1428"/>
      <c r="V1428" s="39"/>
      <c r="W1428"/>
      <c r="X1428"/>
      <c r="Y1428"/>
      <c r="Z1428"/>
      <c r="AA1428"/>
    </row>
    <row r="1429" spans="1:27" x14ac:dyDescent="0.25">
      <c r="A1429"/>
      <c r="B1429" s="36"/>
      <c r="C1429" s="36"/>
      <c r="D1429"/>
      <c r="E1429"/>
      <c r="F1429"/>
      <c r="G1429"/>
      <c r="H1429"/>
      <c r="I1429"/>
      <c r="J1429"/>
      <c r="K1429"/>
      <c r="L1429"/>
      <c r="M1429"/>
      <c r="N1429"/>
      <c r="O1429"/>
      <c r="P1429" s="36"/>
      <c r="Q1429" s="37"/>
      <c r="R1429"/>
      <c r="S1429"/>
      <c r="T1429"/>
      <c r="U1429"/>
      <c r="V1429" s="39"/>
      <c r="W1429"/>
      <c r="X1429"/>
      <c r="Y1429"/>
      <c r="Z1429"/>
      <c r="AA1429"/>
    </row>
    <row r="1430" spans="1:27" x14ac:dyDescent="0.25">
      <c r="A1430"/>
      <c r="B1430" s="36"/>
      <c r="C1430" s="36"/>
      <c r="D1430"/>
      <c r="E1430"/>
      <c r="F1430"/>
      <c r="G1430"/>
      <c r="H1430"/>
      <c r="I1430"/>
      <c r="J1430"/>
      <c r="K1430"/>
      <c r="L1430"/>
      <c r="M1430"/>
      <c r="N1430"/>
      <c r="O1430"/>
      <c r="P1430" s="36"/>
      <c r="Q1430" s="37"/>
      <c r="R1430"/>
      <c r="S1430"/>
      <c r="T1430"/>
      <c r="U1430"/>
      <c r="V1430" s="39"/>
      <c r="W1430"/>
      <c r="X1430"/>
      <c r="Y1430"/>
      <c r="Z1430"/>
      <c r="AA1430"/>
    </row>
    <row r="1431" spans="1:27" x14ac:dyDescent="0.25">
      <c r="A1431"/>
      <c r="B1431" s="36"/>
      <c r="C1431" s="36"/>
      <c r="D1431"/>
      <c r="E1431"/>
      <c r="F1431"/>
      <c r="G1431"/>
      <c r="H1431"/>
      <c r="I1431"/>
      <c r="J1431"/>
      <c r="K1431"/>
      <c r="L1431"/>
      <c r="M1431"/>
      <c r="N1431"/>
      <c r="O1431"/>
      <c r="P1431" s="36"/>
      <c r="Q1431" s="37"/>
      <c r="R1431"/>
      <c r="S1431"/>
      <c r="T1431"/>
      <c r="U1431"/>
      <c r="V1431" s="39"/>
      <c r="W1431"/>
      <c r="X1431"/>
      <c r="Y1431"/>
      <c r="Z1431"/>
      <c r="AA1431"/>
    </row>
    <row r="1432" spans="1:27" x14ac:dyDescent="0.25">
      <c r="A1432"/>
      <c r="B1432" s="36"/>
      <c r="C1432" s="36"/>
      <c r="D1432"/>
      <c r="E1432"/>
      <c r="F1432"/>
      <c r="G1432"/>
      <c r="H1432"/>
      <c r="I1432"/>
      <c r="J1432"/>
      <c r="K1432"/>
      <c r="L1432"/>
      <c r="M1432"/>
      <c r="N1432"/>
      <c r="O1432"/>
      <c r="P1432" s="36"/>
      <c r="Q1432" s="37"/>
      <c r="R1432"/>
      <c r="S1432"/>
      <c r="T1432"/>
      <c r="U1432"/>
      <c r="V1432" s="39"/>
      <c r="W1432"/>
      <c r="X1432"/>
      <c r="Y1432"/>
      <c r="Z1432"/>
      <c r="AA1432"/>
    </row>
    <row r="1433" spans="1:27" x14ac:dyDescent="0.25">
      <c r="A1433"/>
      <c r="B1433" s="36"/>
      <c r="C1433" s="36"/>
      <c r="D1433"/>
      <c r="E1433"/>
      <c r="F1433"/>
      <c r="G1433"/>
      <c r="H1433"/>
      <c r="I1433"/>
      <c r="J1433"/>
      <c r="K1433"/>
      <c r="L1433"/>
      <c r="M1433"/>
      <c r="N1433"/>
      <c r="O1433"/>
      <c r="P1433" s="36"/>
      <c r="Q1433" s="37"/>
      <c r="R1433"/>
      <c r="S1433"/>
      <c r="T1433"/>
      <c r="U1433"/>
      <c r="V1433" s="39"/>
      <c r="W1433"/>
      <c r="X1433"/>
      <c r="Y1433"/>
      <c r="Z1433"/>
      <c r="AA1433"/>
    </row>
    <row r="1434" spans="1:27" x14ac:dyDescent="0.25">
      <c r="A1434"/>
      <c r="B1434" s="36"/>
      <c r="C1434" s="36"/>
      <c r="D1434"/>
      <c r="E1434"/>
      <c r="F1434"/>
      <c r="G1434"/>
      <c r="H1434"/>
      <c r="I1434"/>
      <c r="J1434"/>
      <c r="K1434"/>
      <c r="L1434"/>
      <c r="M1434"/>
      <c r="N1434"/>
      <c r="O1434"/>
      <c r="P1434" s="36"/>
      <c r="Q1434" s="37"/>
      <c r="R1434"/>
      <c r="S1434"/>
      <c r="T1434"/>
      <c r="U1434"/>
      <c r="V1434" s="39"/>
      <c r="W1434"/>
      <c r="X1434"/>
      <c r="Y1434"/>
      <c r="Z1434"/>
      <c r="AA1434"/>
    </row>
    <row r="1435" spans="1:27" x14ac:dyDescent="0.25">
      <c r="A1435"/>
      <c r="B1435" s="36"/>
      <c r="C1435" s="36"/>
      <c r="D1435"/>
      <c r="E1435"/>
      <c r="F1435"/>
      <c r="G1435"/>
      <c r="H1435"/>
      <c r="I1435"/>
      <c r="J1435"/>
      <c r="K1435"/>
      <c r="L1435"/>
      <c r="M1435"/>
      <c r="N1435"/>
      <c r="O1435"/>
      <c r="P1435" s="36"/>
      <c r="Q1435" s="37"/>
      <c r="R1435"/>
      <c r="S1435"/>
      <c r="T1435"/>
      <c r="U1435"/>
      <c r="V1435" s="39"/>
      <c r="W1435"/>
      <c r="X1435"/>
      <c r="Y1435"/>
      <c r="Z1435"/>
      <c r="AA1435"/>
    </row>
    <row r="1436" spans="1:27" x14ac:dyDescent="0.25">
      <c r="A1436"/>
      <c r="B1436" s="36"/>
      <c r="C1436" s="36"/>
      <c r="D1436"/>
      <c r="E1436"/>
      <c r="F1436"/>
      <c r="G1436"/>
      <c r="H1436"/>
      <c r="I1436"/>
      <c r="J1436"/>
      <c r="K1436"/>
      <c r="L1436"/>
      <c r="M1436"/>
      <c r="N1436"/>
      <c r="O1436"/>
      <c r="P1436" s="36"/>
      <c r="Q1436" s="37"/>
      <c r="R1436"/>
      <c r="S1436"/>
      <c r="T1436"/>
      <c r="U1436"/>
      <c r="V1436" s="39"/>
      <c r="W1436"/>
      <c r="X1436"/>
      <c r="Y1436"/>
      <c r="Z1436"/>
      <c r="AA1436"/>
    </row>
    <row r="1437" spans="1:27" x14ac:dyDescent="0.25">
      <c r="A1437"/>
      <c r="B1437" s="36"/>
      <c r="C1437" s="36"/>
      <c r="D1437"/>
      <c r="E1437"/>
      <c r="F1437"/>
      <c r="G1437"/>
      <c r="H1437"/>
      <c r="I1437"/>
      <c r="J1437"/>
      <c r="K1437"/>
      <c r="L1437"/>
      <c r="M1437"/>
      <c r="N1437"/>
      <c r="O1437"/>
      <c r="P1437" s="36"/>
      <c r="Q1437" s="37"/>
      <c r="R1437"/>
      <c r="S1437"/>
      <c r="T1437"/>
      <c r="U1437"/>
      <c r="V1437" s="39"/>
      <c r="W1437"/>
      <c r="X1437"/>
      <c r="Y1437"/>
      <c r="Z1437"/>
      <c r="AA1437"/>
    </row>
    <row r="1438" spans="1:27" x14ac:dyDescent="0.25">
      <c r="A1438"/>
      <c r="B1438" s="36"/>
      <c r="C1438" s="36"/>
      <c r="D1438"/>
      <c r="E1438"/>
      <c r="F1438"/>
      <c r="G1438"/>
      <c r="H1438"/>
      <c r="I1438"/>
      <c r="J1438"/>
      <c r="K1438"/>
      <c r="L1438"/>
      <c r="M1438"/>
      <c r="N1438"/>
      <c r="O1438"/>
      <c r="P1438" s="36"/>
      <c r="Q1438" s="37"/>
      <c r="R1438"/>
      <c r="S1438"/>
      <c r="T1438"/>
      <c r="U1438"/>
      <c r="V1438" s="39"/>
      <c r="W1438"/>
      <c r="X1438"/>
      <c r="Y1438"/>
      <c r="Z1438"/>
      <c r="AA1438"/>
    </row>
    <row r="1439" spans="1:27" x14ac:dyDescent="0.25">
      <c r="A1439"/>
      <c r="B1439" s="36"/>
      <c r="C1439" s="36"/>
      <c r="D1439"/>
      <c r="E1439"/>
      <c r="F1439"/>
      <c r="G1439"/>
      <c r="H1439"/>
      <c r="I1439"/>
      <c r="J1439"/>
      <c r="K1439"/>
      <c r="L1439"/>
      <c r="M1439"/>
      <c r="N1439"/>
      <c r="O1439"/>
      <c r="P1439" s="36"/>
      <c r="Q1439" s="37"/>
      <c r="R1439"/>
      <c r="S1439"/>
      <c r="T1439"/>
      <c r="U1439"/>
      <c r="V1439" s="39"/>
      <c r="W1439"/>
      <c r="X1439"/>
      <c r="Y1439"/>
      <c r="Z1439"/>
      <c r="AA1439"/>
    </row>
    <row r="1440" spans="1:27" x14ac:dyDescent="0.25">
      <c r="A1440"/>
      <c r="B1440" s="36"/>
      <c r="C1440" s="36"/>
      <c r="D1440"/>
      <c r="E1440"/>
      <c r="F1440"/>
      <c r="G1440"/>
      <c r="H1440"/>
      <c r="I1440"/>
      <c r="J1440"/>
      <c r="K1440"/>
      <c r="L1440"/>
      <c r="M1440"/>
      <c r="N1440"/>
      <c r="O1440"/>
      <c r="P1440" s="36"/>
      <c r="Q1440" s="37"/>
      <c r="R1440"/>
      <c r="S1440"/>
      <c r="T1440"/>
      <c r="U1440"/>
      <c r="V1440" s="39"/>
      <c r="W1440"/>
      <c r="X1440"/>
      <c r="Y1440"/>
      <c r="Z1440"/>
      <c r="AA1440"/>
    </row>
    <row r="1441" spans="1:27" x14ac:dyDescent="0.25">
      <c r="A1441"/>
      <c r="B1441" s="36"/>
      <c r="C1441" s="36"/>
      <c r="D1441"/>
      <c r="E1441"/>
      <c r="F1441"/>
      <c r="G1441"/>
      <c r="H1441"/>
      <c r="I1441"/>
      <c r="J1441"/>
      <c r="K1441"/>
      <c r="L1441"/>
      <c r="M1441"/>
      <c r="N1441"/>
      <c r="O1441"/>
      <c r="P1441" s="36"/>
      <c r="Q1441" s="37"/>
      <c r="R1441"/>
      <c r="S1441"/>
      <c r="T1441"/>
      <c r="U1441"/>
      <c r="V1441" s="39"/>
      <c r="W1441"/>
      <c r="X1441"/>
      <c r="Y1441"/>
      <c r="Z1441"/>
      <c r="AA1441"/>
    </row>
    <row r="1442" spans="1:27" x14ac:dyDescent="0.25">
      <c r="A1442"/>
      <c r="B1442" s="36"/>
      <c r="C1442" s="36"/>
      <c r="D1442"/>
      <c r="E1442"/>
      <c r="F1442"/>
      <c r="G1442"/>
      <c r="H1442"/>
      <c r="I1442"/>
      <c r="J1442"/>
      <c r="K1442"/>
      <c r="L1442"/>
      <c r="M1442"/>
      <c r="N1442"/>
      <c r="O1442"/>
      <c r="P1442" s="36"/>
      <c r="Q1442" s="37"/>
      <c r="R1442"/>
      <c r="S1442"/>
      <c r="T1442"/>
      <c r="U1442"/>
      <c r="V1442" s="39"/>
      <c r="W1442"/>
      <c r="X1442"/>
      <c r="Y1442"/>
      <c r="Z1442"/>
      <c r="AA1442"/>
    </row>
    <row r="1443" spans="1:27" x14ac:dyDescent="0.25">
      <c r="A1443"/>
      <c r="B1443" s="36"/>
      <c r="C1443" s="36"/>
      <c r="D1443"/>
      <c r="E1443"/>
      <c r="F1443"/>
      <c r="G1443"/>
      <c r="H1443"/>
      <c r="I1443"/>
      <c r="J1443"/>
      <c r="K1443"/>
      <c r="L1443"/>
      <c r="M1443"/>
      <c r="N1443"/>
      <c r="O1443"/>
      <c r="P1443" s="36"/>
      <c r="Q1443" s="37"/>
      <c r="R1443" s="44"/>
      <c r="S1443"/>
      <c r="T1443"/>
      <c r="U1443"/>
      <c r="V1443" s="39"/>
      <c r="W1443"/>
      <c r="X1443"/>
      <c r="Y1443"/>
      <c r="Z1443"/>
      <c r="AA1443"/>
    </row>
    <row r="1444" spans="1:27" x14ac:dyDescent="0.25">
      <c r="A1444"/>
      <c r="B1444" s="36"/>
      <c r="C1444" s="36"/>
      <c r="D1444"/>
      <c r="E1444"/>
      <c r="F1444"/>
      <c r="G1444"/>
      <c r="H1444"/>
      <c r="I1444"/>
      <c r="J1444"/>
      <c r="K1444"/>
      <c r="L1444"/>
      <c r="M1444"/>
      <c r="N1444"/>
      <c r="O1444"/>
      <c r="P1444" s="36"/>
      <c r="Q1444" s="37"/>
      <c r="R1444"/>
      <c r="S1444"/>
      <c r="T1444"/>
      <c r="U1444"/>
      <c r="V1444" s="39"/>
      <c r="W1444"/>
      <c r="X1444"/>
      <c r="Y1444"/>
      <c r="Z1444"/>
      <c r="AA1444"/>
    </row>
    <row r="1445" spans="1:27" x14ac:dyDescent="0.25">
      <c r="A1445"/>
      <c r="B1445" s="36"/>
      <c r="C1445" s="36"/>
      <c r="D1445"/>
      <c r="E1445"/>
      <c r="F1445"/>
      <c r="G1445"/>
      <c r="H1445"/>
      <c r="I1445"/>
      <c r="J1445"/>
      <c r="K1445"/>
      <c r="L1445"/>
      <c r="M1445"/>
      <c r="N1445"/>
      <c r="O1445"/>
      <c r="P1445" s="36"/>
      <c r="Q1445" s="37"/>
      <c r="R1445" s="44"/>
      <c r="S1445"/>
      <c r="T1445"/>
      <c r="U1445"/>
      <c r="V1445" s="39"/>
      <c r="W1445"/>
      <c r="X1445"/>
      <c r="Y1445"/>
      <c r="Z1445"/>
      <c r="AA1445"/>
    </row>
    <row r="1446" spans="1:27" x14ac:dyDescent="0.25">
      <c r="A1446"/>
      <c r="B1446" s="36"/>
      <c r="C1446" s="36"/>
      <c r="D1446"/>
      <c r="E1446"/>
      <c r="F1446"/>
      <c r="G1446"/>
      <c r="H1446"/>
      <c r="I1446"/>
      <c r="J1446"/>
      <c r="K1446"/>
      <c r="L1446"/>
      <c r="M1446"/>
      <c r="N1446"/>
      <c r="O1446"/>
      <c r="P1446" s="36"/>
      <c r="Q1446" s="37"/>
      <c r="R1446"/>
      <c r="S1446"/>
      <c r="T1446"/>
      <c r="U1446"/>
      <c r="V1446" s="39"/>
      <c r="W1446"/>
      <c r="X1446"/>
      <c r="Y1446"/>
      <c r="Z1446"/>
      <c r="AA1446"/>
    </row>
    <row r="1447" spans="1:27" x14ac:dyDescent="0.25">
      <c r="A1447"/>
      <c r="B1447" s="36"/>
      <c r="C1447" s="36"/>
      <c r="D1447"/>
      <c r="E1447"/>
      <c r="F1447"/>
      <c r="G1447"/>
      <c r="H1447"/>
      <c r="I1447"/>
      <c r="J1447"/>
      <c r="K1447"/>
      <c r="L1447"/>
      <c r="M1447"/>
      <c r="N1447"/>
      <c r="O1447"/>
      <c r="P1447" s="36"/>
      <c r="Q1447" s="37"/>
      <c r="R1447"/>
      <c r="S1447"/>
      <c r="T1447"/>
      <c r="U1447"/>
      <c r="V1447" s="39"/>
      <c r="W1447"/>
      <c r="X1447"/>
      <c r="Y1447"/>
      <c r="Z1447"/>
      <c r="AA1447"/>
    </row>
    <row r="1448" spans="1:27" x14ac:dyDescent="0.25">
      <c r="A1448"/>
      <c r="B1448" s="36"/>
      <c r="C1448" s="36"/>
      <c r="D1448"/>
      <c r="E1448"/>
      <c r="F1448"/>
      <c r="G1448"/>
      <c r="H1448"/>
      <c r="I1448"/>
      <c r="J1448"/>
      <c r="K1448"/>
      <c r="L1448"/>
      <c r="M1448"/>
      <c r="N1448"/>
      <c r="O1448"/>
      <c r="P1448" s="36"/>
      <c r="Q1448" s="37"/>
      <c r="R1448"/>
      <c r="S1448"/>
      <c r="T1448"/>
      <c r="U1448"/>
      <c r="V1448" s="39"/>
      <c r="W1448"/>
      <c r="X1448"/>
      <c r="Y1448"/>
      <c r="Z1448"/>
      <c r="AA1448"/>
    </row>
    <row r="1449" spans="1:27" x14ac:dyDescent="0.25">
      <c r="A1449"/>
      <c r="B1449" s="36"/>
      <c r="C1449" s="36"/>
      <c r="D1449"/>
      <c r="E1449"/>
      <c r="F1449"/>
      <c r="G1449"/>
      <c r="H1449"/>
      <c r="I1449"/>
      <c r="J1449"/>
      <c r="K1449"/>
      <c r="L1449"/>
      <c r="M1449"/>
      <c r="N1449"/>
      <c r="O1449"/>
      <c r="P1449" s="36"/>
      <c r="Q1449" s="37"/>
      <c r="R1449"/>
      <c r="S1449"/>
      <c r="T1449"/>
      <c r="U1449"/>
      <c r="V1449" s="39"/>
      <c r="W1449"/>
      <c r="X1449"/>
      <c r="Y1449"/>
      <c r="Z1449"/>
      <c r="AA1449"/>
    </row>
    <row r="1450" spans="1:27" x14ac:dyDescent="0.25">
      <c r="A1450"/>
      <c r="B1450" s="36"/>
      <c r="C1450" s="36"/>
      <c r="D1450"/>
      <c r="E1450"/>
      <c r="F1450"/>
      <c r="G1450"/>
      <c r="H1450"/>
      <c r="I1450"/>
      <c r="J1450"/>
      <c r="K1450"/>
      <c r="L1450"/>
      <c r="M1450"/>
      <c r="N1450"/>
      <c r="O1450"/>
      <c r="P1450" s="36"/>
      <c r="Q1450" s="37"/>
      <c r="R1450"/>
      <c r="S1450"/>
      <c r="T1450"/>
      <c r="U1450"/>
      <c r="V1450" s="39"/>
      <c r="W1450"/>
      <c r="X1450"/>
      <c r="Y1450"/>
      <c r="Z1450"/>
      <c r="AA1450"/>
    </row>
    <row r="1451" spans="1:27" x14ac:dyDescent="0.25">
      <c r="A1451"/>
      <c r="B1451" s="36"/>
      <c r="C1451" s="36"/>
      <c r="D1451"/>
      <c r="E1451"/>
      <c r="F1451"/>
      <c r="G1451"/>
      <c r="H1451"/>
      <c r="I1451"/>
      <c r="J1451"/>
      <c r="K1451"/>
      <c r="L1451"/>
      <c r="M1451"/>
      <c r="N1451"/>
      <c r="O1451"/>
      <c r="P1451" s="36"/>
      <c r="Q1451" s="37"/>
      <c r="R1451"/>
      <c r="S1451"/>
      <c r="T1451"/>
      <c r="U1451"/>
      <c r="V1451" s="39"/>
      <c r="W1451"/>
      <c r="X1451"/>
      <c r="Y1451"/>
      <c r="Z1451"/>
      <c r="AA1451"/>
    </row>
    <row r="1452" spans="1:27" x14ac:dyDescent="0.25">
      <c r="A1452"/>
      <c r="B1452" s="36"/>
      <c r="C1452" s="36"/>
      <c r="D1452"/>
      <c r="E1452"/>
      <c r="F1452"/>
      <c r="G1452"/>
      <c r="H1452"/>
      <c r="I1452"/>
      <c r="J1452"/>
      <c r="K1452"/>
      <c r="L1452"/>
      <c r="M1452"/>
      <c r="N1452"/>
      <c r="O1452"/>
      <c r="P1452" s="36"/>
      <c r="Q1452" s="37"/>
      <c r="R1452"/>
      <c r="S1452"/>
      <c r="T1452"/>
      <c r="U1452"/>
      <c r="V1452" s="39"/>
      <c r="W1452"/>
      <c r="X1452"/>
      <c r="Y1452"/>
      <c r="Z1452"/>
      <c r="AA1452"/>
    </row>
    <row r="1453" spans="1:27" x14ac:dyDescent="0.25">
      <c r="A1453"/>
      <c r="B1453" s="36"/>
      <c r="C1453" s="36"/>
      <c r="D1453"/>
      <c r="E1453"/>
      <c r="F1453"/>
      <c r="G1453"/>
      <c r="H1453"/>
      <c r="I1453"/>
      <c r="J1453"/>
      <c r="K1453"/>
      <c r="L1453"/>
      <c r="M1453"/>
      <c r="N1453"/>
      <c r="O1453"/>
      <c r="P1453" s="36"/>
      <c r="Q1453" s="37"/>
      <c r="R1453"/>
      <c r="S1453"/>
      <c r="T1453"/>
      <c r="U1453"/>
      <c r="V1453" s="39"/>
      <c r="W1453"/>
      <c r="X1453"/>
      <c r="Y1453"/>
      <c r="Z1453"/>
      <c r="AA1453"/>
    </row>
    <row r="1454" spans="1:27" x14ac:dyDescent="0.25">
      <c r="A1454"/>
      <c r="B1454" s="36"/>
      <c r="C1454" s="36"/>
      <c r="D1454"/>
      <c r="E1454"/>
      <c r="F1454"/>
      <c r="G1454"/>
      <c r="H1454"/>
      <c r="I1454"/>
      <c r="J1454"/>
      <c r="K1454"/>
      <c r="L1454"/>
      <c r="M1454"/>
      <c r="N1454"/>
      <c r="O1454"/>
      <c r="P1454" s="36"/>
      <c r="Q1454" s="37"/>
      <c r="R1454"/>
      <c r="S1454"/>
      <c r="T1454"/>
      <c r="U1454"/>
      <c r="V1454" s="39"/>
      <c r="W1454"/>
      <c r="X1454"/>
      <c r="Y1454"/>
      <c r="Z1454"/>
      <c r="AA1454"/>
    </row>
    <row r="1455" spans="1:27" x14ac:dyDescent="0.25">
      <c r="A1455"/>
      <c r="B1455" s="36"/>
      <c r="C1455" s="36"/>
      <c r="D1455"/>
      <c r="E1455"/>
      <c r="F1455"/>
      <c r="G1455"/>
      <c r="H1455"/>
      <c r="I1455"/>
      <c r="J1455"/>
      <c r="K1455"/>
      <c r="L1455"/>
      <c r="M1455"/>
      <c r="N1455"/>
      <c r="O1455"/>
      <c r="P1455" s="36"/>
      <c r="Q1455" s="37"/>
      <c r="R1455"/>
      <c r="S1455"/>
      <c r="T1455"/>
      <c r="U1455"/>
      <c r="V1455" s="39"/>
      <c r="W1455"/>
      <c r="X1455"/>
      <c r="Y1455"/>
      <c r="Z1455"/>
      <c r="AA1455"/>
    </row>
    <row r="1456" spans="1:27" x14ac:dyDescent="0.25">
      <c r="A1456"/>
      <c r="B1456" s="36"/>
      <c r="C1456" s="36"/>
      <c r="D1456"/>
      <c r="E1456"/>
      <c r="F1456"/>
      <c r="G1456"/>
      <c r="H1456"/>
      <c r="I1456"/>
      <c r="J1456"/>
      <c r="K1456"/>
      <c r="L1456"/>
      <c r="M1456"/>
      <c r="N1456"/>
      <c r="O1456"/>
      <c r="P1456" s="36"/>
      <c r="Q1456" s="37"/>
      <c r="R1456"/>
      <c r="S1456"/>
      <c r="T1456"/>
      <c r="U1456"/>
      <c r="V1456" s="39"/>
      <c r="W1456"/>
      <c r="X1456"/>
      <c r="Y1456"/>
      <c r="Z1456"/>
      <c r="AA1456"/>
    </row>
    <row r="1457" spans="1:27" x14ac:dyDescent="0.25">
      <c r="A1457"/>
      <c r="B1457" s="36"/>
      <c r="C1457" s="36"/>
      <c r="D1457"/>
      <c r="E1457"/>
      <c r="F1457"/>
      <c r="G1457"/>
      <c r="H1457"/>
      <c r="I1457"/>
      <c r="J1457"/>
      <c r="K1457"/>
      <c r="L1457"/>
      <c r="M1457"/>
      <c r="N1457"/>
      <c r="O1457"/>
      <c r="P1457" s="36"/>
      <c r="Q1457" s="37"/>
      <c r="R1457"/>
      <c r="S1457"/>
      <c r="T1457"/>
      <c r="U1457"/>
      <c r="V1457" s="39"/>
      <c r="W1457"/>
      <c r="X1457"/>
      <c r="Y1457"/>
      <c r="Z1457"/>
      <c r="AA1457"/>
    </row>
    <row r="1458" spans="1:27" x14ac:dyDescent="0.25">
      <c r="A1458"/>
      <c r="B1458" s="36"/>
      <c r="C1458" s="36"/>
      <c r="D1458"/>
      <c r="E1458"/>
      <c r="F1458"/>
      <c r="G1458"/>
      <c r="H1458"/>
      <c r="I1458"/>
      <c r="J1458"/>
      <c r="K1458"/>
      <c r="L1458"/>
      <c r="M1458"/>
      <c r="N1458"/>
      <c r="O1458"/>
      <c r="P1458" s="36"/>
      <c r="Q1458" s="37"/>
      <c r="R1458"/>
      <c r="S1458"/>
      <c r="T1458"/>
      <c r="U1458"/>
      <c r="V1458" s="39"/>
      <c r="W1458"/>
      <c r="X1458"/>
      <c r="Y1458"/>
      <c r="Z1458"/>
      <c r="AA1458"/>
    </row>
    <row r="1459" spans="1:27" x14ac:dyDescent="0.25">
      <c r="A1459"/>
      <c r="B1459" s="36"/>
      <c r="C1459" s="36"/>
      <c r="D1459"/>
      <c r="E1459"/>
      <c r="F1459"/>
      <c r="G1459"/>
      <c r="H1459"/>
      <c r="I1459"/>
      <c r="J1459"/>
      <c r="K1459"/>
      <c r="L1459"/>
      <c r="M1459"/>
      <c r="N1459"/>
      <c r="O1459"/>
      <c r="P1459" s="36"/>
      <c r="Q1459" s="37"/>
      <c r="R1459"/>
      <c r="S1459"/>
      <c r="T1459"/>
      <c r="U1459"/>
      <c r="V1459" s="39"/>
      <c r="W1459"/>
      <c r="X1459"/>
      <c r="Y1459"/>
      <c r="Z1459"/>
      <c r="AA1459"/>
    </row>
    <row r="1460" spans="1:27" x14ac:dyDescent="0.25">
      <c r="A1460"/>
      <c r="B1460" s="36"/>
      <c r="C1460" s="36"/>
      <c r="D1460"/>
      <c r="E1460"/>
      <c r="F1460"/>
      <c r="G1460"/>
      <c r="H1460"/>
      <c r="I1460"/>
      <c r="J1460"/>
      <c r="K1460"/>
      <c r="L1460"/>
      <c r="M1460"/>
      <c r="N1460"/>
      <c r="O1460"/>
      <c r="P1460" s="36"/>
      <c r="Q1460" s="37"/>
      <c r="R1460"/>
      <c r="S1460"/>
      <c r="T1460"/>
      <c r="U1460"/>
      <c r="V1460" s="39"/>
      <c r="W1460"/>
      <c r="X1460"/>
      <c r="Y1460"/>
      <c r="Z1460"/>
      <c r="AA1460"/>
    </row>
    <row r="1461" spans="1:27" x14ac:dyDescent="0.25">
      <c r="A1461"/>
      <c r="B1461" s="36"/>
      <c r="C1461" s="36"/>
      <c r="D1461"/>
      <c r="E1461"/>
      <c r="F1461"/>
      <c r="G1461"/>
      <c r="H1461"/>
      <c r="I1461"/>
      <c r="J1461"/>
      <c r="K1461"/>
      <c r="L1461"/>
      <c r="M1461"/>
      <c r="N1461"/>
      <c r="O1461"/>
      <c r="P1461" s="36"/>
      <c r="Q1461" s="37"/>
      <c r="R1461"/>
      <c r="S1461"/>
      <c r="T1461"/>
      <c r="U1461"/>
      <c r="V1461" s="39"/>
      <c r="W1461"/>
      <c r="X1461"/>
      <c r="Y1461"/>
      <c r="Z1461"/>
      <c r="AA1461"/>
    </row>
    <row r="1462" spans="1:27" x14ac:dyDescent="0.25">
      <c r="A1462"/>
      <c r="B1462" s="36"/>
      <c r="C1462" s="36"/>
      <c r="D1462"/>
      <c r="E1462"/>
      <c r="F1462"/>
      <c r="G1462"/>
      <c r="H1462"/>
      <c r="I1462"/>
      <c r="J1462"/>
      <c r="K1462"/>
      <c r="L1462"/>
      <c r="M1462"/>
      <c r="N1462"/>
      <c r="O1462"/>
      <c r="P1462" s="36"/>
      <c r="Q1462" s="37"/>
      <c r="R1462"/>
      <c r="S1462"/>
      <c r="T1462"/>
      <c r="U1462"/>
      <c r="V1462" s="39"/>
      <c r="W1462"/>
      <c r="X1462"/>
      <c r="Y1462"/>
      <c r="Z1462"/>
      <c r="AA1462"/>
    </row>
    <row r="1463" spans="1:27" x14ac:dyDescent="0.25">
      <c r="A1463"/>
      <c r="B1463" s="36"/>
      <c r="C1463" s="36"/>
      <c r="D1463"/>
      <c r="E1463"/>
      <c r="F1463"/>
      <c r="G1463"/>
      <c r="H1463"/>
      <c r="I1463"/>
      <c r="J1463"/>
      <c r="K1463"/>
      <c r="L1463"/>
      <c r="M1463"/>
      <c r="N1463"/>
      <c r="O1463"/>
      <c r="P1463" s="36"/>
      <c r="Q1463" s="37"/>
      <c r="R1463" s="44"/>
      <c r="S1463"/>
      <c r="T1463"/>
      <c r="U1463"/>
      <c r="V1463" s="39"/>
      <c r="W1463"/>
      <c r="X1463"/>
      <c r="Y1463"/>
      <c r="Z1463"/>
      <c r="AA1463"/>
    </row>
    <row r="1464" spans="1:27" x14ac:dyDescent="0.25">
      <c r="A1464"/>
      <c r="B1464" s="36"/>
      <c r="C1464" s="36"/>
      <c r="D1464"/>
      <c r="E1464"/>
      <c r="F1464"/>
      <c r="G1464"/>
      <c r="H1464"/>
      <c r="I1464"/>
      <c r="J1464"/>
      <c r="K1464"/>
      <c r="L1464"/>
      <c r="M1464"/>
      <c r="N1464"/>
      <c r="O1464"/>
      <c r="P1464" s="36"/>
      <c r="Q1464" s="37"/>
      <c r="R1464"/>
      <c r="S1464"/>
      <c r="T1464"/>
      <c r="U1464"/>
      <c r="V1464" s="39"/>
      <c r="W1464"/>
      <c r="X1464"/>
      <c r="Y1464"/>
      <c r="Z1464"/>
      <c r="AA1464"/>
    </row>
    <row r="1465" spans="1:27" x14ac:dyDescent="0.25">
      <c r="A1465"/>
      <c r="B1465" s="36"/>
      <c r="C1465" s="36"/>
      <c r="D1465"/>
      <c r="E1465"/>
      <c r="F1465"/>
      <c r="G1465"/>
      <c r="H1465"/>
      <c r="I1465"/>
      <c r="J1465"/>
      <c r="K1465"/>
      <c r="L1465"/>
      <c r="M1465"/>
      <c r="N1465"/>
      <c r="O1465"/>
      <c r="P1465" s="36"/>
      <c r="Q1465" s="37"/>
      <c r="R1465"/>
      <c r="S1465"/>
      <c r="T1465"/>
      <c r="U1465"/>
      <c r="V1465" s="39"/>
      <c r="W1465"/>
      <c r="X1465"/>
      <c r="Y1465"/>
      <c r="Z1465"/>
      <c r="AA1465"/>
    </row>
    <row r="1466" spans="1:27" x14ac:dyDescent="0.25">
      <c r="A1466"/>
      <c r="B1466" s="36"/>
      <c r="C1466" s="36"/>
      <c r="D1466"/>
      <c r="E1466"/>
      <c r="F1466"/>
      <c r="G1466"/>
      <c r="H1466"/>
      <c r="I1466"/>
      <c r="J1466"/>
      <c r="K1466"/>
      <c r="L1466"/>
      <c r="M1466"/>
      <c r="N1466"/>
      <c r="O1466"/>
      <c r="P1466" s="36"/>
      <c r="Q1466" s="37"/>
      <c r="R1466"/>
      <c r="S1466"/>
      <c r="T1466"/>
      <c r="U1466"/>
      <c r="V1466" s="39"/>
      <c r="W1466"/>
      <c r="X1466"/>
      <c r="Y1466"/>
      <c r="Z1466"/>
      <c r="AA1466"/>
    </row>
    <row r="1467" spans="1:27" x14ac:dyDescent="0.25">
      <c r="A1467"/>
      <c r="B1467" s="36"/>
      <c r="C1467" s="36"/>
      <c r="D1467"/>
      <c r="E1467"/>
      <c r="F1467"/>
      <c r="G1467"/>
      <c r="H1467"/>
      <c r="I1467"/>
      <c r="J1467"/>
      <c r="K1467"/>
      <c r="L1467"/>
      <c r="M1467"/>
      <c r="N1467"/>
      <c r="O1467"/>
      <c r="P1467" s="36"/>
      <c r="Q1467" s="37"/>
      <c r="R1467"/>
      <c r="S1467"/>
      <c r="T1467"/>
      <c r="U1467"/>
      <c r="V1467" s="39"/>
      <c r="W1467"/>
      <c r="X1467"/>
      <c r="Y1467"/>
      <c r="Z1467"/>
      <c r="AA1467"/>
    </row>
    <row r="1468" spans="1:27" x14ac:dyDescent="0.25">
      <c r="A1468"/>
      <c r="B1468" s="36"/>
      <c r="C1468" s="36"/>
      <c r="D1468"/>
      <c r="E1468"/>
      <c r="F1468"/>
      <c r="G1468"/>
      <c r="H1468"/>
      <c r="I1468"/>
      <c r="J1468"/>
      <c r="K1468"/>
      <c r="L1468"/>
      <c r="M1468"/>
      <c r="N1468"/>
      <c r="O1468"/>
      <c r="P1468" s="36"/>
      <c r="Q1468" s="37"/>
      <c r="R1468"/>
      <c r="S1468"/>
      <c r="T1468"/>
      <c r="U1468"/>
      <c r="V1468" s="39"/>
      <c r="W1468"/>
      <c r="X1468"/>
      <c r="Y1468"/>
      <c r="Z1468"/>
      <c r="AA1468"/>
    </row>
    <row r="1469" spans="1:27" x14ac:dyDescent="0.25">
      <c r="A1469"/>
      <c r="B1469" s="36"/>
      <c r="C1469" s="36"/>
      <c r="D1469"/>
      <c r="E1469"/>
      <c r="F1469"/>
      <c r="G1469"/>
      <c r="H1469"/>
      <c r="I1469"/>
      <c r="J1469"/>
      <c r="K1469"/>
      <c r="L1469"/>
      <c r="M1469"/>
      <c r="N1469"/>
      <c r="O1469"/>
      <c r="P1469" s="36"/>
      <c r="Q1469" s="37"/>
      <c r="R1469"/>
      <c r="S1469"/>
      <c r="T1469"/>
      <c r="U1469"/>
      <c r="V1469" s="39"/>
      <c r="W1469"/>
      <c r="X1469"/>
      <c r="Y1469"/>
      <c r="Z1469"/>
      <c r="AA1469"/>
    </row>
    <row r="1470" spans="1:27" x14ac:dyDescent="0.25">
      <c r="A1470"/>
      <c r="B1470" s="36"/>
      <c r="C1470" s="36"/>
      <c r="D1470"/>
      <c r="E1470"/>
      <c r="F1470"/>
      <c r="G1470"/>
      <c r="H1470"/>
      <c r="I1470"/>
      <c r="J1470"/>
      <c r="K1470"/>
      <c r="L1470"/>
      <c r="M1470"/>
      <c r="N1470"/>
      <c r="O1470"/>
      <c r="P1470" s="36"/>
      <c r="Q1470" s="37"/>
      <c r="R1470"/>
      <c r="S1470"/>
      <c r="T1470"/>
      <c r="U1470"/>
      <c r="V1470" s="39"/>
      <c r="W1470"/>
      <c r="X1470"/>
      <c r="Y1470"/>
      <c r="Z1470"/>
      <c r="AA1470"/>
    </row>
    <row r="1471" spans="1:27" x14ac:dyDescent="0.25">
      <c r="A1471"/>
      <c r="B1471" s="36"/>
      <c r="C1471" s="36"/>
      <c r="D1471"/>
      <c r="E1471"/>
      <c r="F1471"/>
      <c r="G1471"/>
      <c r="H1471"/>
      <c r="I1471"/>
      <c r="J1471"/>
      <c r="K1471"/>
      <c r="L1471"/>
      <c r="M1471"/>
      <c r="N1471"/>
      <c r="O1471"/>
      <c r="P1471" s="36"/>
      <c r="Q1471" s="37"/>
      <c r="R1471"/>
      <c r="S1471"/>
      <c r="T1471"/>
      <c r="U1471"/>
      <c r="V1471" s="39"/>
      <c r="W1471"/>
      <c r="X1471"/>
      <c r="Y1471"/>
      <c r="Z1471"/>
      <c r="AA1471"/>
    </row>
    <row r="1472" spans="1:27" x14ac:dyDescent="0.25">
      <c r="A1472"/>
      <c r="B1472" s="36"/>
      <c r="C1472" s="36"/>
      <c r="D1472"/>
      <c r="E1472"/>
      <c r="F1472"/>
      <c r="G1472"/>
      <c r="H1472"/>
      <c r="I1472"/>
      <c r="J1472"/>
      <c r="K1472"/>
      <c r="L1472"/>
      <c r="M1472"/>
      <c r="N1472"/>
      <c r="O1472"/>
      <c r="P1472" s="36"/>
      <c r="Q1472" s="37"/>
      <c r="R1472"/>
      <c r="S1472"/>
      <c r="T1472"/>
      <c r="U1472"/>
      <c r="V1472" s="39"/>
      <c r="W1472"/>
      <c r="X1472"/>
      <c r="Y1472"/>
      <c r="Z1472"/>
      <c r="AA1472"/>
    </row>
    <row r="1473" spans="1:27" x14ac:dyDescent="0.25">
      <c r="A1473"/>
      <c r="B1473" s="36"/>
      <c r="C1473" s="36"/>
      <c r="D1473"/>
      <c r="E1473"/>
      <c r="F1473"/>
      <c r="G1473"/>
      <c r="H1473"/>
      <c r="I1473"/>
      <c r="J1473"/>
      <c r="K1473"/>
      <c r="L1473"/>
      <c r="M1473"/>
      <c r="N1473"/>
      <c r="O1473"/>
      <c r="P1473" s="36"/>
      <c r="Q1473" s="37"/>
      <c r="R1473"/>
      <c r="S1473"/>
      <c r="T1473"/>
      <c r="U1473"/>
      <c r="V1473" s="39"/>
      <c r="W1473"/>
      <c r="X1473"/>
      <c r="Y1473"/>
      <c r="Z1473"/>
      <c r="AA1473"/>
    </row>
    <row r="1474" spans="1:27" x14ac:dyDescent="0.25">
      <c r="A1474"/>
      <c r="B1474" s="36"/>
      <c r="C1474" s="36"/>
      <c r="D1474"/>
      <c r="E1474"/>
      <c r="F1474"/>
      <c r="G1474"/>
      <c r="H1474"/>
      <c r="I1474"/>
      <c r="J1474"/>
      <c r="K1474"/>
      <c r="L1474"/>
      <c r="M1474"/>
      <c r="N1474"/>
      <c r="O1474"/>
      <c r="P1474" s="36"/>
      <c r="Q1474" s="37"/>
      <c r="R1474"/>
      <c r="S1474"/>
      <c r="T1474"/>
      <c r="U1474"/>
      <c r="V1474" s="39"/>
      <c r="W1474"/>
      <c r="X1474"/>
      <c r="Y1474"/>
      <c r="Z1474"/>
      <c r="AA1474"/>
    </row>
    <row r="1475" spans="1:27" x14ac:dyDescent="0.25">
      <c r="A1475"/>
      <c r="B1475" s="36"/>
      <c r="C1475" s="36"/>
      <c r="D1475"/>
      <c r="E1475"/>
      <c r="F1475"/>
      <c r="G1475"/>
      <c r="H1475"/>
      <c r="I1475"/>
      <c r="J1475"/>
      <c r="K1475"/>
      <c r="L1475"/>
      <c r="M1475"/>
      <c r="N1475"/>
      <c r="O1475"/>
      <c r="P1475" s="36"/>
      <c r="Q1475" s="37"/>
      <c r="R1475"/>
      <c r="S1475"/>
      <c r="T1475"/>
      <c r="U1475"/>
      <c r="V1475" s="39"/>
      <c r="W1475"/>
      <c r="X1475"/>
      <c r="Y1475"/>
      <c r="Z1475"/>
      <c r="AA1475"/>
    </row>
    <row r="1476" spans="1:27" x14ac:dyDescent="0.25">
      <c r="A1476"/>
      <c r="B1476" s="36"/>
      <c r="C1476" s="36"/>
      <c r="D1476"/>
      <c r="E1476"/>
      <c r="F1476"/>
      <c r="G1476"/>
      <c r="H1476"/>
      <c r="I1476"/>
      <c r="J1476"/>
      <c r="K1476"/>
      <c r="L1476"/>
      <c r="M1476"/>
      <c r="N1476"/>
      <c r="O1476"/>
      <c r="P1476" s="36"/>
      <c r="Q1476" s="37"/>
      <c r="R1476"/>
      <c r="S1476"/>
      <c r="T1476"/>
      <c r="U1476"/>
      <c r="V1476" s="39"/>
      <c r="W1476"/>
      <c r="X1476"/>
      <c r="Y1476"/>
      <c r="Z1476"/>
      <c r="AA1476"/>
    </row>
    <row r="1477" spans="1:27" x14ac:dyDescent="0.25">
      <c r="A1477"/>
      <c r="B1477" s="36"/>
      <c r="C1477" s="36"/>
      <c r="D1477"/>
      <c r="E1477"/>
      <c r="F1477"/>
      <c r="G1477"/>
      <c r="H1477"/>
      <c r="I1477"/>
      <c r="J1477"/>
      <c r="K1477"/>
      <c r="L1477"/>
      <c r="M1477"/>
      <c r="N1477"/>
      <c r="O1477"/>
      <c r="P1477" s="36"/>
      <c r="Q1477" s="37"/>
      <c r="R1477"/>
      <c r="S1477"/>
      <c r="T1477"/>
      <c r="U1477"/>
      <c r="V1477" s="39"/>
      <c r="W1477"/>
      <c r="X1477"/>
      <c r="Y1477"/>
      <c r="Z1477"/>
      <c r="AA1477"/>
    </row>
    <row r="1478" spans="1:27" x14ac:dyDescent="0.25">
      <c r="A1478"/>
      <c r="B1478" s="36"/>
      <c r="C1478" s="36"/>
      <c r="D1478"/>
      <c r="E1478"/>
      <c r="F1478"/>
      <c r="G1478"/>
      <c r="H1478"/>
      <c r="I1478"/>
      <c r="J1478"/>
      <c r="K1478"/>
      <c r="L1478"/>
      <c r="M1478"/>
      <c r="N1478"/>
      <c r="O1478"/>
      <c r="P1478" s="36"/>
      <c r="Q1478" s="37"/>
      <c r="R1478"/>
      <c r="S1478"/>
      <c r="T1478"/>
      <c r="U1478"/>
      <c r="V1478" s="39"/>
      <c r="W1478"/>
      <c r="X1478"/>
      <c r="Y1478"/>
      <c r="Z1478"/>
      <c r="AA1478"/>
    </row>
    <row r="1479" spans="1:27" x14ac:dyDescent="0.25">
      <c r="A1479"/>
      <c r="B1479" s="36"/>
      <c r="C1479" s="36"/>
      <c r="D1479"/>
      <c r="E1479"/>
      <c r="F1479"/>
      <c r="G1479"/>
      <c r="H1479"/>
      <c r="I1479"/>
      <c r="J1479"/>
      <c r="K1479"/>
      <c r="L1479"/>
      <c r="M1479"/>
      <c r="N1479"/>
      <c r="O1479"/>
      <c r="P1479" s="36"/>
      <c r="Q1479" s="37"/>
      <c r="R1479"/>
      <c r="S1479"/>
      <c r="T1479"/>
      <c r="U1479"/>
      <c r="V1479" s="39"/>
      <c r="W1479"/>
      <c r="X1479"/>
      <c r="Y1479"/>
      <c r="Z1479"/>
      <c r="AA1479"/>
    </row>
    <row r="1480" spans="1:27" x14ac:dyDescent="0.25">
      <c r="A1480"/>
      <c r="B1480" s="36"/>
      <c r="C1480" s="36"/>
      <c r="D1480"/>
      <c r="E1480"/>
      <c r="F1480"/>
      <c r="G1480"/>
      <c r="H1480"/>
      <c r="I1480"/>
      <c r="J1480"/>
      <c r="K1480"/>
      <c r="L1480"/>
      <c r="M1480"/>
      <c r="N1480"/>
      <c r="O1480"/>
      <c r="P1480" s="36"/>
      <c r="Q1480" s="37"/>
      <c r="R1480"/>
      <c r="S1480"/>
      <c r="T1480"/>
      <c r="U1480"/>
      <c r="V1480" s="39"/>
      <c r="W1480"/>
      <c r="X1480"/>
      <c r="Y1480"/>
      <c r="Z1480"/>
      <c r="AA1480"/>
    </row>
    <row r="1481" spans="1:27" x14ac:dyDescent="0.25">
      <c r="A1481"/>
      <c r="B1481" s="36"/>
      <c r="C1481" s="36"/>
      <c r="D1481"/>
      <c r="E1481"/>
      <c r="F1481"/>
      <c r="G1481"/>
      <c r="H1481"/>
      <c r="I1481"/>
      <c r="J1481"/>
      <c r="K1481"/>
      <c r="L1481"/>
      <c r="M1481"/>
      <c r="N1481"/>
      <c r="O1481"/>
      <c r="P1481" s="36"/>
      <c r="Q1481" s="37"/>
      <c r="R1481"/>
      <c r="S1481"/>
      <c r="T1481"/>
      <c r="U1481"/>
      <c r="V1481" s="39"/>
      <c r="W1481"/>
      <c r="X1481"/>
      <c r="Y1481"/>
      <c r="Z1481"/>
      <c r="AA1481"/>
    </row>
    <row r="1482" spans="1:27" x14ac:dyDescent="0.25">
      <c r="A1482"/>
      <c r="B1482" s="36"/>
      <c r="C1482" s="36"/>
      <c r="D1482"/>
      <c r="E1482"/>
      <c r="F1482"/>
      <c r="G1482"/>
      <c r="H1482"/>
      <c r="I1482"/>
      <c r="J1482"/>
      <c r="K1482"/>
      <c r="L1482"/>
      <c r="M1482"/>
      <c r="N1482"/>
      <c r="O1482"/>
      <c r="P1482" s="36"/>
      <c r="Q1482" s="37"/>
      <c r="R1482"/>
      <c r="S1482"/>
      <c r="T1482"/>
      <c r="U1482"/>
      <c r="V1482" s="39"/>
      <c r="W1482"/>
      <c r="X1482"/>
      <c r="Y1482"/>
      <c r="Z1482"/>
      <c r="AA1482"/>
    </row>
    <row r="1483" spans="1:27" x14ac:dyDescent="0.25">
      <c r="A1483"/>
      <c r="B1483" s="36"/>
      <c r="C1483" s="36"/>
      <c r="D1483"/>
      <c r="E1483"/>
      <c r="F1483"/>
      <c r="G1483"/>
      <c r="H1483"/>
      <c r="I1483"/>
      <c r="J1483"/>
      <c r="K1483"/>
      <c r="L1483"/>
      <c r="M1483"/>
      <c r="N1483"/>
      <c r="O1483"/>
      <c r="P1483" s="36"/>
      <c r="Q1483" s="37"/>
      <c r="R1483"/>
      <c r="S1483"/>
      <c r="T1483"/>
      <c r="U1483"/>
      <c r="V1483" s="39"/>
      <c r="W1483"/>
      <c r="X1483"/>
      <c r="Y1483"/>
      <c r="Z1483"/>
      <c r="AA1483"/>
    </row>
    <row r="1484" spans="1:27" x14ac:dyDescent="0.25">
      <c r="A1484"/>
      <c r="B1484" s="36"/>
      <c r="C1484" s="36"/>
      <c r="D1484"/>
      <c r="E1484"/>
      <c r="F1484"/>
      <c r="G1484"/>
      <c r="H1484"/>
      <c r="I1484"/>
      <c r="J1484"/>
      <c r="K1484"/>
      <c r="L1484"/>
      <c r="M1484"/>
      <c r="N1484"/>
      <c r="O1484"/>
      <c r="P1484" s="36"/>
      <c r="Q1484" s="37"/>
      <c r="R1484"/>
      <c r="S1484"/>
      <c r="T1484"/>
      <c r="U1484"/>
      <c r="V1484" s="39"/>
      <c r="W1484"/>
      <c r="X1484"/>
      <c r="Y1484"/>
      <c r="Z1484"/>
      <c r="AA1484"/>
    </row>
    <row r="1485" spans="1:27" x14ac:dyDescent="0.25">
      <c r="A1485"/>
      <c r="B1485" s="36"/>
      <c r="C1485" s="36"/>
      <c r="D1485"/>
      <c r="E1485"/>
      <c r="F1485"/>
      <c r="G1485"/>
      <c r="H1485"/>
      <c r="I1485"/>
      <c r="J1485"/>
      <c r="K1485"/>
      <c r="L1485"/>
      <c r="M1485"/>
      <c r="N1485"/>
      <c r="O1485"/>
      <c r="P1485" s="36"/>
      <c r="Q1485" s="37"/>
      <c r="R1485"/>
      <c r="S1485"/>
      <c r="T1485"/>
      <c r="U1485"/>
      <c r="V1485" s="39"/>
      <c r="W1485"/>
      <c r="X1485"/>
      <c r="Y1485"/>
      <c r="Z1485"/>
      <c r="AA1485"/>
    </row>
    <row r="1486" spans="1:27" x14ac:dyDescent="0.25">
      <c r="A1486"/>
      <c r="B1486" s="36"/>
      <c r="C1486" s="36"/>
      <c r="D1486"/>
      <c r="E1486"/>
      <c r="F1486"/>
      <c r="G1486"/>
      <c r="H1486"/>
      <c r="I1486"/>
      <c r="J1486"/>
      <c r="K1486"/>
      <c r="L1486"/>
      <c r="M1486"/>
      <c r="N1486"/>
      <c r="O1486"/>
      <c r="P1486" s="36"/>
      <c r="Q1486" s="37"/>
      <c r="R1486"/>
      <c r="S1486"/>
      <c r="T1486"/>
      <c r="U1486"/>
      <c r="V1486" s="39"/>
      <c r="W1486"/>
      <c r="X1486"/>
      <c r="Y1486"/>
      <c r="Z1486"/>
      <c r="AA1486"/>
    </row>
    <row r="1487" spans="1:27" x14ac:dyDescent="0.25">
      <c r="A1487"/>
      <c r="B1487" s="36"/>
      <c r="C1487" s="36"/>
      <c r="D1487"/>
      <c r="E1487"/>
      <c r="F1487"/>
      <c r="G1487"/>
      <c r="H1487"/>
      <c r="I1487"/>
      <c r="J1487"/>
      <c r="K1487"/>
      <c r="L1487"/>
      <c r="M1487"/>
      <c r="N1487"/>
      <c r="O1487"/>
      <c r="P1487" s="36"/>
      <c r="Q1487" s="37"/>
      <c r="R1487"/>
      <c r="S1487"/>
      <c r="T1487"/>
      <c r="U1487"/>
      <c r="V1487" s="39"/>
      <c r="W1487"/>
      <c r="X1487"/>
      <c r="Y1487"/>
      <c r="Z1487"/>
      <c r="AA1487"/>
    </row>
    <row r="1488" spans="1:27" x14ac:dyDescent="0.25">
      <c r="A1488"/>
      <c r="B1488" s="36"/>
      <c r="C1488" s="36"/>
      <c r="D1488"/>
      <c r="E1488"/>
      <c r="F1488"/>
      <c r="G1488"/>
      <c r="H1488"/>
      <c r="I1488"/>
      <c r="J1488"/>
      <c r="K1488"/>
      <c r="L1488"/>
      <c r="M1488"/>
      <c r="N1488"/>
      <c r="O1488"/>
      <c r="P1488" s="36"/>
      <c r="Q1488" s="37"/>
      <c r="R1488"/>
      <c r="S1488"/>
      <c r="T1488"/>
      <c r="U1488"/>
      <c r="V1488" s="39"/>
      <c r="W1488"/>
      <c r="X1488"/>
      <c r="Y1488"/>
      <c r="Z1488"/>
      <c r="AA1488"/>
    </row>
    <row r="1489" spans="1:27" x14ac:dyDescent="0.25">
      <c r="A1489"/>
      <c r="B1489" s="36"/>
      <c r="C1489" s="36"/>
      <c r="D1489"/>
      <c r="E1489"/>
      <c r="F1489"/>
      <c r="G1489"/>
      <c r="H1489"/>
      <c r="I1489"/>
      <c r="J1489"/>
      <c r="K1489"/>
      <c r="L1489"/>
      <c r="M1489"/>
      <c r="N1489"/>
      <c r="O1489"/>
      <c r="P1489" s="36"/>
      <c r="Q1489" s="37"/>
      <c r="R1489"/>
      <c r="S1489"/>
      <c r="T1489"/>
      <c r="U1489"/>
      <c r="V1489" s="39"/>
      <c r="W1489"/>
      <c r="X1489"/>
      <c r="Y1489"/>
      <c r="Z1489"/>
      <c r="AA1489"/>
    </row>
    <row r="1490" spans="1:27" x14ac:dyDescent="0.25">
      <c r="A1490"/>
      <c r="B1490" s="36"/>
      <c r="C1490" s="36"/>
      <c r="D1490"/>
      <c r="E1490"/>
      <c r="F1490"/>
      <c r="G1490"/>
      <c r="H1490"/>
      <c r="I1490"/>
      <c r="J1490"/>
      <c r="K1490"/>
      <c r="L1490"/>
      <c r="M1490"/>
      <c r="N1490"/>
      <c r="O1490"/>
      <c r="P1490" s="36"/>
      <c r="Q1490" s="37"/>
      <c r="R1490"/>
      <c r="S1490"/>
      <c r="T1490"/>
      <c r="U1490"/>
      <c r="V1490" s="39"/>
      <c r="W1490"/>
      <c r="X1490"/>
      <c r="Y1490"/>
      <c r="Z1490"/>
      <c r="AA1490"/>
    </row>
    <row r="1491" spans="1:27" x14ac:dyDescent="0.25">
      <c r="A1491"/>
      <c r="B1491" s="36"/>
      <c r="C1491" s="36"/>
      <c r="D1491"/>
      <c r="E1491"/>
      <c r="F1491"/>
      <c r="G1491"/>
      <c r="H1491"/>
      <c r="I1491"/>
      <c r="J1491"/>
      <c r="K1491"/>
      <c r="L1491"/>
      <c r="M1491"/>
      <c r="N1491"/>
      <c r="O1491"/>
      <c r="P1491" s="36"/>
      <c r="Q1491" s="37"/>
      <c r="R1491"/>
      <c r="S1491"/>
      <c r="T1491"/>
      <c r="U1491"/>
      <c r="V1491" s="39"/>
      <c r="W1491"/>
      <c r="X1491"/>
      <c r="Y1491"/>
      <c r="Z1491"/>
      <c r="AA1491"/>
    </row>
    <row r="1492" spans="1:27" x14ac:dyDescent="0.25">
      <c r="A1492"/>
      <c r="B1492" s="36"/>
      <c r="C1492" s="36"/>
      <c r="D1492"/>
      <c r="E1492"/>
      <c r="F1492"/>
      <c r="G1492"/>
      <c r="H1492"/>
      <c r="I1492"/>
      <c r="J1492"/>
      <c r="K1492"/>
      <c r="L1492"/>
      <c r="M1492"/>
      <c r="N1492"/>
      <c r="O1492"/>
      <c r="P1492" s="36"/>
      <c r="Q1492" s="37"/>
      <c r="R1492"/>
      <c r="S1492"/>
      <c r="T1492"/>
      <c r="U1492"/>
      <c r="V1492" s="39"/>
      <c r="W1492"/>
      <c r="X1492"/>
      <c r="Y1492"/>
      <c r="Z1492"/>
      <c r="AA1492"/>
    </row>
    <row r="1493" spans="1:27" x14ac:dyDescent="0.25">
      <c r="A1493"/>
      <c r="B1493" s="36"/>
      <c r="C1493" s="36"/>
      <c r="D1493"/>
      <c r="E1493"/>
      <c r="F1493"/>
      <c r="G1493"/>
      <c r="H1493"/>
      <c r="I1493"/>
      <c r="J1493"/>
      <c r="K1493"/>
      <c r="L1493"/>
      <c r="M1493"/>
      <c r="N1493"/>
      <c r="O1493"/>
      <c r="P1493" s="36"/>
      <c r="Q1493" s="37"/>
      <c r="R1493"/>
      <c r="S1493"/>
      <c r="T1493"/>
      <c r="U1493"/>
      <c r="V1493" s="39"/>
      <c r="W1493"/>
      <c r="X1493"/>
      <c r="Y1493"/>
      <c r="Z1493"/>
      <c r="AA1493"/>
    </row>
    <row r="1494" spans="1:27" x14ac:dyDescent="0.25">
      <c r="A1494"/>
      <c r="B1494" s="36"/>
      <c r="C1494" s="36"/>
      <c r="D1494"/>
      <c r="E1494"/>
      <c r="F1494"/>
      <c r="G1494"/>
      <c r="H1494"/>
      <c r="I1494"/>
      <c r="J1494"/>
      <c r="K1494"/>
      <c r="L1494"/>
      <c r="M1494"/>
      <c r="N1494"/>
      <c r="O1494"/>
      <c r="P1494" s="36"/>
      <c r="Q1494" s="37"/>
      <c r="R1494"/>
      <c r="S1494"/>
      <c r="T1494"/>
      <c r="U1494"/>
      <c r="V1494" s="39"/>
      <c r="W1494"/>
      <c r="X1494"/>
      <c r="Y1494"/>
      <c r="Z1494"/>
      <c r="AA1494"/>
    </row>
    <row r="1495" spans="1:27" x14ac:dyDescent="0.25">
      <c r="A1495"/>
      <c r="B1495" s="36"/>
      <c r="C1495" s="36"/>
      <c r="D1495"/>
      <c r="E1495"/>
      <c r="F1495"/>
      <c r="G1495"/>
      <c r="H1495"/>
      <c r="I1495"/>
      <c r="J1495"/>
      <c r="K1495"/>
      <c r="L1495"/>
      <c r="M1495"/>
      <c r="N1495"/>
      <c r="O1495"/>
      <c r="P1495" s="36"/>
      <c r="Q1495" s="37"/>
      <c r="R1495"/>
      <c r="S1495"/>
      <c r="T1495"/>
      <c r="U1495"/>
      <c r="V1495" s="39"/>
      <c r="W1495"/>
      <c r="X1495"/>
      <c r="Y1495"/>
      <c r="Z1495"/>
      <c r="AA1495"/>
    </row>
    <row r="1496" spans="1:27" x14ac:dyDescent="0.25">
      <c r="A1496"/>
      <c r="B1496" s="36"/>
      <c r="C1496" s="36"/>
      <c r="D1496"/>
      <c r="E1496"/>
      <c r="F1496"/>
      <c r="G1496"/>
      <c r="H1496"/>
      <c r="I1496"/>
      <c r="J1496"/>
      <c r="K1496"/>
      <c r="L1496"/>
      <c r="M1496"/>
      <c r="N1496"/>
      <c r="O1496"/>
      <c r="P1496" s="36"/>
      <c r="Q1496" s="37"/>
      <c r="R1496"/>
      <c r="S1496"/>
      <c r="T1496"/>
      <c r="U1496"/>
      <c r="V1496" s="39"/>
      <c r="W1496"/>
      <c r="X1496"/>
      <c r="Y1496"/>
      <c r="Z1496"/>
      <c r="AA1496"/>
    </row>
    <row r="1497" spans="1:27" x14ac:dyDescent="0.25">
      <c r="A1497"/>
      <c r="B1497" s="36"/>
      <c r="C1497" s="36"/>
      <c r="D1497"/>
      <c r="E1497"/>
      <c r="F1497"/>
      <c r="G1497"/>
      <c r="H1497"/>
      <c r="I1497"/>
      <c r="J1497"/>
      <c r="K1497"/>
      <c r="L1497"/>
      <c r="M1497"/>
      <c r="N1497"/>
      <c r="O1497"/>
      <c r="P1497" s="36"/>
      <c r="Q1497" s="37"/>
      <c r="R1497"/>
      <c r="S1497"/>
      <c r="T1497"/>
      <c r="U1497"/>
      <c r="V1497" s="39"/>
      <c r="W1497"/>
      <c r="X1497"/>
      <c r="Y1497"/>
      <c r="Z1497"/>
      <c r="AA1497"/>
    </row>
    <row r="1498" spans="1:27" x14ac:dyDescent="0.25">
      <c r="A1498"/>
      <c r="B1498" s="36"/>
      <c r="C1498" s="36"/>
      <c r="D1498"/>
      <c r="E1498"/>
      <c r="F1498"/>
      <c r="G1498"/>
      <c r="H1498"/>
      <c r="I1498"/>
      <c r="J1498"/>
      <c r="K1498"/>
      <c r="L1498"/>
      <c r="M1498"/>
      <c r="N1498"/>
      <c r="O1498"/>
      <c r="P1498" s="36"/>
      <c r="Q1498" s="37"/>
      <c r="R1498"/>
      <c r="S1498"/>
      <c r="T1498"/>
      <c r="U1498"/>
      <c r="V1498" s="39"/>
      <c r="W1498"/>
      <c r="X1498"/>
      <c r="Y1498"/>
      <c r="Z1498"/>
      <c r="AA1498"/>
    </row>
    <row r="1499" spans="1:27" x14ac:dyDescent="0.25">
      <c r="A1499"/>
      <c r="B1499" s="36"/>
      <c r="C1499" s="36"/>
      <c r="D1499"/>
      <c r="E1499"/>
      <c r="F1499"/>
      <c r="G1499"/>
      <c r="H1499"/>
      <c r="I1499"/>
      <c r="J1499"/>
      <c r="K1499"/>
      <c r="L1499"/>
      <c r="M1499"/>
      <c r="N1499"/>
      <c r="O1499"/>
      <c r="P1499" s="36"/>
      <c r="Q1499" s="37"/>
      <c r="R1499"/>
      <c r="S1499"/>
      <c r="T1499"/>
      <c r="U1499"/>
      <c r="V1499" s="39"/>
      <c r="W1499"/>
      <c r="X1499"/>
      <c r="Y1499"/>
      <c r="Z1499"/>
      <c r="AA1499"/>
    </row>
    <row r="1500" spans="1:27" x14ac:dyDescent="0.25">
      <c r="A1500"/>
      <c r="B1500" s="36"/>
      <c r="C1500" s="36"/>
      <c r="D1500"/>
      <c r="E1500"/>
      <c r="F1500"/>
      <c r="G1500"/>
      <c r="H1500"/>
      <c r="I1500"/>
      <c r="J1500"/>
      <c r="K1500"/>
      <c r="L1500"/>
      <c r="M1500"/>
      <c r="N1500"/>
      <c r="O1500"/>
      <c r="P1500" s="36"/>
      <c r="Q1500" s="37"/>
      <c r="R1500" s="44"/>
      <c r="S1500"/>
      <c r="T1500"/>
      <c r="U1500"/>
      <c r="V1500" s="39"/>
      <c r="W1500"/>
      <c r="X1500"/>
      <c r="Y1500"/>
      <c r="Z1500"/>
      <c r="AA1500"/>
    </row>
    <row r="1501" spans="1:27" x14ac:dyDescent="0.25">
      <c r="A1501"/>
      <c r="B1501" s="36"/>
      <c r="C1501" s="36"/>
      <c r="D1501"/>
      <c r="E1501"/>
      <c r="F1501"/>
      <c r="G1501"/>
      <c r="H1501"/>
      <c r="I1501"/>
      <c r="J1501"/>
      <c r="K1501"/>
      <c r="L1501"/>
      <c r="M1501"/>
      <c r="N1501"/>
      <c r="O1501"/>
      <c r="P1501" s="36"/>
      <c r="Q1501" s="37"/>
      <c r="R1501"/>
      <c r="S1501"/>
      <c r="T1501"/>
      <c r="U1501"/>
      <c r="V1501" s="39"/>
      <c r="W1501"/>
      <c r="X1501"/>
      <c r="Y1501"/>
      <c r="Z1501"/>
      <c r="AA1501"/>
    </row>
    <row r="1502" spans="1:27" x14ac:dyDescent="0.25">
      <c r="A1502"/>
      <c r="B1502" s="36"/>
      <c r="C1502" s="36"/>
      <c r="D1502"/>
      <c r="E1502"/>
      <c r="F1502"/>
      <c r="G1502"/>
      <c r="H1502"/>
      <c r="I1502"/>
      <c r="J1502"/>
      <c r="K1502"/>
      <c r="L1502"/>
      <c r="M1502"/>
      <c r="N1502"/>
      <c r="O1502"/>
      <c r="P1502" s="36"/>
      <c r="Q1502" s="37"/>
      <c r="R1502"/>
      <c r="S1502"/>
      <c r="T1502"/>
      <c r="U1502"/>
      <c r="V1502" s="39"/>
      <c r="W1502"/>
      <c r="X1502"/>
      <c r="Y1502"/>
      <c r="Z1502"/>
      <c r="AA1502"/>
    </row>
    <row r="1503" spans="1:27" x14ac:dyDescent="0.25">
      <c r="A1503"/>
      <c r="B1503" s="36"/>
      <c r="C1503" s="36"/>
      <c r="D1503"/>
      <c r="E1503"/>
      <c r="F1503"/>
      <c r="G1503"/>
      <c r="H1503"/>
      <c r="I1503"/>
      <c r="J1503"/>
      <c r="K1503"/>
      <c r="L1503"/>
      <c r="M1503"/>
      <c r="N1503"/>
      <c r="O1503"/>
      <c r="P1503" s="36"/>
      <c r="Q1503" s="37"/>
      <c r="R1503"/>
      <c r="S1503"/>
      <c r="T1503"/>
      <c r="U1503"/>
      <c r="V1503" s="39"/>
      <c r="W1503"/>
      <c r="X1503"/>
      <c r="Y1503"/>
      <c r="Z1503"/>
      <c r="AA1503"/>
    </row>
    <row r="1504" spans="1:27" x14ac:dyDescent="0.25">
      <c r="A1504"/>
      <c r="B1504" s="36"/>
      <c r="C1504" s="36"/>
      <c r="D1504"/>
      <c r="E1504"/>
      <c r="F1504"/>
      <c r="G1504"/>
      <c r="H1504"/>
      <c r="I1504"/>
      <c r="J1504"/>
      <c r="K1504"/>
      <c r="L1504"/>
      <c r="M1504"/>
      <c r="N1504"/>
      <c r="O1504"/>
      <c r="P1504" s="36"/>
      <c r="Q1504" s="37"/>
      <c r="R1504"/>
      <c r="S1504"/>
      <c r="T1504"/>
      <c r="U1504"/>
      <c r="V1504" s="39"/>
      <c r="W1504"/>
      <c r="X1504"/>
      <c r="Y1504"/>
      <c r="Z1504"/>
      <c r="AA1504"/>
    </row>
    <row r="1505" spans="1:27" x14ac:dyDescent="0.25">
      <c r="A1505"/>
      <c r="B1505" s="36"/>
      <c r="C1505" s="36"/>
      <c r="D1505"/>
      <c r="E1505"/>
      <c r="F1505"/>
      <c r="G1505"/>
      <c r="H1505"/>
      <c r="I1505"/>
      <c r="J1505"/>
      <c r="K1505"/>
      <c r="L1505"/>
      <c r="M1505"/>
      <c r="N1505"/>
      <c r="O1505"/>
      <c r="P1505" s="36"/>
      <c r="Q1505" s="37"/>
      <c r="R1505"/>
      <c r="S1505"/>
      <c r="T1505"/>
      <c r="U1505"/>
      <c r="V1505" s="39"/>
      <c r="W1505"/>
      <c r="X1505"/>
      <c r="Y1505"/>
      <c r="Z1505"/>
      <c r="AA1505"/>
    </row>
    <row r="1506" spans="1:27" x14ac:dyDescent="0.25">
      <c r="A1506"/>
      <c r="B1506" s="36"/>
      <c r="C1506" s="36"/>
      <c r="D1506"/>
      <c r="E1506"/>
      <c r="F1506"/>
      <c r="G1506"/>
      <c r="H1506"/>
      <c r="I1506"/>
      <c r="J1506"/>
      <c r="K1506"/>
      <c r="L1506"/>
      <c r="M1506"/>
      <c r="N1506"/>
      <c r="O1506"/>
      <c r="P1506" s="36"/>
      <c r="Q1506" s="37"/>
      <c r="R1506"/>
      <c r="S1506"/>
      <c r="T1506"/>
      <c r="U1506"/>
      <c r="V1506" s="39"/>
      <c r="W1506"/>
      <c r="X1506"/>
      <c r="Y1506"/>
      <c r="Z1506"/>
      <c r="AA1506"/>
    </row>
    <row r="1507" spans="1:27" x14ac:dyDescent="0.25">
      <c r="A1507"/>
      <c r="B1507" s="36"/>
      <c r="C1507" s="36"/>
      <c r="D1507"/>
      <c r="E1507"/>
      <c r="F1507"/>
      <c r="G1507"/>
      <c r="H1507"/>
      <c r="I1507"/>
      <c r="J1507"/>
      <c r="K1507"/>
      <c r="L1507"/>
      <c r="M1507"/>
      <c r="N1507"/>
      <c r="O1507"/>
      <c r="P1507" s="36"/>
      <c r="Q1507" s="37"/>
      <c r="R1507"/>
      <c r="S1507"/>
      <c r="T1507"/>
      <c r="U1507"/>
      <c r="V1507" s="39"/>
      <c r="W1507"/>
      <c r="X1507"/>
      <c r="Y1507"/>
      <c r="Z1507"/>
      <c r="AA1507"/>
    </row>
    <row r="1508" spans="1:27" x14ac:dyDescent="0.25">
      <c r="A1508"/>
      <c r="B1508" s="36"/>
      <c r="C1508" s="36"/>
      <c r="D1508"/>
      <c r="E1508"/>
      <c r="F1508"/>
      <c r="G1508"/>
      <c r="H1508"/>
      <c r="I1508"/>
      <c r="J1508"/>
      <c r="K1508"/>
      <c r="L1508"/>
      <c r="M1508"/>
      <c r="N1508"/>
      <c r="O1508"/>
      <c r="P1508" s="36"/>
      <c r="Q1508" s="37"/>
      <c r="R1508"/>
      <c r="S1508"/>
      <c r="T1508"/>
      <c r="U1508"/>
      <c r="V1508" s="39"/>
      <c r="W1508"/>
      <c r="X1508"/>
      <c r="Y1508"/>
      <c r="Z1508"/>
      <c r="AA1508"/>
    </row>
    <row r="1509" spans="1:27" x14ac:dyDescent="0.25">
      <c r="A1509"/>
      <c r="B1509" s="36"/>
      <c r="C1509" s="36"/>
      <c r="D1509"/>
      <c r="E1509"/>
      <c r="F1509"/>
      <c r="G1509"/>
      <c r="H1509"/>
      <c r="I1509"/>
      <c r="J1509"/>
      <c r="K1509"/>
      <c r="L1509"/>
      <c r="M1509"/>
      <c r="N1509"/>
      <c r="O1509"/>
      <c r="P1509" s="36"/>
      <c r="Q1509" s="37"/>
      <c r="R1509"/>
      <c r="S1509"/>
      <c r="T1509"/>
      <c r="U1509"/>
      <c r="V1509" s="39"/>
      <c r="W1509"/>
      <c r="X1509"/>
      <c r="Y1509"/>
      <c r="Z1509"/>
      <c r="AA1509"/>
    </row>
    <row r="1510" spans="1:27" x14ac:dyDescent="0.25">
      <c r="A1510"/>
      <c r="B1510" s="36"/>
      <c r="C1510" s="36"/>
      <c r="D1510"/>
      <c r="E1510"/>
      <c r="F1510"/>
      <c r="G1510"/>
      <c r="H1510"/>
      <c r="I1510"/>
      <c r="J1510"/>
      <c r="K1510"/>
      <c r="L1510"/>
      <c r="M1510"/>
      <c r="N1510"/>
      <c r="O1510"/>
      <c r="P1510" s="36"/>
      <c r="Q1510" s="37"/>
      <c r="R1510"/>
      <c r="S1510"/>
      <c r="T1510"/>
      <c r="U1510"/>
      <c r="V1510" s="39"/>
      <c r="W1510"/>
      <c r="X1510"/>
      <c r="Y1510"/>
      <c r="Z1510"/>
      <c r="AA1510"/>
    </row>
    <row r="1511" spans="1:27" x14ac:dyDescent="0.25">
      <c r="A1511"/>
      <c r="B1511" s="36"/>
      <c r="C1511" s="36"/>
      <c r="D1511"/>
      <c r="E1511"/>
      <c r="F1511"/>
      <c r="G1511"/>
      <c r="H1511"/>
      <c r="I1511"/>
      <c r="J1511"/>
      <c r="K1511"/>
      <c r="L1511"/>
      <c r="M1511"/>
      <c r="N1511"/>
      <c r="O1511"/>
      <c r="P1511" s="36"/>
      <c r="Q1511" s="37"/>
      <c r="R1511"/>
      <c r="S1511"/>
      <c r="T1511"/>
      <c r="U1511"/>
      <c r="V1511" s="39"/>
      <c r="W1511"/>
      <c r="X1511"/>
      <c r="Y1511"/>
      <c r="Z1511"/>
      <c r="AA1511"/>
    </row>
    <row r="1512" spans="1:27" x14ac:dyDescent="0.25">
      <c r="A1512"/>
      <c r="B1512" s="36"/>
      <c r="C1512" s="36"/>
      <c r="D1512"/>
      <c r="E1512"/>
      <c r="F1512"/>
      <c r="G1512"/>
      <c r="H1512"/>
      <c r="I1512"/>
      <c r="J1512"/>
      <c r="K1512"/>
      <c r="L1512"/>
      <c r="M1512"/>
      <c r="N1512"/>
      <c r="O1512"/>
      <c r="P1512" s="36"/>
      <c r="Q1512" s="37"/>
      <c r="R1512"/>
      <c r="S1512"/>
      <c r="T1512"/>
      <c r="U1512"/>
      <c r="V1512" s="39"/>
      <c r="W1512"/>
      <c r="X1512"/>
      <c r="Y1512"/>
      <c r="Z1512"/>
      <c r="AA1512"/>
    </row>
    <row r="1513" spans="1:27" x14ac:dyDescent="0.25">
      <c r="A1513"/>
      <c r="B1513" s="36"/>
      <c r="C1513" s="36"/>
      <c r="D1513"/>
      <c r="E1513"/>
      <c r="F1513"/>
      <c r="G1513"/>
      <c r="H1513"/>
      <c r="I1513"/>
      <c r="J1513"/>
      <c r="K1513"/>
      <c r="L1513"/>
      <c r="M1513"/>
      <c r="N1513"/>
      <c r="O1513"/>
      <c r="P1513" s="36"/>
      <c r="Q1513" s="37"/>
      <c r="R1513"/>
      <c r="S1513"/>
      <c r="T1513"/>
      <c r="U1513"/>
      <c r="V1513" s="39"/>
      <c r="W1513"/>
      <c r="X1513"/>
      <c r="Y1513"/>
      <c r="Z1513"/>
      <c r="AA1513"/>
    </row>
    <row r="1514" spans="1:27" x14ac:dyDescent="0.25">
      <c r="A1514"/>
      <c r="B1514" s="36"/>
      <c r="C1514" s="36"/>
      <c r="D1514"/>
      <c r="E1514"/>
      <c r="F1514"/>
      <c r="G1514"/>
      <c r="H1514"/>
      <c r="I1514"/>
      <c r="J1514"/>
      <c r="K1514"/>
      <c r="L1514"/>
      <c r="M1514"/>
      <c r="N1514"/>
      <c r="O1514"/>
      <c r="P1514" s="36"/>
      <c r="Q1514" s="37"/>
      <c r="R1514"/>
      <c r="S1514"/>
      <c r="T1514"/>
      <c r="U1514"/>
      <c r="V1514" s="39"/>
      <c r="W1514"/>
      <c r="X1514"/>
      <c r="Y1514"/>
      <c r="Z1514"/>
      <c r="AA1514"/>
    </row>
    <row r="1515" spans="1:27" x14ac:dyDescent="0.25">
      <c r="A1515"/>
      <c r="B1515" s="36"/>
      <c r="C1515" s="36"/>
      <c r="D1515"/>
      <c r="E1515"/>
      <c r="F1515"/>
      <c r="G1515"/>
      <c r="H1515"/>
      <c r="I1515"/>
      <c r="J1515"/>
      <c r="K1515"/>
      <c r="L1515"/>
      <c r="M1515"/>
      <c r="N1515"/>
      <c r="O1515"/>
      <c r="P1515" s="36"/>
      <c r="Q1515" s="37"/>
      <c r="R1515"/>
      <c r="S1515"/>
      <c r="T1515"/>
      <c r="U1515"/>
      <c r="V1515" s="39"/>
      <c r="W1515"/>
      <c r="X1515"/>
      <c r="Y1515"/>
      <c r="Z1515"/>
      <c r="AA1515"/>
    </row>
    <row r="1516" spans="1:27" x14ac:dyDescent="0.25">
      <c r="A1516"/>
      <c r="B1516" s="36"/>
      <c r="C1516" s="36"/>
      <c r="D1516"/>
      <c r="E1516"/>
      <c r="F1516"/>
      <c r="G1516"/>
      <c r="H1516"/>
      <c r="I1516"/>
      <c r="J1516"/>
      <c r="K1516"/>
      <c r="L1516"/>
      <c r="M1516"/>
      <c r="N1516"/>
      <c r="O1516"/>
      <c r="P1516" s="36"/>
      <c r="Q1516" s="37"/>
      <c r="R1516"/>
      <c r="S1516"/>
      <c r="T1516"/>
      <c r="U1516"/>
      <c r="V1516" s="39"/>
      <c r="W1516"/>
      <c r="X1516"/>
      <c r="Y1516"/>
      <c r="Z1516"/>
      <c r="AA1516"/>
    </row>
    <row r="1517" spans="1:27" x14ac:dyDescent="0.25">
      <c r="A1517"/>
      <c r="B1517" s="36"/>
      <c r="C1517" s="36"/>
      <c r="D1517"/>
      <c r="E1517"/>
      <c r="F1517"/>
      <c r="G1517"/>
      <c r="H1517"/>
      <c r="I1517"/>
      <c r="J1517"/>
      <c r="K1517"/>
      <c r="L1517"/>
      <c r="M1517"/>
      <c r="N1517"/>
      <c r="O1517"/>
      <c r="P1517" s="36"/>
      <c r="Q1517" s="37"/>
      <c r="R1517"/>
      <c r="S1517"/>
      <c r="T1517"/>
      <c r="U1517"/>
      <c r="V1517" s="39"/>
      <c r="W1517"/>
      <c r="X1517"/>
      <c r="Y1517"/>
      <c r="Z1517"/>
      <c r="AA1517"/>
    </row>
    <row r="1518" spans="1:27" x14ac:dyDescent="0.25">
      <c r="A1518"/>
      <c r="B1518" s="36"/>
      <c r="C1518" s="36"/>
      <c r="D1518"/>
      <c r="E1518"/>
      <c r="F1518"/>
      <c r="G1518"/>
      <c r="H1518"/>
      <c r="I1518"/>
      <c r="J1518"/>
      <c r="K1518"/>
      <c r="L1518"/>
      <c r="M1518"/>
      <c r="N1518"/>
      <c r="O1518"/>
      <c r="P1518" s="36"/>
      <c r="Q1518" s="37"/>
      <c r="R1518"/>
      <c r="S1518"/>
      <c r="T1518"/>
      <c r="U1518"/>
      <c r="V1518" s="39"/>
      <c r="W1518"/>
      <c r="X1518"/>
      <c r="Y1518"/>
      <c r="Z1518"/>
      <c r="AA1518"/>
    </row>
    <row r="1519" spans="1:27" x14ac:dyDescent="0.25">
      <c r="A1519"/>
      <c r="B1519" s="36"/>
      <c r="C1519" s="36"/>
      <c r="D1519"/>
      <c r="E1519"/>
      <c r="F1519"/>
      <c r="G1519"/>
      <c r="H1519"/>
      <c r="I1519"/>
      <c r="J1519"/>
      <c r="K1519"/>
      <c r="L1519"/>
      <c r="M1519"/>
      <c r="N1519"/>
      <c r="O1519"/>
      <c r="P1519" s="36"/>
      <c r="Q1519" s="37"/>
      <c r="R1519"/>
      <c r="S1519"/>
      <c r="T1519"/>
      <c r="U1519"/>
      <c r="V1519" s="39"/>
      <c r="W1519"/>
      <c r="X1519"/>
      <c r="Y1519"/>
      <c r="Z1519"/>
      <c r="AA1519"/>
    </row>
    <row r="1520" spans="1:27" x14ac:dyDescent="0.25">
      <c r="A1520"/>
      <c r="B1520" s="36"/>
      <c r="C1520" s="36"/>
      <c r="D1520"/>
      <c r="E1520"/>
      <c r="F1520"/>
      <c r="G1520"/>
      <c r="H1520"/>
      <c r="I1520"/>
      <c r="J1520"/>
      <c r="K1520"/>
      <c r="L1520"/>
      <c r="M1520"/>
      <c r="N1520"/>
      <c r="O1520"/>
      <c r="P1520" s="36"/>
      <c r="Q1520" s="37"/>
      <c r="R1520"/>
      <c r="S1520"/>
      <c r="T1520"/>
      <c r="U1520"/>
      <c r="V1520" s="39"/>
      <c r="W1520"/>
      <c r="X1520"/>
      <c r="Y1520"/>
      <c r="Z1520"/>
      <c r="AA1520"/>
    </row>
    <row r="1521" spans="1:27" x14ac:dyDescent="0.25">
      <c r="A1521"/>
      <c r="B1521" s="36"/>
      <c r="C1521" s="36"/>
      <c r="D1521"/>
      <c r="E1521"/>
      <c r="F1521"/>
      <c r="G1521"/>
      <c r="H1521"/>
      <c r="I1521"/>
      <c r="J1521"/>
      <c r="K1521"/>
      <c r="L1521"/>
      <c r="M1521"/>
      <c r="N1521"/>
      <c r="O1521"/>
      <c r="P1521" s="36"/>
      <c r="Q1521" s="37"/>
      <c r="R1521"/>
      <c r="S1521"/>
      <c r="T1521"/>
      <c r="U1521"/>
      <c r="V1521" s="39"/>
      <c r="W1521"/>
      <c r="X1521"/>
      <c r="Y1521"/>
      <c r="Z1521"/>
      <c r="AA1521"/>
    </row>
    <row r="1522" spans="1:27" x14ac:dyDescent="0.25">
      <c r="A1522"/>
      <c r="B1522" s="36"/>
      <c r="C1522" s="36"/>
      <c r="D1522"/>
      <c r="E1522"/>
      <c r="F1522"/>
      <c r="G1522"/>
      <c r="H1522"/>
      <c r="I1522"/>
      <c r="J1522"/>
      <c r="K1522"/>
      <c r="L1522"/>
      <c r="M1522"/>
      <c r="N1522"/>
      <c r="O1522"/>
      <c r="P1522" s="36"/>
      <c r="Q1522" s="37"/>
      <c r="R1522"/>
      <c r="S1522"/>
      <c r="T1522"/>
      <c r="U1522"/>
      <c r="V1522" s="39"/>
      <c r="W1522"/>
      <c r="X1522"/>
      <c r="Y1522"/>
      <c r="Z1522"/>
      <c r="AA1522"/>
    </row>
    <row r="1523" spans="1:27" x14ac:dyDescent="0.25">
      <c r="A1523"/>
      <c r="B1523" s="36"/>
      <c r="C1523" s="36"/>
      <c r="D1523"/>
      <c r="E1523"/>
      <c r="F1523"/>
      <c r="G1523"/>
      <c r="H1523"/>
      <c r="I1523"/>
      <c r="J1523"/>
      <c r="K1523"/>
      <c r="L1523"/>
      <c r="M1523"/>
      <c r="N1523"/>
      <c r="O1523"/>
      <c r="P1523" s="36"/>
      <c r="Q1523" s="37"/>
      <c r="R1523"/>
      <c r="S1523"/>
      <c r="T1523"/>
      <c r="U1523"/>
      <c r="V1523" s="39"/>
      <c r="W1523"/>
      <c r="X1523"/>
      <c r="Y1523"/>
      <c r="Z1523"/>
      <c r="AA1523"/>
    </row>
    <row r="1524" spans="1:27" x14ac:dyDescent="0.25">
      <c r="A1524"/>
      <c r="B1524" s="36"/>
      <c r="C1524" s="36"/>
      <c r="D1524"/>
      <c r="E1524"/>
      <c r="F1524"/>
      <c r="G1524"/>
      <c r="H1524"/>
      <c r="I1524"/>
      <c r="J1524"/>
      <c r="K1524"/>
      <c r="L1524"/>
      <c r="M1524"/>
      <c r="N1524"/>
      <c r="O1524"/>
      <c r="P1524" s="36"/>
      <c r="Q1524" s="37"/>
      <c r="R1524"/>
      <c r="S1524"/>
      <c r="T1524"/>
      <c r="U1524"/>
      <c r="V1524" s="39"/>
      <c r="W1524"/>
      <c r="X1524"/>
      <c r="Y1524"/>
      <c r="Z1524"/>
      <c r="AA1524"/>
    </row>
    <row r="1525" spans="1:27" x14ac:dyDescent="0.25">
      <c r="A1525"/>
      <c r="B1525" s="36"/>
      <c r="C1525" s="36"/>
      <c r="D1525"/>
      <c r="E1525"/>
      <c r="F1525"/>
      <c r="G1525"/>
      <c r="H1525"/>
      <c r="I1525"/>
      <c r="J1525"/>
      <c r="K1525"/>
      <c r="L1525"/>
      <c r="M1525"/>
      <c r="N1525"/>
      <c r="O1525"/>
      <c r="P1525" s="36"/>
      <c r="Q1525" s="37"/>
      <c r="R1525"/>
      <c r="S1525"/>
      <c r="T1525"/>
      <c r="U1525"/>
      <c r="V1525" s="39"/>
      <c r="W1525"/>
      <c r="X1525"/>
      <c r="Y1525"/>
      <c r="Z1525"/>
      <c r="AA1525"/>
    </row>
    <row r="1526" spans="1:27" x14ac:dyDescent="0.25">
      <c r="A1526"/>
      <c r="B1526" s="36"/>
      <c r="C1526" s="36"/>
      <c r="D1526"/>
      <c r="E1526"/>
      <c r="F1526"/>
      <c r="G1526"/>
      <c r="H1526"/>
      <c r="I1526"/>
      <c r="J1526"/>
      <c r="K1526"/>
      <c r="L1526"/>
      <c r="M1526"/>
      <c r="N1526"/>
      <c r="O1526"/>
      <c r="P1526" s="36"/>
      <c r="Q1526" s="37"/>
      <c r="R1526"/>
      <c r="S1526"/>
      <c r="T1526"/>
      <c r="U1526"/>
      <c r="V1526" s="39"/>
      <c r="W1526"/>
      <c r="X1526"/>
      <c r="Y1526"/>
      <c r="Z1526"/>
      <c r="AA1526"/>
    </row>
    <row r="1527" spans="1:27" x14ac:dyDescent="0.25">
      <c r="A1527"/>
      <c r="B1527" s="36"/>
      <c r="C1527" s="36"/>
      <c r="D1527"/>
      <c r="E1527"/>
      <c r="F1527"/>
      <c r="G1527"/>
      <c r="H1527"/>
      <c r="I1527"/>
      <c r="J1527"/>
      <c r="K1527"/>
      <c r="L1527"/>
      <c r="M1527"/>
      <c r="N1527"/>
      <c r="O1527"/>
      <c r="P1527" s="36"/>
      <c r="Q1527" s="37"/>
      <c r="R1527"/>
      <c r="S1527"/>
      <c r="T1527"/>
      <c r="U1527"/>
      <c r="V1527" s="39"/>
      <c r="W1527"/>
      <c r="X1527"/>
      <c r="Y1527"/>
      <c r="Z1527"/>
      <c r="AA1527"/>
    </row>
    <row r="1528" spans="1:27" x14ac:dyDescent="0.25">
      <c r="A1528"/>
      <c r="B1528" s="36"/>
      <c r="C1528" s="36"/>
      <c r="D1528"/>
      <c r="E1528"/>
      <c r="F1528"/>
      <c r="G1528"/>
      <c r="H1528"/>
      <c r="I1528"/>
      <c r="J1528"/>
      <c r="K1528"/>
      <c r="L1528"/>
      <c r="M1528"/>
      <c r="N1528"/>
      <c r="O1528"/>
      <c r="P1528" s="36"/>
      <c r="Q1528" s="37"/>
      <c r="R1528"/>
      <c r="S1528"/>
      <c r="T1528"/>
      <c r="U1528"/>
      <c r="V1528" s="39"/>
      <c r="W1528"/>
      <c r="X1528"/>
      <c r="Y1528"/>
      <c r="Z1528"/>
      <c r="AA1528"/>
    </row>
    <row r="1529" spans="1:27" x14ac:dyDescent="0.25">
      <c r="A1529"/>
      <c r="B1529" s="36"/>
      <c r="C1529" s="36"/>
      <c r="D1529"/>
      <c r="E1529"/>
      <c r="F1529"/>
      <c r="G1529"/>
      <c r="H1529"/>
      <c r="I1529"/>
      <c r="J1529"/>
      <c r="K1529"/>
      <c r="L1529"/>
      <c r="M1529"/>
      <c r="N1529"/>
      <c r="O1529"/>
      <c r="P1529" s="36"/>
      <c r="Q1529" s="37"/>
      <c r="R1529"/>
      <c r="S1529"/>
      <c r="T1529"/>
      <c r="U1529"/>
      <c r="V1529" s="39"/>
      <c r="W1529"/>
      <c r="X1529"/>
      <c r="Y1529"/>
      <c r="Z1529"/>
      <c r="AA1529"/>
    </row>
    <row r="1530" spans="1:27" x14ac:dyDescent="0.25">
      <c r="A1530"/>
      <c r="B1530" s="36"/>
      <c r="C1530" s="36"/>
      <c r="D1530"/>
      <c r="E1530"/>
      <c r="F1530"/>
      <c r="G1530"/>
      <c r="H1530"/>
      <c r="I1530"/>
      <c r="J1530"/>
      <c r="K1530"/>
      <c r="L1530"/>
      <c r="M1530"/>
      <c r="N1530"/>
      <c r="O1530"/>
      <c r="P1530" s="36"/>
      <c r="Q1530" s="37"/>
      <c r="R1530"/>
      <c r="S1530"/>
      <c r="T1530"/>
      <c r="U1530"/>
      <c r="V1530" s="39"/>
      <c r="W1530"/>
      <c r="X1530"/>
      <c r="Y1530"/>
      <c r="Z1530"/>
      <c r="AA1530"/>
    </row>
    <row r="1531" spans="1:27" x14ac:dyDescent="0.25">
      <c r="A1531"/>
      <c r="B1531" s="36"/>
      <c r="C1531" s="36"/>
      <c r="D1531"/>
      <c r="E1531"/>
      <c r="F1531"/>
      <c r="G1531"/>
      <c r="H1531"/>
      <c r="I1531"/>
      <c r="J1531"/>
      <c r="K1531"/>
      <c r="L1531"/>
      <c r="M1531"/>
      <c r="N1531"/>
      <c r="O1531"/>
      <c r="P1531" s="36"/>
      <c r="Q1531" s="37"/>
      <c r="R1531"/>
      <c r="S1531"/>
      <c r="T1531"/>
      <c r="U1531"/>
      <c r="V1531" s="39"/>
      <c r="W1531"/>
      <c r="X1531"/>
      <c r="Y1531"/>
      <c r="Z1531"/>
      <c r="AA1531"/>
    </row>
    <row r="1532" spans="1:27" x14ac:dyDescent="0.25">
      <c r="A1532"/>
      <c r="B1532" s="36"/>
      <c r="C1532" s="36"/>
      <c r="D1532"/>
      <c r="E1532"/>
      <c r="F1532"/>
      <c r="G1532"/>
      <c r="H1532"/>
      <c r="I1532"/>
      <c r="J1532"/>
      <c r="K1532"/>
      <c r="L1532"/>
      <c r="M1532"/>
      <c r="N1532"/>
      <c r="O1532"/>
      <c r="P1532" s="36"/>
      <c r="Q1532" s="37"/>
      <c r="R1532"/>
      <c r="S1532"/>
      <c r="T1532"/>
      <c r="U1532"/>
      <c r="V1532" s="39"/>
      <c r="W1532"/>
      <c r="X1532"/>
      <c r="Y1532"/>
      <c r="Z1532"/>
      <c r="AA1532"/>
    </row>
    <row r="1533" spans="1:27" x14ac:dyDescent="0.25">
      <c r="A1533"/>
      <c r="B1533" s="36"/>
      <c r="C1533" s="36"/>
      <c r="D1533"/>
      <c r="E1533"/>
      <c r="F1533"/>
      <c r="G1533"/>
      <c r="H1533"/>
      <c r="I1533"/>
      <c r="J1533"/>
      <c r="K1533"/>
      <c r="L1533"/>
      <c r="M1533"/>
      <c r="N1533"/>
      <c r="O1533"/>
      <c r="P1533" s="36"/>
      <c r="Q1533" s="37"/>
      <c r="R1533"/>
      <c r="S1533"/>
      <c r="T1533"/>
      <c r="U1533"/>
      <c r="V1533" s="39"/>
      <c r="W1533"/>
      <c r="X1533"/>
      <c r="Y1533"/>
      <c r="Z1533"/>
      <c r="AA1533"/>
    </row>
    <row r="1534" spans="1:27" x14ac:dyDescent="0.25">
      <c r="A1534"/>
      <c r="B1534" s="36"/>
      <c r="C1534" s="36"/>
      <c r="D1534"/>
      <c r="E1534"/>
      <c r="F1534"/>
      <c r="G1534"/>
      <c r="H1534"/>
      <c r="I1534"/>
      <c r="J1534"/>
      <c r="K1534"/>
      <c r="L1534"/>
      <c r="M1534"/>
      <c r="N1534"/>
      <c r="O1534"/>
      <c r="P1534" s="36"/>
      <c r="Q1534" s="37"/>
      <c r="R1534"/>
      <c r="S1534"/>
      <c r="T1534"/>
      <c r="U1534"/>
      <c r="V1534" s="39"/>
      <c r="W1534"/>
      <c r="X1534"/>
      <c r="Y1534"/>
      <c r="Z1534"/>
      <c r="AA1534"/>
    </row>
    <row r="1535" spans="1:27" x14ac:dyDescent="0.25">
      <c r="A1535"/>
      <c r="B1535" s="36"/>
      <c r="C1535" s="36"/>
      <c r="D1535"/>
      <c r="E1535"/>
      <c r="F1535"/>
      <c r="G1535"/>
      <c r="H1535"/>
      <c r="I1535"/>
      <c r="J1535"/>
      <c r="K1535"/>
      <c r="L1535"/>
      <c r="M1535"/>
      <c r="N1535"/>
      <c r="O1535"/>
      <c r="P1535" s="36"/>
      <c r="Q1535" s="37"/>
      <c r="R1535"/>
      <c r="S1535"/>
      <c r="T1535"/>
      <c r="U1535"/>
      <c r="V1535" s="39"/>
      <c r="W1535"/>
      <c r="X1535"/>
      <c r="Y1535"/>
      <c r="Z1535"/>
      <c r="AA1535"/>
    </row>
    <row r="1536" spans="1:27" x14ac:dyDescent="0.25">
      <c r="A1536"/>
      <c r="B1536" s="36"/>
      <c r="C1536" s="36"/>
      <c r="D1536"/>
      <c r="E1536"/>
      <c r="F1536"/>
      <c r="G1536"/>
      <c r="H1536"/>
      <c r="I1536"/>
      <c r="J1536"/>
      <c r="K1536"/>
      <c r="L1536"/>
      <c r="M1536"/>
      <c r="N1536"/>
      <c r="O1536"/>
      <c r="P1536" s="36"/>
      <c r="Q1536" s="37"/>
      <c r="R1536"/>
      <c r="S1536"/>
      <c r="T1536"/>
      <c r="U1536"/>
      <c r="V1536" s="39"/>
      <c r="W1536"/>
      <c r="X1536"/>
      <c r="Y1536"/>
      <c r="Z1536"/>
      <c r="AA1536"/>
    </row>
    <row r="1537" spans="1:27" x14ac:dyDescent="0.25">
      <c r="A1537"/>
      <c r="B1537" s="36"/>
      <c r="C1537" s="36"/>
      <c r="D1537"/>
      <c r="E1537"/>
      <c r="F1537"/>
      <c r="G1537"/>
      <c r="H1537"/>
      <c r="I1537"/>
      <c r="J1537"/>
      <c r="K1537"/>
      <c r="L1537"/>
      <c r="M1537"/>
      <c r="N1537"/>
      <c r="O1537"/>
      <c r="P1537" s="36"/>
      <c r="Q1537" s="37"/>
      <c r="R1537"/>
      <c r="S1537"/>
      <c r="T1537"/>
      <c r="U1537"/>
      <c r="V1537" s="39"/>
      <c r="W1537"/>
      <c r="X1537"/>
      <c r="Y1537"/>
      <c r="Z1537"/>
      <c r="AA1537"/>
    </row>
    <row r="1538" spans="1:27" x14ac:dyDescent="0.25">
      <c r="A1538"/>
      <c r="B1538" s="36"/>
      <c r="C1538" s="36"/>
      <c r="D1538"/>
      <c r="E1538"/>
      <c r="F1538"/>
      <c r="G1538"/>
      <c r="H1538"/>
      <c r="I1538"/>
      <c r="J1538"/>
      <c r="K1538"/>
      <c r="L1538"/>
      <c r="M1538"/>
      <c r="N1538"/>
      <c r="O1538"/>
      <c r="P1538" s="36"/>
      <c r="Q1538" s="37"/>
      <c r="R1538"/>
      <c r="S1538"/>
      <c r="T1538"/>
      <c r="U1538"/>
      <c r="V1538" s="39"/>
      <c r="W1538"/>
      <c r="X1538"/>
      <c r="Y1538"/>
      <c r="Z1538"/>
      <c r="AA1538"/>
    </row>
    <row r="1539" spans="1:27" x14ac:dyDescent="0.25">
      <c r="A1539"/>
      <c r="B1539" s="36"/>
      <c r="C1539" s="36"/>
      <c r="D1539"/>
      <c r="E1539"/>
      <c r="F1539"/>
      <c r="G1539"/>
      <c r="H1539"/>
      <c r="I1539"/>
      <c r="J1539"/>
      <c r="K1539"/>
      <c r="L1539"/>
      <c r="M1539"/>
      <c r="N1539"/>
      <c r="O1539"/>
      <c r="P1539" s="36"/>
      <c r="Q1539" s="37"/>
      <c r="R1539"/>
      <c r="S1539"/>
      <c r="T1539"/>
      <c r="U1539"/>
      <c r="V1539" s="39"/>
      <c r="W1539"/>
      <c r="X1539"/>
      <c r="Y1539"/>
      <c r="Z1539"/>
      <c r="AA1539"/>
    </row>
    <row r="1540" spans="1:27" x14ac:dyDescent="0.25">
      <c r="A1540"/>
      <c r="B1540" s="36"/>
      <c r="C1540" s="36"/>
      <c r="D1540"/>
      <c r="E1540"/>
      <c r="F1540"/>
      <c r="G1540"/>
      <c r="H1540"/>
      <c r="I1540"/>
      <c r="J1540"/>
      <c r="K1540"/>
      <c r="L1540"/>
      <c r="M1540"/>
      <c r="N1540"/>
      <c r="O1540"/>
      <c r="P1540" s="36"/>
      <c r="Q1540" s="37"/>
      <c r="R1540"/>
      <c r="S1540"/>
      <c r="T1540"/>
      <c r="U1540"/>
      <c r="V1540" s="39"/>
      <c r="W1540"/>
      <c r="X1540"/>
      <c r="Y1540"/>
      <c r="Z1540"/>
      <c r="AA1540"/>
    </row>
    <row r="1541" spans="1:27" x14ac:dyDescent="0.25">
      <c r="A1541"/>
      <c r="B1541" s="36"/>
      <c r="C1541" s="36"/>
      <c r="D1541"/>
      <c r="E1541"/>
      <c r="F1541"/>
      <c r="G1541"/>
      <c r="H1541"/>
      <c r="I1541"/>
      <c r="J1541"/>
      <c r="K1541"/>
      <c r="L1541"/>
      <c r="M1541"/>
      <c r="N1541"/>
      <c r="O1541"/>
      <c r="P1541" s="36"/>
      <c r="Q1541" s="37"/>
      <c r="R1541"/>
      <c r="S1541"/>
      <c r="T1541"/>
      <c r="U1541"/>
      <c r="V1541" s="39"/>
      <c r="W1541"/>
      <c r="X1541"/>
      <c r="Y1541"/>
      <c r="Z1541"/>
      <c r="AA1541"/>
    </row>
    <row r="1542" spans="1:27" x14ac:dyDescent="0.25">
      <c r="A1542"/>
      <c r="B1542" s="36"/>
      <c r="C1542" s="36"/>
      <c r="D1542"/>
      <c r="E1542"/>
      <c r="F1542"/>
      <c r="G1542"/>
      <c r="H1542"/>
      <c r="I1542"/>
      <c r="J1542"/>
      <c r="K1542"/>
      <c r="L1542"/>
      <c r="M1542"/>
      <c r="N1542"/>
      <c r="O1542"/>
      <c r="P1542" s="36"/>
      <c r="Q1542" s="37"/>
      <c r="R1542"/>
      <c r="S1542"/>
      <c r="T1542"/>
      <c r="U1542"/>
      <c r="V1542" s="39"/>
      <c r="W1542"/>
      <c r="X1542"/>
      <c r="Y1542"/>
      <c r="Z1542"/>
      <c r="AA1542"/>
    </row>
    <row r="1543" spans="1:27" x14ac:dyDescent="0.25">
      <c r="A1543"/>
      <c r="B1543" s="36"/>
      <c r="C1543" s="36"/>
      <c r="D1543"/>
      <c r="E1543"/>
      <c r="F1543"/>
      <c r="G1543"/>
      <c r="H1543"/>
      <c r="I1543"/>
      <c r="J1543"/>
      <c r="K1543"/>
      <c r="L1543"/>
      <c r="M1543"/>
      <c r="N1543"/>
      <c r="O1543"/>
      <c r="P1543" s="36"/>
      <c r="Q1543" s="37"/>
      <c r="R1543"/>
      <c r="S1543"/>
      <c r="T1543"/>
      <c r="U1543"/>
      <c r="V1543" s="39"/>
      <c r="W1543"/>
      <c r="X1543"/>
      <c r="Y1543"/>
      <c r="Z1543"/>
      <c r="AA1543"/>
    </row>
    <row r="1544" spans="1:27" x14ac:dyDescent="0.25">
      <c r="A1544"/>
      <c r="B1544" s="36"/>
      <c r="C1544" s="36"/>
      <c r="D1544"/>
      <c r="E1544"/>
      <c r="F1544"/>
      <c r="G1544"/>
      <c r="H1544"/>
      <c r="I1544"/>
      <c r="J1544"/>
      <c r="K1544"/>
      <c r="L1544"/>
      <c r="M1544"/>
      <c r="N1544"/>
      <c r="O1544"/>
      <c r="P1544" s="36"/>
      <c r="Q1544" s="37"/>
      <c r="R1544"/>
      <c r="S1544"/>
      <c r="T1544"/>
      <c r="U1544"/>
      <c r="V1544" s="39"/>
      <c r="W1544"/>
      <c r="X1544"/>
      <c r="Y1544"/>
      <c r="Z1544"/>
      <c r="AA1544"/>
    </row>
    <row r="1545" spans="1:27" x14ac:dyDescent="0.25">
      <c r="A1545"/>
      <c r="B1545" s="36"/>
      <c r="C1545" s="36"/>
      <c r="D1545"/>
      <c r="E1545"/>
      <c r="F1545"/>
      <c r="G1545"/>
      <c r="H1545"/>
      <c r="I1545"/>
      <c r="J1545"/>
      <c r="K1545"/>
      <c r="L1545"/>
      <c r="M1545"/>
      <c r="N1545"/>
      <c r="O1545"/>
      <c r="P1545" s="36"/>
      <c r="Q1545" s="37"/>
      <c r="R1545"/>
      <c r="S1545"/>
      <c r="T1545"/>
      <c r="U1545"/>
      <c r="V1545" s="39"/>
      <c r="W1545"/>
      <c r="X1545"/>
      <c r="Y1545"/>
      <c r="Z1545"/>
      <c r="AA1545"/>
    </row>
    <row r="1546" spans="1:27" x14ac:dyDescent="0.25">
      <c r="A1546"/>
      <c r="B1546" s="36"/>
      <c r="C1546" s="36"/>
      <c r="D1546"/>
      <c r="E1546"/>
      <c r="F1546"/>
      <c r="G1546"/>
      <c r="H1546"/>
      <c r="I1546"/>
      <c r="J1546"/>
      <c r="K1546"/>
      <c r="L1546"/>
      <c r="M1546"/>
      <c r="N1546"/>
      <c r="O1546"/>
      <c r="P1546" s="36"/>
      <c r="Q1546" s="37"/>
      <c r="R1546"/>
      <c r="S1546"/>
      <c r="T1546"/>
      <c r="U1546"/>
      <c r="V1546" s="39"/>
      <c r="W1546"/>
      <c r="X1546"/>
      <c r="Y1546"/>
      <c r="Z1546"/>
      <c r="AA1546"/>
    </row>
    <row r="1547" spans="1:27" x14ac:dyDescent="0.25">
      <c r="A1547"/>
      <c r="B1547" s="36"/>
      <c r="C1547" s="36"/>
      <c r="D1547"/>
      <c r="E1547"/>
      <c r="F1547"/>
      <c r="G1547"/>
      <c r="H1547"/>
      <c r="I1547"/>
      <c r="J1547"/>
      <c r="K1547"/>
      <c r="L1547"/>
      <c r="M1547"/>
      <c r="N1547"/>
      <c r="O1547"/>
      <c r="P1547" s="36"/>
      <c r="Q1547" s="37"/>
      <c r="R1547"/>
      <c r="S1547"/>
      <c r="T1547"/>
      <c r="U1547"/>
      <c r="V1547" s="39"/>
      <c r="W1547"/>
      <c r="X1547"/>
      <c r="Y1547"/>
      <c r="Z1547"/>
      <c r="AA1547"/>
    </row>
    <row r="1548" spans="1:27" x14ac:dyDescent="0.25">
      <c r="A1548"/>
      <c r="B1548" s="36"/>
      <c r="C1548" s="36"/>
      <c r="D1548"/>
      <c r="E1548"/>
      <c r="F1548"/>
      <c r="G1548"/>
      <c r="H1548"/>
      <c r="I1548"/>
      <c r="J1548"/>
      <c r="K1548"/>
      <c r="L1548"/>
      <c r="M1548"/>
      <c r="N1548"/>
      <c r="O1548"/>
      <c r="P1548" s="36"/>
      <c r="Q1548" s="37"/>
      <c r="R1548"/>
      <c r="S1548"/>
      <c r="T1548"/>
      <c r="U1548"/>
      <c r="V1548" s="39"/>
      <c r="W1548"/>
      <c r="X1548"/>
      <c r="Y1548"/>
      <c r="Z1548"/>
      <c r="AA1548"/>
    </row>
    <row r="1549" spans="1:27" x14ac:dyDescent="0.25">
      <c r="A1549"/>
      <c r="B1549" s="36"/>
      <c r="C1549" s="36"/>
      <c r="D1549"/>
      <c r="E1549"/>
      <c r="F1549"/>
      <c r="G1549"/>
      <c r="H1549"/>
      <c r="I1549"/>
      <c r="J1549"/>
      <c r="K1549"/>
      <c r="L1549"/>
      <c r="M1549"/>
      <c r="N1549"/>
      <c r="O1549"/>
      <c r="P1549" s="36"/>
      <c r="Q1549" s="37"/>
      <c r="R1549"/>
      <c r="S1549"/>
      <c r="T1549"/>
      <c r="U1549"/>
      <c r="V1549" s="39"/>
      <c r="W1549"/>
      <c r="X1549"/>
      <c r="Y1549"/>
      <c r="Z1549"/>
      <c r="AA1549"/>
    </row>
    <row r="1550" spans="1:27" x14ac:dyDescent="0.25">
      <c r="A1550"/>
      <c r="B1550" s="36"/>
      <c r="C1550" s="36"/>
      <c r="D1550"/>
      <c r="E1550"/>
      <c r="F1550"/>
      <c r="G1550"/>
      <c r="H1550"/>
      <c r="I1550"/>
      <c r="J1550"/>
      <c r="K1550"/>
      <c r="L1550"/>
      <c r="M1550"/>
      <c r="N1550"/>
      <c r="O1550"/>
      <c r="P1550" s="36"/>
      <c r="Q1550" s="37"/>
      <c r="R1550"/>
      <c r="S1550"/>
      <c r="T1550"/>
      <c r="U1550"/>
      <c r="V1550" s="39"/>
      <c r="W1550"/>
      <c r="X1550"/>
      <c r="Y1550"/>
      <c r="Z1550"/>
      <c r="AA1550"/>
    </row>
    <row r="1551" spans="1:27" x14ac:dyDescent="0.25">
      <c r="A1551"/>
      <c r="B1551" s="36"/>
      <c r="C1551" s="36"/>
      <c r="D1551"/>
      <c r="E1551"/>
      <c r="F1551"/>
      <c r="G1551"/>
      <c r="H1551"/>
      <c r="I1551"/>
      <c r="J1551"/>
      <c r="K1551"/>
      <c r="L1551"/>
      <c r="M1551"/>
      <c r="N1551"/>
      <c r="O1551"/>
      <c r="P1551" s="36"/>
      <c r="Q1551" s="37"/>
      <c r="R1551"/>
      <c r="S1551"/>
      <c r="T1551"/>
      <c r="U1551"/>
      <c r="V1551" s="39"/>
      <c r="W1551"/>
      <c r="X1551"/>
      <c r="Y1551"/>
      <c r="Z1551"/>
      <c r="AA1551"/>
    </row>
    <row r="1552" spans="1:27" x14ac:dyDescent="0.25">
      <c r="A1552"/>
      <c r="B1552" s="36"/>
      <c r="C1552" s="36"/>
      <c r="D1552"/>
      <c r="E1552"/>
      <c r="F1552"/>
      <c r="G1552"/>
      <c r="H1552"/>
      <c r="I1552"/>
      <c r="J1552"/>
      <c r="K1552"/>
      <c r="L1552"/>
      <c r="M1552"/>
      <c r="N1552"/>
      <c r="O1552"/>
      <c r="P1552" s="36"/>
      <c r="Q1552" s="37"/>
      <c r="R1552"/>
      <c r="S1552"/>
      <c r="T1552"/>
      <c r="U1552"/>
      <c r="V1552" s="39"/>
      <c r="W1552"/>
      <c r="X1552"/>
      <c r="Y1552"/>
      <c r="Z1552"/>
      <c r="AA1552"/>
    </row>
    <row r="1553" spans="1:27" x14ac:dyDescent="0.25">
      <c r="A1553"/>
      <c r="B1553" s="36"/>
      <c r="C1553" s="36"/>
      <c r="D1553"/>
      <c r="E1553"/>
      <c r="F1553"/>
      <c r="G1553"/>
      <c r="H1553"/>
      <c r="I1553"/>
      <c r="J1553"/>
      <c r="K1553"/>
      <c r="L1553"/>
      <c r="M1553"/>
      <c r="N1553"/>
      <c r="O1553"/>
      <c r="P1553" s="36"/>
      <c r="Q1553" s="37"/>
      <c r="R1553"/>
      <c r="S1553"/>
      <c r="T1553"/>
      <c r="U1553"/>
      <c r="V1553" s="39"/>
      <c r="W1553"/>
      <c r="X1553"/>
      <c r="Y1553"/>
      <c r="Z1553"/>
      <c r="AA1553"/>
    </row>
    <row r="1554" spans="1:27" x14ac:dyDescent="0.25">
      <c r="A1554"/>
      <c r="B1554" s="36"/>
      <c r="C1554" s="36"/>
      <c r="D1554"/>
      <c r="E1554"/>
      <c r="F1554"/>
      <c r="G1554"/>
      <c r="H1554"/>
      <c r="I1554"/>
      <c r="J1554"/>
      <c r="K1554"/>
      <c r="L1554"/>
      <c r="M1554"/>
      <c r="N1554"/>
      <c r="O1554"/>
      <c r="P1554" s="36"/>
      <c r="Q1554" s="37"/>
      <c r="R1554"/>
      <c r="S1554"/>
      <c r="T1554"/>
      <c r="U1554"/>
      <c r="V1554" s="39"/>
      <c r="W1554"/>
      <c r="X1554"/>
      <c r="Y1554"/>
      <c r="Z1554"/>
      <c r="AA1554"/>
    </row>
    <row r="1555" spans="1:27" x14ac:dyDescent="0.25">
      <c r="A1555"/>
      <c r="B1555" s="36"/>
      <c r="C1555" s="36"/>
      <c r="D1555"/>
      <c r="E1555"/>
      <c r="F1555"/>
      <c r="G1555"/>
      <c r="H1555"/>
      <c r="I1555"/>
      <c r="J1555"/>
      <c r="K1555"/>
      <c r="L1555"/>
      <c r="M1555"/>
      <c r="N1555"/>
      <c r="O1555"/>
      <c r="P1555" s="36"/>
      <c r="Q1555" s="37"/>
      <c r="R1555"/>
      <c r="S1555"/>
      <c r="T1555"/>
      <c r="U1555"/>
      <c r="V1555" s="39"/>
      <c r="W1555"/>
      <c r="X1555"/>
      <c r="Y1555"/>
      <c r="Z1555"/>
      <c r="AA1555"/>
    </row>
    <row r="1556" spans="1:27" x14ac:dyDescent="0.25">
      <c r="A1556"/>
      <c r="B1556" s="36"/>
      <c r="C1556" s="36"/>
      <c r="D1556"/>
      <c r="E1556"/>
      <c r="F1556"/>
      <c r="G1556"/>
      <c r="H1556"/>
      <c r="I1556"/>
      <c r="J1556"/>
      <c r="K1556"/>
      <c r="L1556"/>
      <c r="M1556"/>
      <c r="N1556"/>
      <c r="O1556"/>
      <c r="P1556" s="36"/>
      <c r="Q1556" s="37"/>
      <c r="R1556" s="44"/>
      <c r="S1556"/>
      <c r="T1556"/>
      <c r="U1556"/>
      <c r="V1556" s="39"/>
      <c r="W1556"/>
      <c r="X1556"/>
      <c r="Y1556"/>
      <c r="Z1556"/>
      <c r="AA1556" s="44"/>
    </row>
    <row r="1557" spans="1:27" x14ac:dyDescent="0.25">
      <c r="A1557"/>
      <c r="B1557" s="36"/>
      <c r="C1557" s="36"/>
      <c r="D1557"/>
      <c r="E1557"/>
      <c r="F1557"/>
      <c r="G1557"/>
      <c r="H1557"/>
      <c r="I1557"/>
      <c r="J1557"/>
      <c r="K1557"/>
      <c r="L1557"/>
      <c r="M1557"/>
      <c r="N1557"/>
      <c r="O1557"/>
      <c r="P1557" s="36"/>
      <c r="Q1557" s="37"/>
      <c r="R1557"/>
      <c r="S1557"/>
      <c r="T1557"/>
      <c r="U1557"/>
      <c r="V1557" s="39"/>
      <c r="W1557"/>
      <c r="X1557"/>
      <c r="Y1557"/>
      <c r="Z1557"/>
      <c r="AA1557"/>
    </row>
    <row r="1558" spans="1:27" x14ac:dyDescent="0.25">
      <c r="A1558"/>
      <c r="B1558" s="36"/>
      <c r="C1558" s="36"/>
      <c r="D1558"/>
      <c r="E1558"/>
      <c r="F1558"/>
      <c r="G1558"/>
      <c r="H1558"/>
      <c r="I1558"/>
      <c r="J1558"/>
      <c r="K1558"/>
      <c r="L1558"/>
      <c r="M1558"/>
      <c r="N1558"/>
      <c r="O1558"/>
      <c r="P1558" s="36"/>
      <c r="Q1558" s="37"/>
      <c r="R1558"/>
      <c r="S1558"/>
      <c r="T1558"/>
      <c r="U1558"/>
      <c r="V1558" s="39"/>
      <c r="W1558"/>
      <c r="X1558"/>
      <c r="Y1558"/>
      <c r="Z1558"/>
      <c r="AA1558"/>
    </row>
    <row r="1559" spans="1:27" x14ac:dyDescent="0.25">
      <c r="A1559"/>
      <c r="B1559" s="36"/>
      <c r="C1559" s="36"/>
      <c r="D1559"/>
      <c r="E1559"/>
      <c r="F1559"/>
      <c r="G1559"/>
      <c r="H1559"/>
      <c r="I1559"/>
      <c r="J1559"/>
      <c r="K1559"/>
      <c r="L1559"/>
      <c r="M1559"/>
      <c r="N1559"/>
      <c r="O1559"/>
      <c r="P1559" s="36"/>
      <c r="Q1559" s="37"/>
      <c r="R1559"/>
      <c r="S1559"/>
      <c r="T1559"/>
      <c r="U1559"/>
      <c r="V1559" s="39"/>
      <c r="W1559"/>
      <c r="X1559"/>
      <c r="Y1559"/>
      <c r="Z1559"/>
      <c r="AA1559"/>
    </row>
    <row r="1560" spans="1:27" x14ac:dyDescent="0.25">
      <c r="A1560"/>
      <c r="B1560" s="36"/>
      <c r="C1560" s="36"/>
      <c r="D1560"/>
      <c r="E1560"/>
      <c r="F1560"/>
      <c r="G1560"/>
      <c r="H1560"/>
      <c r="I1560"/>
      <c r="J1560"/>
      <c r="K1560"/>
      <c r="L1560"/>
      <c r="M1560"/>
      <c r="N1560"/>
      <c r="O1560"/>
      <c r="P1560" s="36"/>
      <c r="Q1560" s="37"/>
      <c r="R1560"/>
      <c r="S1560"/>
      <c r="T1560"/>
      <c r="U1560"/>
      <c r="V1560" s="39"/>
      <c r="W1560"/>
      <c r="X1560"/>
      <c r="Y1560"/>
      <c r="Z1560"/>
      <c r="AA1560"/>
    </row>
    <row r="1561" spans="1:27" x14ac:dyDescent="0.25">
      <c r="A1561"/>
      <c r="B1561" s="36"/>
      <c r="C1561" s="36"/>
      <c r="D1561"/>
      <c r="E1561"/>
      <c r="F1561"/>
      <c r="G1561"/>
      <c r="H1561"/>
      <c r="I1561"/>
      <c r="J1561"/>
      <c r="K1561"/>
      <c r="L1561"/>
      <c r="M1561"/>
      <c r="N1561"/>
      <c r="O1561"/>
      <c r="P1561" s="36"/>
      <c r="Q1561" s="37"/>
      <c r="R1561"/>
      <c r="S1561"/>
      <c r="T1561"/>
      <c r="U1561"/>
      <c r="V1561" s="39"/>
      <c r="W1561"/>
      <c r="X1561"/>
      <c r="Y1561"/>
      <c r="Z1561"/>
      <c r="AA1561"/>
    </row>
    <row r="1562" spans="1:27" x14ac:dyDescent="0.25">
      <c r="A1562"/>
      <c r="B1562" s="36"/>
      <c r="C1562" s="36"/>
      <c r="D1562"/>
      <c r="E1562"/>
      <c r="F1562"/>
      <c r="G1562"/>
      <c r="H1562"/>
      <c r="I1562"/>
      <c r="J1562"/>
      <c r="K1562"/>
      <c r="L1562"/>
      <c r="M1562"/>
      <c r="N1562"/>
      <c r="O1562"/>
      <c r="P1562" s="36"/>
      <c r="Q1562" s="37"/>
      <c r="R1562"/>
      <c r="S1562"/>
      <c r="T1562"/>
      <c r="U1562"/>
      <c r="V1562" s="39"/>
      <c r="W1562"/>
      <c r="X1562"/>
      <c r="Y1562"/>
      <c r="Z1562"/>
      <c r="AA1562"/>
    </row>
    <row r="1563" spans="1:27" x14ac:dyDescent="0.25">
      <c r="A1563"/>
      <c r="B1563" s="36"/>
      <c r="C1563" s="36"/>
      <c r="D1563"/>
      <c r="E1563"/>
      <c r="F1563"/>
      <c r="G1563"/>
      <c r="H1563"/>
      <c r="I1563"/>
      <c r="J1563"/>
      <c r="K1563"/>
      <c r="L1563"/>
      <c r="M1563"/>
      <c r="N1563"/>
      <c r="O1563"/>
      <c r="P1563" s="36"/>
      <c r="Q1563" s="37"/>
      <c r="R1563"/>
      <c r="S1563"/>
      <c r="T1563"/>
      <c r="U1563"/>
      <c r="V1563" s="39"/>
      <c r="W1563"/>
      <c r="X1563"/>
      <c r="Y1563"/>
      <c r="Z1563"/>
      <c r="AA1563"/>
    </row>
    <row r="1564" spans="1:27" x14ac:dyDescent="0.25">
      <c r="A1564"/>
      <c r="B1564" s="36"/>
      <c r="C1564" s="36"/>
      <c r="D1564"/>
      <c r="E1564"/>
      <c r="F1564"/>
      <c r="G1564"/>
      <c r="H1564"/>
      <c r="I1564"/>
      <c r="J1564"/>
      <c r="K1564"/>
      <c r="L1564"/>
      <c r="M1564"/>
      <c r="N1564"/>
      <c r="O1564"/>
      <c r="P1564" s="36"/>
      <c r="Q1564" s="37"/>
      <c r="R1564"/>
      <c r="S1564"/>
      <c r="T1564"/>
      <c r="U1564"/>
      <c r="V1564" s="39"/>
      <c r="W1564"/>
      <c r="X1564"/>
      <c r="Y1564"/>
      <c r="Z1564"/>
      <c r="AA1564"/>
    </row>
    <row r="1565" spans="1:27" x14ac:dyDescent="0.25">
      <c r="A1565"/>
      <c r="B1565" s="36"/>
      <c r="C1565" s="36"/>
      <c r="D1565"/>
      <c r="E1565"/>
      <c r="F1565"/>
      <c r="G1565"/>
      <c r="H1565"/>
      <c r="I1565"/>
      <c r="J1565"/>
      <c r="K1565"/>
      <c r="L1565"/>
      <c r="M1565"/>
      <c r="N1565"/>
      <c r="O1565"/>
      <c r="P1565" s="36"/>
      <c r="Q1565" s="37"/>
      <c r="R1565"/>
      <c r="S1565"/>
      <c r="T1565"/>
      <c r="U1565"/>
      <c r="V1565" s="39"/>
      <c r="W1565"/>
      <c r="X1565"/>
      <c r="Y1565"/>
      <c r="Z1565"/>
      <c r="AA1565"/>
    </row>
    <row r="1566" spans="1:27" x14ac:dyDescent="0.25">
      <c r="A1566"/>
      <c r="B1566" s="36"/>
      <c r="C1566" s="36"/>
      <c r="D1566"/>
      <c r="E1566"/>
      <c r="F1566"/>
      <c r="G1566"/>
      <c r="H1566"/>
      <c r="I1566"/>
      <c r="J1566"/>
      <c r="K1566"/>
      <c r="L1566"/>
      <c r="M1566"/>
      <c r="N1566"/>
      <c r="O1566"/>
      <c r="P1566" s="36"/>
      <c r="Q1566" s="37"/>
      <c r="R1566"/>
      <c r="S1566"/>
      <c r="T1566"/>
      <c r="U1566"/>
      <c r="V1566" s="39"/>
      <c r="W1566"/>
      <c r="X1566"/>
      <c r="Y1566"/>
      <c r="Z1566"/>
      <c r="AA1566"/>
    </row>
    <row r="1567" spans="1:27" x14ac:dyDescent="0.25">
      <c r="A1567"/>
      <c r="B1567" s="36"/>
      <c r="C1567" s="36"/>
      <c r="D1567"/>
      <c r="E1567"/>
      <c r="F1567"/>
      <c r="G1567"/>
      <c r="H1567"/>
      <c r="I1567"/>
      <c r="J1567"/>
      <c r="K1567"/>
      <c r="L1567"/>
      <c r="M1567"/>
      <c r="N1567"/>
      <c r="O1567"/>
      <c r="P1567" s="36"/>
      <c r="Q1567" s="37"/>
      <c r="R1567"/>
      <c r="S1567"/>
      <c r="T1567"/>
      <c r="U1567"/>
      <c r="V1567" s="39"/>
      <c r="W1567"/>
      <c r="X1567"/>
      <c r="Y1567"/>
      <c r="Z1567"/>
      <c r="AA1567"/>
    </row>
    <row r="1568" spans="1:27" x14ac:dyDescent="0.25">
      <c r="A1568"/>
      <c r="B1568" s="36"/>
      <c r="C1568" s="36"/>
      <c r="D1568"/>
      <c r="E1568"/>
      <c r="F1568"/>
      <c r="G1568"/>
      <c r="H1568"/>
      <c r="I1568"/>
      <c r="J1568"/>
      <c r="K1568"/>
      <c r="L1568"/>
      <c r="M1568"/>
      <c r="N1568"/>
      <c r="O1568"/>
      <c r="P1568" s="36"/>
      <c r="Q1568" s="37"/>
      <c r="R1568"/>
      <c r="S1568"/>
      <c r="T1568"/>
      <c r="U1568"/>
      <c r="V1568" s="39"/>
      <c r="W1568"/>
      <c r="X1568"/>
      <c r="Y1568"/>
      <c r="Z1568"/>
      <c r="AA1568"/>
    </row>
    <row r="1569" spans="1:27" x14ac:dyDescent="0.25">
      <c r="A1569"/>
      <c r="B1569" s="36"/>
      <c r="C1569" s="36"/>
      <c r="D1569"/>
      <c r="E1569"/>
      <c r="F1569"/>
      <c r="G1569"/>
      <c r="H1569"/>
      <c r="I1569"/>
      <c r="J1569"/>
      <c r="K1569"/>
      <c r="L1569"/>
      <c r="M1569"/>
      <c r="N1569"/>
      <c r="O1569"/>
      <c r="P1569" s="36"/>
      <c r="Q1569" s="37"/>
      <c r="R1569"/>
      <c r="S1569"/>
      <c r="T1569"/>
      <c r="U1569"/>
      <c r="V1569" s="39"/>
      <c r="W1569"/>
      <c r="X1569"/>
      <c r="Y1569"/>
      <c r="Z1569"/>
      <c r="AA1569"/>
    </row>
    <row r="1570" spans="1:27" x14ac:dyDescent="0.25">
      <c r="A1570"/>
      <c r="B1570" s="36"/>
      <c r="C1570" s="36"/>
      <c r="D1570"/>
      <c r="E1570"/>
      <c r="F1570"/>
      <c r="G1570"/>
      <c r="H1570"/>
      <c r="I1570"/>
      <c r="J1570"/>
      <c r="K1570"/>
      <c r="L1570"/>
      <c r="M1570"/>
      <c r="N1570"/>
      <c r="O1570"/>
      <c r="P1570" s="36"/>
      <c r="Q1570" s="37"/>
      <c r="R1570"/>
      <c r="S1570"/>
      <c r="T1570"/>
      <c r="U1570"/>
      <c r="V1570" s="39"/>
      <c r="W1570"/>
      <c r="X1570"/>
      <c r="Y1570"/>
      <c r="Z1570"/>
      <c r="AA1570"/>
    </row>
    <row r="1571" spans="1:27" x14ac:dyDescent="0.25">
      <c r="A1571"/>
      <c r="B1571" s="36"/>
      <c r="C1571" s="36"/>
      <c r="D1571"/>
      <c r="E1571"/>
      <c r="F1571"/>
      <c r="G1571"/>
      <c r="H1571"/>
      <c r="I1571"/>
      <c r="J1571"/>
      <c r="K1571"/>
      <c r="L1571"/>
      <c r="M1571"/>
      <c r="N1571"/>
      <c r="O1571"/>
      <c r="P1571" s="36"/>
      <c r="Q1571" s="37"/>
      <c r="R1571"/>
      <c r="S1571"/>
      <c r="T1571"/>
      <c r="U1571"/>
      <c r="V1571" s="39"/>
      <c r="W1571"/>
      <c r="X1571"/>
      <c r="Y1571"/>
      <c r="Z1571"/>
      <c r="AA1571"/>
    </row>
    <row r="1572" spans="1:27" x14ac:dyDescent="0.25">
      <c r="A1572"/>
      <c r="B1572" s="36"/>
      <c r="C1572" s="36"/>
      <c r="D1572"/>
      <c r="E1572"/>
      <c r="F1572"/>
      <c r="G1572"/>
      <c r="H1572"/>
      <c r="I1572"/>
      <c r="J1572"/>
      <c r="K1572"/>
      <c r="L1572"/>
      <c r="M1572"/>
      <c r="N1572"/>
      <c r="O1572"/>
      <c r="P1572" s="36"/>
      <c r="Q1572" s="37"/>
      <c r="R1572"/>
      <c r="S1572"/>
      <c r="T1572"/>
      <c r="U1572"/>
      <c r="V1572" s="39"/>
      <c r="W1572"/>
      <c r="X1572"/>
      <c r="Y1572"/>
      <c r="Z1572"/>
      <c r="AA1572"/>
    </row>
    <row r="1573" spans="1:27" x14ac:dyDescent="0.25">
      <c r="A1573"/>
      <c r="B1573" s="36"/>
      <c r="C1573" s="36"/>
      <c r="D1573"/>
      <c r="E1573"/>
      <c r="F1573"/>
      <c r="G1573"/>
      <c r="H1573"/>
      <c r="I1573"/>
      <c r="J1573"/>
      <c r="K1573"/>
      <c r="L1573"/>
      <c r="M1573"/>
      <c r="N1573"/>
      <c r="O1573"/>
      <c r="P1573" s="36"/>
      <c r="Q1573" s="37"/>
      <c r="R1573"/>
      <c r="S1573"/>
      <c r="T1573"/>
      <c r="U1573"/>
      <c r="V1573" s="39"/>
      <c r="W1573"/>
      <c r="X1573"/>
      <c r="Y1573"/>
      <c r="Z1573"/>
      <c r="AA1573"/>
    </row>
    <row r="1574" spans="1:27" x14ac:dyDescent="0.25">
      <c r="A1574"/>
      <c r="B1574" s="36"/>
      <c r="C1574" s="36"/>
      <c r="D1574"/>
      <c r="E1574"/>
      <c r="F1574"/>
      <c r="G1574"/>
      <c r="H1574"/>
      <c r="I1574"/>
      <c r="J1574"/>
      <c r="K1574"/>
      <c r="L1574"/>
      <c r="M1574"/>
      <c r="N1574"/>
      <c r="O1574"/>
      <c r="P1574" s="36"/>
      <c r="Q1574" s="37"/>
      <c r="R1574" s="44"/>
      <c r="S1574"/>
      <c r="T1574"/>
      <c r="U1574"/>
      <c r="V1574" s="39"/>
      <c r="W1574"/>
      <c r="X1574"/>
      <c r="Y1574"/>
      <c r="Z1574"/>
      <c r="AA1574"/>
    </row>
    <row r="1575" spans="1:27" x14ac:dyDescent="0.25">
      <c r="A1575"/>
      <c r="B1575" s="36"/>
      <c r="C1575" s="36"/>
      <c r="D1575"/>
      <c r="E1575"/>
      <c r="F1575"/>
      <c r="G1575"/>
      <c r="H1575"/>
      <c r="I1575"/>
      <c r="J1575"/>
      <c r="K1575"/>
      <c r="L1575"/>
      <c r="M1575"/>
      <c r="N1575"/>
      <c r="O1575"/>
      <c r="P1575" s="36"/>
      <c r="Q1575" s="37"/>
      <c r="R1575"/>
      <c r="S1575"/>
      <c r="T1575"/>
      <c r="U1575"/>
      <c r="V1575" s="39"/>
      <c r="W1575"/>
      <c r="X1575"/>
      <c r="Y1575"/>
      <c r="Z1575"/>
      <c r="AA1575"/>
    </row>
    <row r="1576" spans="1:27" x14ac:dyDescent="0.25">
      <c r="A1576"/>
      <c r="B1576" s="36"/>
      <c r="C1576" s="36"/>
      <c r="D1576"/>
      <c r="E1576"/>
      <c r="F1576"/>
      <c r="G1576"/>
      <c r="H1576"/>
      <c r="I1576"/>
      <c r="J1576"/>
      <c r="K1576"/>
      <c r="L1576"/>
      <c r="M1576"/>
      <c r="N1576"/>
      <c r="O1576"/>
      <c r="P1576" s="36"/>
      <c r="Q1576" s="37"/>
      <c r="R1576"/>
      <c r="S1576"/>
      <c r="T1576"/>
      <c r="U1576"/>
      <c r="V1576" s="39"/>
      <c r="W1576"/>
      <c r="X1576"/>
      <c r="Y1576"/>
      <c r="Z1576"/>
      <c r="AA1576"/>
    </row>
    <row r="1577" spans="1:27" x14ac:dyDescent="0.25">
      <c r="A1577"/>
      <c r="B1577" s="36"/>
      <c r="C1577" s="36"/>
      <c r="D1577"/>
      <c r="E1577"/>
      <c r="F1577"/>
      <c r="G1577"/>
      <c r="H1577"/>
      <c r="I1577"/>
      <c r="J1577"/>
      <c r="K1577"/>
      <c r="L1577"/>
      <c r="M1577"/>
      <c r="N1577"/>
      <c r="O1577"/>
      <c r="P1577" s="36"/>
      <c r="Q1577" s="37"/>
      <c r="R1577"/>
      <c r="S1577"/>
      <c r="T1577"/>
      <c r="U1577"/>
      <c r="V1577" s="39"/>
      <c r="W1577"/>
      <c r="X1577"/>
      <c r="Y1577"/>
      <c r="Z1577"/>
      <c r="AA1577"/>
    </row>
    <row r="1578" spans="1:27" x14ac:dyDescent="0.25">
      <c r="A1578"/>
      <c r="B1578" s="36"/>
      <c r="C1578" s="36"/>
      <c r="D1578"/>
      <c r="E1578"/>
      <c r="F1578"/>
      <c r="G1578"/>
      <c r="H1578"/>
      <c r="I1578"/>
      <c r="J1578"/>
      <c r="K1578"/>
      <c r="L1578"/>
      <c r="M1578"/>
      <c r="N1578"/>
      <c r="O1578"/>
      <c r="P1578" s="36"/>
      <c r="Q1578" s="37"/>
      <c r="R1578"/>
      <c r="S1578"/>
      <c r="T1578"/>
      <c r="U1578"/>
      <c r="V1578" s="39"/>
      <c r="W1578"/>
      <c r="X1578"/>
      <c r="Y1578"/>
      <c r="Z1578"/>
      <c r="AA1578"/>
    </row>
    <row r="1579" spans="1:27" x14ac:dyDescent="0.25">
      <c r="A1579"/>
      <c r="B1579" s="36"/>
      <c r="C1579" s="36"/>
      <c r="D1579"/>
      <c r="E1579"/>
      <c r="F1579"/>
      <c r="G1579"/>
      <c r="H1579"/>
      <c r="I1579"/>
      <c r="J1579"/>
      <c r="K1579"/>
      <c r="L1579"/>
      <c r="M1579"/>
      <c r="N1579"/>
      <c r="O1579"/>
      <c r="P1579" s="36"/>
      <c r="Q1579" s="37"/>
      <c r="R1579"/>
      <c r="S1579"/>
      <c r="T1579"/>
      <c r="U1579"/>
      <c r="V1579" s="39"/>
      <c r="W1579"/>
      <c r="X1579"/>
      <c r="Y1579"/>
      <c r="Z1579"/>
      <c r="AA1579"/>
    </row>
    <row r="1580" spans="1:27" x14ac:dyDescent="0.25">
      <c r="A1580"/>
      <c r="B1580" s="36"/>
      <c r="C1580" s="36"/>
      <c r="D1580"/>
      <c r="E1580"/>
      <c r="F1580"/>
      <c r="G1580"/>
      <c r="H1580"/>
      <c r="I1580"/>
      <c r="J1580"/>
      <c r="K1580"/>
      <c r="L1580"/>
      <c r="M1580"/>
      <c r="N1580"/>
      <c r="O1580"/>
      <c r="P1580" s="36"/>
      <c r="Q1580" s="37"/>
      <c r="R1580"/>
      <c r="S1580"/>
      <c r="T1580"/>
      <c r="U1580"/>
      <c r="V1580" s="39"/>
      <c r="W1580"/>
      <c r="X1580"/>
      <c r="Y1580"/>
      <c r="Z1580"/>
      <c r="AA1580"/>
    </row>
    <row r="1581" spans="1:27" x14ac:dyDescent="0.25">
      <c r="A1581"/>
      <c r="B1581" s="36"/>
      <c r="C1581" s="36"/>
      <c r="D1581"/>
      <c r="E1581"/>
      <c r="F1581"/>
      <c r="G1581"/>
      <c r="H1581"/>
      <c r="I1581"/>
      <c r="J1581"/>
      <c r="K1581"/>
      <c r="L1581"/>
      <c r="M1581"/>
      <c r="N1581"/>
      <c r="O1581"/>
      <c r="P1581" s="36"/>
      <c r="Q1581" s="37"/>
      <c r="R1581"/>
      <c r="S1581"/>
      <c r="T1581"/>
      <c r="U1581"/>
      <c r="V1581" s="39"/>
      <c r="W1581"/>
      <c r="X1581"/>
      <c r="Y1581"/>
      <c r="Z1581"/>
      <c r="AA1581"/>
    </row>
    <row r="1582" spans="1:27" x14ac:dyDescent="0.25">
      <c r="A1582"/>
      <c r="B1582" s="36"/>
      <c r="C1582" s="36"/>
      <c r="D1582"/>
      <c r="E1582"/>
      <c r="F1582"/>
      <c r="G1582"/>
      <c r="H1582"/>
      <c r="I1582"/>
      <c r="J1582"/>
      <c r="K1582"/>
      <c r="L1582"/>
      <c r="M1582"/>
      <c r="N1582"/>
      <c r="O1582"/>
      <c r="P1582" s="36"/>
      <c r="Q1582" s="37"/>
      <c r="R1582"/>
      <c r="S1582"/>
      <c r="T1582"/>
      <c r="U1582"/>
      <c r="V1582" s="39"/>
      <c r="W1582"/>
      <c r="X1582"/>
      <c r="Y1582"/>
      <c r="Z1582"/>
      <c r="AA1582"/>
    </row>
    <row r="1583" spans="1:27" x14ac:dyDescent="0.25">
      <c r="A1583"/>
      <c r="B1583" s="36"/>
      <c r="C1583" s="36"/>
      <c r="D1583"/>
      <c r="E1583"/>
      <c r="F1583"/>
      <c r="G1583"/>
      <c r="H1583"/>
      <c r="I1583"/>
      <c r="J1583"/>
      <c r="K1583"/>
      <c r="L1583"/>
      <c r="M1583"/>
      <c r="N1583"/>
      <c r="O1583"/>
      <c r="P1583" s="36"/>
      <c r="Q1583" s="37"/>
      <c r="R1583"/>
      <c r="S1583"/>
      <c r="T1583"/>
      <c r="U1583"/>
      <c r="V1583" s="39"/>
      <c r="W1583"/>
      <c r="X1583"/>
      <c r="Y1583"/>
      <c r="Z1583"/>
      <c r="AA1583"/>
    </row>
    <row r="1584" spans="1:27" x14ac:dyDescent="0.25">
      <c r="A1584"/>
      <c r="B1584" s="36"/>
      <c r="C1584" s="36"/>
      <c r="D1584"/>
      <c r="E1584"/>
      <c r="F1584"/>
      <c r="G1584"/>
      <c r="H1584"/>
      <c r="I1584"/>
      <c r="J1584"/>
      <c r="K1584"/>
      <c r="L1584"/>
      <c r="M1584"/>
      <c r="N1584"/>
      <c r="O1584"/>
      <c r="P1584" s="36"/>
      <c r="Q1584" s="37"/>
      <c r="R1584"/>
      <c r="S1584"/>
      <c r="T1584"/>
      <c r="U1584"/>
      <c r="V1584" s="39"/>
      <c r="W1584"/>
      <c r="X1584"/>
      <c r="Y1584"/>
      <c r="Z1584"/>
      <c r="AA1584"/>
    </row>
    <row r="1585" spans="1:27" x14ac:dyDescent="0.25">
      <c r="A1585"/>
      <c r="B1585" s="36"/>
      <c r="C1585" s="36"/>
      <c r="D1585"/>
      <c r="E1585"/>
      <c r="F1585"/>
      <c r="G1585"/>
      <c r="H1585"/>
      <c r="I1585"/>
      <c r="J1585"/>
      <c r="K1585"/>
      <c r="L1585"/>
      <c r="M1585"/>
      <c r="N1585"/>
      <c r="O1585"/>
      <c r="P1585" s="36"/>
      <c r="Q1585" s="37"/>
      <c r="R1585"/>
      <c r="S1585"/>
      <c r="T1585"/>
      <c r="U1585"/>
      <c r="V1585" s="39"/>
      <c r="W1585"/>
      <c r="X1585"/>
      <c r="Y1585"/>
      <c r="Z1585"/>
      <c r="AA1585"/>
    </row>
    <row r="1586" spans="1:27" x14ac:dyDescent="0.25">
      <c r="A1586"/>
      <c r="B1586" s="36"/>
      <c r="C1586" s="36"/>
      <c r="D1586"/>
      <c r="E1586"/>
      <c r="F1586"/>
      <c r="G1586"/>
      <c r="H1586"/>
      <c r="I1586"/>
      <c r="J1586"/>
      <c r="K1586"/>
      <c r="L1586"/>
      <c r="M1586"/>
      <c r="N1586"/>
      <c r="O1586"/>
      <c r="P1586" s="36"/>
      <c r="Q1586" s="37"/>
      <c r="R1586"/>
      <c r="S1586"/>
      <c r="T1586"/>
      <c r="U1586"/>
      <c r="V1586" s="39"/>
      <c r="W1586"/>
      <c r="X1586"/>
      <c r="Y1586"/>
      <c r="Z1586"/>
      <c r="AA1586"/>
    </row>
    <row r="1587" spans="1:27" x14ac:dyDescent="0.25">
      <c r="A1587"/>
      <c r="B1587" s="36"/>
      <c r="C1587" s="36"/>
      <c r="D1587"/>
      <c r="E1587"/>
      <c r="F1587"/>
      <c r="G1587"/>
      <c r="H1587"/>
      <c r="I1587"/>
      <c r="J1587"/>
      <c r="K1587"/>
      <c r="L1587"/>
      <c r="M1587"/>
      <c r="N1587"/>
      <c r="O1587"/>
      <c r="P1587" s="36"/>
      <c r="Q1587" s="37"/>
      <c r="R1587"/>
      <c r="S1587"/>
      <c r="T1587"/>
      <c r="U1587"/>
      <c r="V1587" s="39"/>
      <c r="W1587"/>
      <c r="X1587"/>
      <c r="Y1587"/>
      <c r="Z1587"/>
      <c r="AA1587"/>
    </row>
    <row r="1588" spans="1:27" x14ac:dyDescent="0.25">
      <c r="A1588"/>
      <c r="B1588" s="36"/>
      <c r="C1588" s="36"/>
      <c r="D1588"/>
      <c r="E1588"/>
      <c r="F1588"/>
      <c r="G1588"/>
      <c r="H1588"/>
      <c r="I1588"/>
      <c r="J1588"/>
      <c r="K1588"/>
      <c r="L1588"/>
      <c r="M1588"/>
      <c r="N1588"/>
      <c r="O1588"/>
      <c r="P1588" s="36"/>
      <c r="Q1588" s="37"/>
      <c r="R1588"/>
      <c r="S1588"/>
      <c r="T1588"/>
      <c r="U1588"/>
      <c r="V1588" s="39"/>
      <c r="W1588"/>
      <c r="X1588"/>
      <c r="Y1588"/>
      <c r="Z1588"/>
      <c r="AA1588"/>
    </row>
    <row r="1589" spans="1:27" x14ac:dyDescent="0.25">
      <c r="A1589"/>
      <c r="B1589" s="36"/>
      <c r="C1589" s="36"/>
      <c r="D1589"/>
      <c r="E1589"/>
      <c r="F1589"/>
      <c r="G1589"/>
      <c r="H1589"/>
      <c r="I1589"/>
      <c r="J1589"/>
      <c r="K1589"/>
      <c r="L1589"/>
      <c r="M1589"/>
      <c r="N1589"/>
      <c r="O1589"/>
      <c r="P1589" s="36"/>
      <c r="Q1589" s="37"/>
      <c r="R1589"/>
      <c r="S1589"/>
      <c r="T1589"/>
      <c r="U1589"/>
      <c r="V1589" s="39"/>
      <c r="W1589"/>
      <c r="X1589"/>
      <c r="Y1589"/>
      <c r="Z1589"/>
      <c r="AA1589"/>
    </row>
    <row r="1590" spans="1:27" x14ac:dyDescent="0.25">
      <c r="A1590"/>
      <c r="B1590" s="36"/>
      <c r="C1590" s="36"/>
      <c r="D1590"/>
      <c r="E1590"/>
      <c r="F1590"/>
      <c r="G1590"/>
      <c r="H1590"/>
      <c r="I1590"/>
      <c r="J1590"/>
      <c r="K1590"/>
      <c r="L1590"/>
      <c r="M1590"/>
      <c r="N1590"/>
      <c r="O1590"/>
      <c r="P1590" s="36"/>
      <c r="Q1590" s="37"/>
      <c r="R1590"/>
      <c r="S1590"/>
      <c r="T1590"/>
      <c r="U1590"/>
      <c r="V1590" s="39"/>
      <c r="W1590"/>
      <c r="X1590"/>
      <c r="Y1590"/>
      <c r="Z1590"/>
      <c r="AA1590"/>
    </row>
    <row r="1591" spans="1:27" x14ac:dyDescent="0.25">
      <c r="A1591"/>
      <c r="B1591" s="36"/>
      <c r="C1591" s="36"/>
      <c r="D1591"/>
      <c r="E1591"/>
      <c r="F1591"/>
      <c r="G1591"/>
      <c r="H1591"/>
      <c r="I1591"/>
      <c r="J1591"/>
      <c r="K1591"/>
      <c r="L1591"/>
      <c r="M1591"/>
      <c r="N1591"/>
      <c r="O1591"/>
      <c r="P1591" s="36"/>
      <c r="Q1591" s="37"/>
      <c r="R1591"/>
      <c r="S1591"/>
      <c r="T1591"/>
      <c r="U1591"/>
      <c r="V1591" s="39"/>
      <c r="W1591"/>
      <c r="X1591"/>
      <c r="Y1591"/>
      <c r="Z1591"/>
      <c r="AA1591"/>
    </row>
    <row r="1592" spans="1:27" x14ac:dyDescent="0.25">
      <c r="A1592"/>
      <c r="B1592" s="36"/>
      <c r="C1592" s="36"/>
      <c r="D1592"/>
      <c r="E1592"/>
      <c r="F1592"/>
      <c r="G1592"/>
      <c r="H1592"/>
      <c r="I1592"/>
      <c r="J1592"/>
      <c r="K1592"/>
      <c r="L1592"/>
      <c r="M1592"/>
      <c r="N1592"/>
      <c r="O1592"/>
      <c r="P1592" s="36"/>
      <c r="Q1592" s="37"/>
      <c r="R1592"/>
      <c r="S1592"/>
      <c r="T1592"/>
      <c r="U1592"/>
      <c r="V1592" s="39"/>
      <c r="W1592"/>
      <c r="X1592"/>
      <c r="Y1592"/>
      <c r="Z1592"/>
      <c r="AA1592"/>
    </row>
    <row r="1593" spans="1:27" x14ac:dyDescent="0.25">
      <c r="A1593"/>
      <c r="B1593" s="36"/>
      <c r="C1593" s="36"/>
      <c r="D1593"/>
      <c r="E1593"/>
      <c r="F1593"/>
      <c r="G1593"/>
      <c r="H1593"/>
      <c r="I1593"/>
      <c r="J1593"/>
      <c r="K1593"/>
      <c r="L1593"/>
      <c r="M1593"/>
      <c r="N1593"/>
      <c r="O1593"/>
      <c r="P1593" s="36"/>
      <c r="Q1593" s="37"/>
      <c r="R1593"/>
      <c r="S1593"/>
      <c r="T1593"/>
      <c r="U1593"/>
      <c r="V1593" s="39"/>
      <c r="W1593"/>
      <c r="X1593"/>
      <c r="Y1593"/>
      <c r="Z1593"/>
      <c r="AA1593"/>
    </row>
    <row r="1594" spans="1:27" x14ac:dyDescent="0.25">
      <c r="A1594"/>
      <c r="B1594" s="36"/>
      <c r="C1594" s="36"/>
      <c r="D1594"/>
      <c r="E1594"/>
      <c r="F1594"/>
      <c r="G1594"/>
      <c r="H1594"/>
      <c r="I1594"/>
      <c r="J1594"/>
      <c r="K1594"/>
      <c r="L1594"/>
      <c r="M1594"/>
      <c r="N1594"/>
      <c r="O1594"/>
      <c r="P1594" s="36"/>
      <c r="Q1594" s="37"/>
      <c r="R1594"/>
      <c r="S1594"/>
      <c r="T1594"/>
      <c r="U1594"/>
      <c r="V1594" s="39"/>
      <c r="W1594"/>
      <c r="X1594"/>
      <c r="Y1594"/>
      <c r="Z1594"/>
      <c r="AA1594"/>
    </row>
    <row r="1595" spans="1:27" x14ac:dyDescent="0.25">
      <c r="A1595"/>
      <c r="B1595" s="36"/>
      <c r="C1595" s="36"/>
      <c r="D1595"/>
      <c r="E1595"/>
      <c r="F1595"/>
      <c r="G1595"/>
      <c r="H1595"/>
      <c r="I1595"/>
      <c r="J1595"/>
      <c r="K1595"/>
      <c r="L1595"/>
      <c r="M1595"/>
      <c r="N1595"/>
      <c r="O1595"/>
      <c r="P1595" s="36"/>
      <c r="Q1595" s="37"/>
      <c r="R1595"/>
      <c r="S1595"/>
      <c r="T1595"/>
      <c r="U1595"/>
      <c r="V1595" s="39"/>
      <c r="W1595"/>
      <c r="X1595"/>
      <c r="Y1595"/>
      <c r="Z1595"/>
      <c r="AA1595"/>
    </row>
    <row r="1596" spans="1:27" x14ac:dyDescent="0.25">
      <c r="A1596"/>
      <c r="B1596" s="36"/>
      <c r="C1596" s="36"/>
      <c r="D1596"/>
      <c r="E1596"/>
      <c r="F1596"/>
      <c r="G1596"/>
      <c r="H1596"/>
      <c r="I1596"/>
      <c r="J1596"/>
      <c r="K1596"/>
      <c r="L1596"/>
      <c r="M1596"/>
      <c r="N1596"/>
      <c r="O1596"/>
      <c r="P1596" s="36"/>
      <c r="Q1596" s="37"/>
      <c r="R1596"/>
      <c r="S1596"/>
      <c r="T1596"/>
      <c r="U1596"/>
      <c r="V1596" s="39"/>
      <c r="W1596"/>
      <c r="X1596"/>
      <c r="Y1596"/>
      <c r="Z1596"/>
      <c r="AA1596"/>
    </row>
    <row r="1597" spans="1:27" x14ac:dyDescent="0.25">
      <c r="A1597"/>
      <c r="B1597" s="36"/>
      <c r="C1597" s="36"/>
      <c r="D1597"/>
      <c r="E1597"/>
      <c r="F1597"/>
      <c r="G1597"/>
      <c r="H1597"/>
      <c r="I1597"/>
      <c r="J1597"/>
      <c r="K1597"/>
      <c r="L1597"/>
      <c r="M1597"/>
      <c r="N1597"/>
      <c r="O1597"/>
      <c r="P1597" s="36"/>
      <c r="Q1597" s="37"/>
      <c r="R1597"/>
      <c r="S1597"/>
      <c r="T1597"/>
      <c r="U1597"/>
      <c r="V1597" s="39"/>
      <c r="W1597"/>
      <c r="X1597"/>
      <c r="Y1597"/>
      <c r="Z1597"/>
      <c r="AA1597"/>
    </row>
    <row r="1598" spans="1:27" x14ac:dyDescent="0.25">
      <c r="A1598"/>
      <c r="B1598" s="36"/>
      <c r="C1598" s="36"/>
      <c r="D1598"/>
      <c r="E1598"/>
      <c r="F1598"/>
      <c r="G1598"/>
      <c r="H1598"/>
      <c r="I1598"/>
      <c r="J1598"/>
      <c r="K1598"/>
      <c r="L1598"/>
      <c r="M1598"/>
      <c r="N1598"/>
      <c r="O1598"/>
      <c r="P1598" s="36"/>
      <c r="Q1598" s="37"/>
      <c r="R1598"/>
      <c r="S1598"/>
      <c r="T1598"/>
      <c r="U1598"/>
      <c r="V1598" s="39"/>
      <c r="W1598"/>
      <c r="X1598"/>
      <c r="Y1598"/>
      <c r="Z1598"/>
      <c r="AA1598"/>
    </row>
    <row r="1599" spans="1:27" x14ac:dyDescent="0.25">
      <c r="A1599"/>
      <c r="B1599" s="36"/>
      <c r="C1599" s="36"/>
      <c r="D1599"/>
      <c r="E1599"/>
      <c r="F1599"/>
      <c r="G1599"/>
      <c r="H1599"/>
      <c r="I1599"/>
      <c r="J1599"/>
      <c r="K1599"/>
      <c r="L1599"/>
      <c r="M1599"/>
      <c r="N1599"/>
      <c r="O1599"/>
      <c r="P1599" s="36"/>
      <c r="Q1599" s="37"/>
      <c r="R1599"/>
      <c r="S1599"/>
      <c r="T1599"/>
      <c r="U1599"/>
      <c r="V1599" s="39"/>
      <c r="W1599"/>
      <c r="X1599"/>
      <c r="Y1599"/>
      <c r="Z1599"/>
      <c r="AA1599"/>
    </row>
    <row r="1600" spans="1:27" x14ac:dyDescent="0.25">
      <c r="A1600"/>
      <c r="B1600" s="36"/>
      <c r="C1600" s="36"/>
      <c r="D1600"/>
      <c r="E1600"/>
      <c r="F1600"/>
      <c r="G1600"/>
      <c r="H1600"/>
      <c r="I1600"/>
      <c r="J1600"/>
      <c r="K1600"/>
      <c r="L1600"/>
      <c r="M1600"/>
      <c r="N1600"/>
      <c r="O1600"/>
      <c r="P1600" s="36"/>
      <c r="Q1600" s="37"/>
      <c r="R1600"/>
      <c r="S1600"/>
      <c r="T1600"/>
      <c r="U1600"/>
      <c r="V1600" s="39"/>
      <c r="W1600"/>
      <c r="X1600"/>
      <c r="Y1600"/>
      <c r="Z1600"/>
      <c r="AA1600"/>
    </row>
    <row r="1601" spans="1:27" x14ac:dyDescent="0.25">
      <c r="A1601"/>
      <c r="B1601" s="36"/>
      <c r="C1601" s="36"/>
      <c r="D1601"/>
      <c r="E1601"/>
      <c r="F1601"/>
      <c r="G1601"/>
      <c r="H1601"/>
      <c r="I1601"/>
      <c r="J1601"/>
      <c r="K1601"/>
      <c r="L1601"/>
      <c r="M1601"/>
      <c r="N1601"/>
      <c r="O1601"/>
      <c r="P1601" s="36"/>
      <c r="Q1601" s="37"/>
      <c r="R1601"/>
      <c r="S1601"/>
      <c r="T1601"/>
      <c r="U1601"/>
      <c r="V1601" s="39"/>
      <c r="W1601"/>
      <c r="X1601"/>
      <c r="Y1601"/>
      <c r="Z1601"/>
      <c r="AA1601"/>
    </row>
    <row r="1602" spans="1:27" x14ac:dyDescent="0.25">
      <c r="A1602"/>
      <c r="B1602" s="36"/>
      <c r="C1602" s="36"/>
      <c r="D1602"/>
      <c r="E1602"/>
      <c r="F1602"/>
      <c r="G1602"/>
      <c r="H1602"/>
      <c r="I1602"/>
      <c r="J1602"/>
      <c r="K1602"/>
      <c r="L1602"/>
      <c r="M1602"/>
      <c r="N1602"/>
      <c r="O1602"/>
      <c r="P1602" s="36"/>
      <c r="Q1602" s="37"/>
      <c r="R1602"/>
      <c r="S1602"/>
      <c r="T1602"/>
      <c r="U1602"/>
      <c r="V1602" s="39"/>
      <c r="W1602"/>
      <c r="X1602"/>
      <c r="Y1602"/>
      <c r="Z1602"/>
      <c r="AA1602"/>
    </row>
    <row r="1603" spans="1:27" x14ac:dyDescent="0.25">
      <c r="A1603"/>
      <c r="B1603" s="36"/>
      <c r="C1603" s="36"/>
      <c r="D1603"/>
      <c r="E1603"/>
      <c r="F1603"/>
      <c r="G1603"/>
      <c r="H1603"/>
      <c r="I1603"/>
      <c r="J1603"/>
      <c r="K1603"/>
      <c r="L1603"/>
      <c r="M1603"/>
      <c r="N1603"/>
      <c r="O1603"/>
      <c r="P1603" s="36"/>
      <c r="Q1603" s="37"/>
      <c r="R1603"/>
      <c r="S1603"/>
      <c r="T1603"/>
      <c r="U1603"/>
      <c r="V1603" s="39"/>
      <c r="W1603"/>
      <c r="X1603"/>
      <c r="Y1603"/>
      <c r="Z1603"/>
      <c r="AA1603"/>
    </row>
    <row r="1604" spans="1:27" x14ac:dyDescent="0.25">
      <c r="A1604"/>
      <c r="B1604" s="36"/>
      <c r="C1604" s="36"/>
      <c r="D1604"/>
      <c r="E1604"/>
      <c r="F1604"/>
      <c r="G1604"/>
      <c r="H1604"/>
      <c r="I1604"/>
      <c r="J1604"/>
      <c r="K1604"/>
      <c r="L1604"/>
      <c r="M1604"/>
      <c r="N1604"/>
      <c r="O1604"/>
      <c r="P1604" s="36"/>
      <c r="Q1604" s="37"/>
      <c r="R1604"/>
      <c r="S1604"/>
      <c r="T1604"/>
      <c r="U1604"/>
      <c r="V1604" s="39"/>
      <c r="W1604"/>
      <c r="X1604"/>
      <c r="Y1604"/>
      <c r="Z1604"/>
      <c r="AA1604"/>
    </row>
    <row r="1605" spans="1:27" x14ac:dyDescent="0.25">
      <c r="A1605"/>
      <c r="B1605" s="36"/>
      <c r="C1605" s="36"/>
      <c r="D1605"/>
      <c r="E1605"/>
      <c r="F1605"/>
      <c r="G1605"/>
      <c r="H1605" s="36"/>
      <c r="I1605"/>
      <c r="J1605"/>
      <c r="K1605"/>
      <c r="L1605"/>
      <c r="M1605"/>
      <c r="N1605"/>
      <c r="O1605"/>
      <c r="P1605" s="36"/>
      <c r="Q1605" s="37"/>
      <c r="R1605"/>
      <c r="S1605"/>
      <c r="T1605"/>
      <c r="U1605"/>
      <c r="V1605" s="39"/>
      <c r="W1605"/>
      <c r="X1605"/>
      <c r="Y1605"/>
      <c r="Z1605"/>
      <c r="AA1605"/>
    </row>
    <row r="1606" spans="1:27" x14ac:dyDescent="0.25">
      <c r="A1606"/>
      <c r="B1606" s="36"/>
      <c r="C1606" s="36"/>
      <c r="D1606"/>
      <c r="E1606"/>
      <c r="F1606"/>
      <c r="G1606"/>
      <c r="H1606"/>
      <c r="I1606"/>
      <c r="J1606"/>
      <c r="K1606"/>
      <c r="L1606"/>
      <c r="M1606"/>
      <c r="N1606"/>
      <c r="O1606"/>
      <c r="P1606" s="36"/>
      <c r="Q1606" s="37"/>
      <c r="R1606"/>
      <c r="S1606"/>
      <c r="T1606"/>
      <c r="U1606"/>
      <c r="V1606" s="39"/>
      <c r="W1606"/>
      <c r="X1606"/>
      <c r="Y1606"/>
      <c r="Z1606"/>
      <c r="AA1606"/>
    </row>
    <row r="1607" spans="1:27" x14ac:dyDescent="0.25">
      <c r="A1607"/>
      <c r="B1607" s="36"/>
      <c r="C1607" s="36"/>
      <c r="D1607"/>
      <c r="E1607"/>
      <c r="F1607"/>
      <c r="G1607"/>
      <c r="H1607"/>
      <c r="I1607"/>
      <c r="J1607"/>
      <c r="K1607"/>
      <c r="L1607"/>
      <c r="M1607"/>
      <c r="N1607"/>
      <c r="O1607"/>
      <c r="P1607" s="36"/>
      <c r="Q1607" s="37"/>
      <c r="R1607"/>
      <c r="S1607"/>
      <c r="T1607"/>
      <c r="U1607"/>
      <c r="V1607" s="39"/>
      <c r="W1607"/>
      <c r="X1607"/>
      <c r="Y1607"/>
      <c r="Z1607"/>
      <c r="AA1607"/>
    </row>
    <row r="1608" spans="1:27" x14ac:dyDescent="0.25">
      <c r="A1608"/>
      <c r="B1608" s="36"/>
      <c r="C1608" s="36"/>
      <c r="D1608"/>
      <c r="E1608"/>
      <c r="F1608"/>
      <c r="G1608"/>
      <c r="H1608"/>
      <c r="I1608"/>
      <c r="J1608"/>
      <c r="K1608"/>
      <c r="L1608"/>
      <c r="M1608"/>
      <c r="N1608"/>
      <c r="O1608"/>
      <c r="P1608" s="36"/>
      <c r="Q1608" s="37"/>
      <c r="R1608"/>
      <c r="S1608"/>
      <c r="T1608"/>
      <c r="U1608"/>
      <c r="V1608" s="39"/>
      <c r="W1608"/>
      <c r="X1608"/>
      <c r="Y1608"/>
      <c r="Z1608"/>
      <c r="AA1608"/>
    </row>
    <row r="1609" spans="1:27" x14ac:dyDescent="0.25">
      <c r="A1609"/>
      <c r="B1609" s="36"/>
      <c r="C1609" s="36"/>
      <c r="D1609"/>
      <c r="E1609"/>
      <c r="F1609"/>
      <c r="G1609"/>
      <c r="H1609"/>
      <c r="I1609"/>
      <c r="J1609"/>
      <c r="K1609"/>
      <c r="L1609"/>
      <c r="M1609"/>
      <c r="N1609"/>
      <c r="O1609"/>
      <c r="P1609" s="36"/>
      <c r="Q1609" s="37"/>
      <c r="R1609" s="44"/>
      <c r="S1609"/>
      <c r="T1609"/>
      <c r="U1609"/>
      <c r="V1609" s="39"/>
      <c r="W1609"/>
      <c r="X1609"/>
      <c r="Y1609"/>
      <c r="Z1609"/>
      <c r="AA1609"/>
    </row>
    <row r="1610" spans="1:27" x14ac:dyDescent="0.25">
      <c r="A1610"/>
      <c r="B1610" s="36"/>
      <c r="C1610" s="36"/>
      <c r="D1610"/>
      <c r="E1610"/>
      <c r="F1610"/>
      <c r="G1610"/>
      <c r="H1610"/>
      <c r="I1610"/>
      <c r="J1610"/>
      <c r="K1610"/>
      <c r="L1610"/>
      <c r="M1610"/>
      <c r="N1610"/>
      <c r="O1610"/>
      <c r="P1610" s="36"/>
      <c r="Q1610" s="37"/>
      <c r="R1610"/>
      <c r="S1610"/>
      <c r="T1610"/>
      <c r="U1610"/>
      <c r="V1610" s="39"/>
      <c r="W1610"/>
      <c r="X1610"/>
      <c r="Y1610"/>
      <c r="Z1610"/>
      <c r="AA1610"/>
    </row>
    <row r="1611" spans="1:27" x14ac:dyDescent="0.25">
      <c r="A1611"/>
      <c r="B1611" s="36"/>
      <c r="C1611" s="36"/>
      <c r="D1611"/>
      <c r="E1611"/>
      <c r="F1611"/>
      <c r="G1611"/>
      <c r="H1611"/>
      <c r="I1611"/>
      <c r="J1611"/>
      <c r="K1611"/>
      <c r="L1611"/>
      <c r="M1611"/>
      <c r="N1611"/>
      <c r="O1611"/>
      <c r="P1611" s="36"/>
      <c r="Q1611" s="37"/>
      <c r="R1611"/>
      <c r="S1611"/>
      <c r="T1611"/>
      <c r="U1611"/>
      <c r="V1611" s="39"/>
      <c r="W1611"/>
      <c r="X1611"/>
      <c r="Y1611"/>
      <c r="Z1611"/>
      <c r="AA1611"/>
    </row>
    <row r="1612" spans="1:27" x14ac:dyDescent="0.25">
      <c r="A1612"/>
      <c r="B1612" s="36"/>
      <c r="C1612" s="36"/>
      <c r="D1612"/>
      <c r="E1612"/>
      <c r="F1612"/>
      <c r="G1612"/>
      <c r="H1612"/>
      <c r="I1612"/>
      <c r="J1612"/>
      <c r="K1612"/>
      <c r="L1612"/>
      <c r="M1612"/>
      <c r="N1612"/>
      <c r="O1612"/>
      <c r="P1612" s="36"/>
      <c r="Q1612" s="37"/>
      <c r="R1612"/>
      <c r="S1612"/>
      <c r="T1612"/>
      <c r="U1612"/>
      <c r="V1612" s="39"/>
      <c r="W1612"/>
      <c r="X1612"/>
      <c r="Y1612"/>
      <c r="Z1612"/>
      <c r="AA1612"/>
    </row>
    <row r="1613" spans="1:27" x14ac:dyDescent="0.25">
      <c r="A1613"/>
      <c r="B1613" s="36"/>
      <c r="C1613" s="36"/>
      <c r="D1613"/>
      <c r="E1613"/>
      <c r="F1613"/>
      <c r="G1613"/>
      <c r="H1613"/>
      <c r="I1613"/>
      <c r="J1613"/>
      <c r="K1613"/>
      <c r="L1613"/>
      <c r="M1613"/>
      <c r="N1613"/>
      <c r="O1613"/>
      <c r="P1613" s="36"/>
      <c r="Q1613" s="37"/>
      <c r="R1613"/>
      <c r="S1613"/>
      <c r="T1613"/>
      <c r="U1613"/>
      <c r="V1613" s="39"/>
      <c r="W1613"/>
      <c r="X1613"/>
      <c r="Y1613"/>
      <c r="Z1613"/>
      <c r="AA1613"/>
    </row>
    <row r="1614" spans="1:27" x14ac:dyDescent="0.25">
      <c r="A1614"/>
      <c r="B1614" s="36"/>
      <c r="C1614" s="36"/>
      <c r="D1614"/>
      <c r="E1614"/>
      <c r="F1614"/>
      <c r="G1614"/>
      <c r="H1614"/>
      <c r="I1614"/>
      <c r="J1614"/>
      <c r="K1614"/>
      <c r="L1614"/>
      <c r="M1614"/>
      <c r="N1614"/>
      <c r="O1614"/>
      <c r="P1614" s="36"/>
      <c r="Q1614" s="37"/>
      <c r="R1614"/>
      <c r="S1614"/>
      <c r="T1614"/>
      <c r="U1614"/>
      <c r="V1614" s="39"/>
      <c r="W1614"/>
      <c r="X1614"/>
      <c r="Y1614"/>
      <c r="Z1614"/>
      <c r="AA1614"/>
    </row>
    <row r="1615" spans="1:27" x14ac:dyDescent="0.25">
      <c r="A1615"/>
      <c r="B1615" s="36"/>
      <c r="C1615" s="36"/>
      <c r="D1615"/>
      <c r="E1615"/>
      <c r="F1615"/>
      <c r="G1615"/>
      <c r="H1615"/>
      <c r="I1615"/>
      <c r="J1615"/>
      <c r="K1615"/>
      <c r="L1615"/>
      <c r="M1615"/>
      <c r="N1615"/>
      <c r="O1615"/>
      <c r="P1615" s="36"/>
      <c r="Q1615" s="37"/>
      <c r="R1615"/>
      <c r="S1615"/>
      <c r="T1615"/>
      <c r="U1615"/>
      <c r="V1615" s="39"/>
      <c r="W1615"/>
      <c r="X1615"/>
      <c r="Y1615"/>
      <c r="Z1615"/>
      <c r="AA1615"/>
    </row>
    <row r="1616" spans="1:27" x14ac:dyDescent="0.25">
      <c r="A1616"/>
      <c r="B1616" s="36"/>
      <c r="C1616" s="36"/>
      <c r="D1616"/>
      <c r="E1616"/>
      <c r="F1616"/>
      <c r="G1616"/>
      <c r="H1616"/>
      <c r="I1616"/>
      <c r="J1616"/>
      <c r="K1616"/>
      <c r="L1616"/>
      <c r="M1616"/>
      <c r="N1616"/>
      <c r="O1616"/>
      <c r="P1616" s="36"/>
      <c r="Q1616" s="37"/>
      <c r="R1616"/>
      <c r="S1616"/>
      <c r="T1616"/>
      <c r="U1616"/>
      <c r="V1616" s="39"/>
      <c r="W1616"/>
      <c r="X1616"/>
      <c r="Y1616"/>
      <c r="Z1616"/>
      <c r="AA1616"/>
    </row>
    <row r="1617" spans="1:27" x14ac:dyDescent="0.25">
      <c r="A1617"/>
      <c r="B1617" s="36"/>
      <c r="C1617" s="36"/>
      <c r="D1617"/>
      <c r="E1617"/>
      <c r="F1617"/>
      <c r="G1617"/>
      <c r="H1617"/>
      <c r="I1617"/>
      <c r="J1617"/>
      <c r="K1617"/>
      <c r="L1617"/>
      <c r="M1617"/>
      <c r="N1617"/>
      <c r="O1617"/>
      <c r="P1617" s="36"/>
      <c r="Q1617" s="37"/>
      <c r="R1617"/>
      <c r="S1617"/>
      <c r="T1617"/>
      <c r="U1617"/>
      <c r="V1617" s="39"/>
      <c r="W1617"/>
      <c r="X1617"/>
      <c r="Y1617"/>
      <c r="Z1617"/>
      <c r="AA1617"/>
    </row>
    <row r="1618" spans="1:27" x14ac:dyDescent="0.25">
      <c r="A1618"/>
      <c r="B1618" s="36"/>
      <c r="C1618" s="36"/>
      <c r="D1618"/>
      <c r="E1618"/>
      <c r="F1618"/>
      <c r="G1618"/>
      <c r="H1618"/>
      <c r="I1618"/>
      <c r="J1618"/>
      <c r="K1618"/>
      <c r="L1618"/>
      <c r="M1618"/>
      <c r="N1618"/>
      <c r="O1618"/>
      <c r="P1618" s="36"/>
      <c r="Q1618" s="37"/>
      <c r="R1618"/>
      <c r="S1618"/>
      <c r="T1618"/>
      <c r="U1618"/>
      <c r="V1618" s="39"/>
      <c r="W1618"/>
      <c r="X1618"/>
      <c r="Y1618"/>
      <c r="Z1618"/>
      <c r="AA1618"/>
    </row>
    <row r="1619" spans="1:27" x14ac:dyDescent="0.25">
      <c r="A1619"/>
      <c r="B1619" s="36"/>
      <c r="C1619" s="36"/>
      <c r="D1619"/>
      <c r="E1619"/>
      <c r="F1619"/>
      <c r="G1619"/>
      <c r="H1619"/>
      <c r="I1619"/>
      <c r="J1619"/>
      <c r="K1619"/>
      <c r="L1619"/>
      <c r="M1619"/>
      <c r="N1619"/>
      <c r="O1619"/>
      <c r="P1619" s="36"/>
      <c r="Q1619" s="37"/>
      <c r="R1619"/>
      <c r="S1619"/>
      <c r="T1619"/>
      <c r="U1619"/>
      <c r="V1619" s="39"/>
      <c r="W1619"/>
      <c r="X1619"/>
      <c r="Y1619"/>
      <c r="Z1619"/>
      <c r="AA1619"/>
    </row>
    <row r="1620" spans="1:27" x14ac:dyDescent="0.25">
      <c r="A1620"/>
      <c r="B1620" s="36"/>
      <c r="C1620" s="36"/>
      <c r="D1620"/>
      <c r="E1620"/>
      <c r="F1620"/>
      <c r="G1620"/>
      <c r="H1620"/>
      <c r="I1620"/>
      <c r="J1620"/>
      <c r="K1620"/>
      <c r="L1620"/>
      <c r="M1620"/>
      <c r="N1620"/>
      <c r="O1620"/>
      <c r="P1620" s="36"/>
      <c r="Q1620" s="37"/>
      <c r="R1620"/>
      <c r="S1620"/>
      <c r="T1620"/>
      <c r="U1620"/>
      <c r="V1620" s="39"/>
      <c r="W1620"/>
      <c r="X1620"/>
      <c r="Y1620"/>
      <c r="Z1620"/>
      <c r="AA1620"/>
    </row>
    <row r="1621" spans="1:27" x14ac:dyDescent="0.25">
      <c r="A1621"/>
      <c r="B1621" s="36"/>
      <c r="C1621" s="36"/>
      <c r="D1621"/>
      <c r="E1621"/>
      <c r="F1621"/>
      <c r="G1621"/>
      <c r="H1621"/>
      <c r="I1621"/>
      <c r="J1621"/>
      <c r="K1621"/>
      <c r="L1621"/>
      <c r="M1621"/>
      <c r="N1621"/>
      <c r="O1621"/>
      <c r="P1621" s="36"/>
      <c r="Q1621" s="37"/>
      <c r="R1621"/>
      <c r="S1621"/>
      <c r="T1621"/>
      <c r="U1621"/>
      <c r="V1621" s="39"/>
      <c r="W1621"/>
      <c r="X1621"/>
      <c r="Y1621"/>
      <c r="Z1621"/>
      <c r="AA1621"/>
    </row>
    <row r="1622" spans="1:27" x14ac:dyDescent="0.25">
      <c r="A1622"/>
      <c r="B1622" s="36"/>
      <c r="C1622" s="36"/>
      <c r="D1622"/>
      <c r="E1622"/>
      <c r="F1622"/>
      <c r="G1622"/>
      <c r="H1622"/>
      <c r="I1622"/>
      <c r="J1622"/>
      <c r="K1622"/>
      <c r="L1622"/>
      <c r="M1622"/>
      <c r="N1622"/>
      <c r="O1622"/>
      <c r="P1622" s="36"/>
      <c r="Q1622" s="37"/>
      <c r="R1622"/>
      <c r="S1622"/>
      <c r="T1622"/>
      <c r="U1622"/>
      <c r="V1622" s="39"/>
      <c r="W1622"/>
      <c r="X1622"/>
      <c r="Y1622"/>
      <c r="Z1622"/>
      <c r="AA1622"/>
    </row>
    <row r="1623" spans="1:27" x14ac:dyDescent="0.25">
      <c r="A1623"/>
      <c r="B1623" s="36"/>
      <c r="C1623" s="36"/>
      <c r="D1623"/>
      <c r="E1623"/>
      <c r="F1623"/>
      <c r="G1623"/>
      <c r="H1623"/>
      <c r="I1623"/>
      <c r="J1623"/>
      <c r="K1623"/>
      <c r="L1623"/>
      <c r="M1623"/>
      <c r="N1623"/>
      <c r="O1623"/>
      <c r="P1623" s="36"/>
      <c r="Q1623" s="37"/>
      <c r="R1623"/>
      <c r="S1623"/>
      <c r="T1623"/>
      <c r="U1623"/>
      <c r="V1623" s="39"/>
      <c r="W1623"/>
      <c r="X1623"/>
      <c r="Y1623"/>
      <c r="Z1623"/>
      <c r="AA1623"/>
    </row>
    <row r="1624" spans="1:27" x14ac:dyDescent="0.25">
      <c r="A1624"/>
      <c r="B1624" s="36"/>
      <c r="C1624" s="36"/>
      <c r="D1624"/>
      <c r="E1624"/>
      <c r="F1624"/>
      <c r="G1624"/>
      <c r="H1624"/>
      <c r="I1624"/>
      <c r="J1624"/>
      <c r="K1624"/>
      <c r="L1624"/>
      <c r="M1624"/>
      <c r="N1624"/>
      <c r="O1624"/>
      <c r="P1624" s="36"/>
      <c r="Q1624" s="37"/>
      <c r="R1624"/>
      <c r="S1624"/>
      <c r="T1624"/>
      <c r="U1624"/>
      <c r="V1624" s="39"/>
      <c r="W1624"/>
      <c r="X1624"/>
      <c r="Y1624"/>
      <c r="Z1624"/>
      <c r="AA1624"/>
    </row>
    <row r="1625" spans="1:27" x14ac:dyDescent="0.25">
      <c r="A1625"/>
      <c r="B1625" s="36"/>
      <c r="C1625" s="36"/>
      <c r="D1625"/>
      <c r="E1625"/>
      <c r="F1625"/>
      <c r="G1625"/>
      <c r="H1625"/>
      <c r="I1625"/>
      <c r="J1625"/>
      <c r="K1625"/>
      <c r="L1625"/>
      <c r="M1625"/>
      <c r="N1625"/>
      <c r="O1625"/>
      <c r="P1625" s="36"/>
      <c r="Q1625" s="37"/>
      <c r="R1625"/>
      <c r="S1625"/>
      <c r="T1625"/>
      <c r="U1625"/>
      <c r="V1625" s="39"/>
      <c r="W1625"/>
      <c r="X1625"/>
      <c r="Y1625"/>
      <c r="Z1625"/>
      <c r="AA1625"/>
    </row>
    <row r="1626" spans="1:27" x14ac:dyDescent="0.25">
      <c r="A1626"/>
      <c r="B1626" s="36"/>
      <c r="C1626" s="36"/>
      <c r="D1626"/>
      <c r="E1626"/>
      <c r="F1626"/>
      <c r="G1626"/>
      <c r="H1626"/>
      <c r="I1626"/>
      <c r="J1626"/>
      <c r="K1626"/>
      <c r="L1626"/>
      <c r="M1626"/>
      <c r="N1626"/>
      <c r="O1626"/>
      <c r="P1626" s="36"/>
      <c r="Q1626" s="37"/>
      <c r="R1626"/>
      <c r="S1626"/>
      <c r="T1626"/>
      <c r="U1626"/>
      <c r="V1626" s="39"/>
      <c r="W1626"/>
      <c r="X1626"/>
      <c r="Y1626"/>
      <c r="Z1626"/>
      <c r="AA1626"/>
    </row>
    <row r="1627" spans="1:27" x14ac:dyDescent="0.25">
      <c r="A1627"/>
      <c r="B1627" s="36"/>
      <c r="C1627" s="36"/>
      <c r="D1627"/>
      <c r="E1627"/>
      <c r="F1627"/>
      <c r="G1627"/>
      <c r="H1627"/>
      <c r="I1627"/>
      <c r="J1627"/>
      <c r="K1627"/>
      <c r="L1627"/>
      <c r="M1627"/>
      <c r="N1627"/>
      <c r="O1627"/>
      <c r="P1627" s="36"/>
      <c r="Q1627" s="37"/>
      <c r="R1627"/>
      <c r="S1627"/>
      <c r="T1627"/>
      <c r="U1627"/>
      <c r="V1627" s="39"/>
      <c r="W1627"/>
      <c r="X1627"/>
      <c r="Y1627"/>
      <c r="Z1627"/>
      <c r="AA1627"/>
    </row>
    <row r="1628" spans="1:27" x14ac:dyDescent="0.25">
      <c r="A1628"/>
      <c r="B1628" s="36"/>
      <c r="C1628" s="36"/>
      <c r="D1628"/>
      <c r="E1628"/>
      <c r="F1628"/>
      <c r="G1628"/>
      <c r="H1628"/>
      <c r="I1628"/>
      <c r="J1628"/>
      <c r="K1628"/>
      <c r="L1628"/>
      <c r="M1628"/>
      <c r="N1628"/>
      <c r="O1628"/>
      <c r="P1628" s="36"/>
      <c r="Q1628" s="37"/>
      <c r="R1628"/>
      <c r="S1628"/>
      <c r="T1628"/>
      <c r="U1628"/>
      <c r="V1628" s="39"/>
      <c r="W1628"/>
      <c r="X1628"/>
      <c r="Y1628"/>
      <c r="Z1628"/>
      <c r="AA1628"/>
    </row>
    <row r="1629" spans="1:27" x14ac:dyDescent="0.25">
      <c r="A1629"/>
      <c r="B1629" s="36"/>
      <c r="C1629" s="36"/>
      <c r="D1629"/>
      <c r="E1629"/>
      <c r="F1629"/>
      <c r="G1629"/>
      <c r="H1629"/>
      <c r="I1629"/>
      <c r="J1629"/>
      <c r="K1629"/>
      <c r="L1629"/>
      <c r="M1629"/>
      <c r="N1629"/>
      <c r="O1629"/>
      <c r="P1629" s="36"/>
      <c r="Q1629" s="37"/>
      <c r="R1629"/>
      <c r="S1629"/>
      <c r="T1629"/>
      <c r="U1629"/>
      <c r="V1629" s="39"/>
      <c r="W1629"/>
      <c r="X1629"/>
      <c r="Y1629"/>
      <c r="Z1629"/>
      <c r="AA1629"/>
    </row>
    <row r="1630" spans="1:27" x14ac:dyDescent="0.25">
      <c r="A1630"/>
      <c r="B1630" s="36"/>
      <c r="C1630" s="36"/>
      <c r="D1630"/>
      <c r="E1630"/>
      <c r="F1630"/>
      <c r="G1630"/>
      <c r="H1630"/>
      <c r="I1630"/>
      <c r="J1630"/>
      <c r="K1630"/>
      <c r="L1630"/>
      <c r="M1630"/>
      <c r="N1630"/>
      <c r="O1630"/>
      <c r="P1630" s="36"/>
      <c r="Q1630" s="37"/>
      <c r="R1630"/>
      <c r="S1630"/>
      <c r="T1630"/>
      <c r="U1630"/>
      <c r="V1630" s="39"/>
      <c r="W1630"/>
      <c r="X1630"/>
      <c r="Y1630"/>
      <c r="Z1630"/>
      <c r="AA1630"/>
    </row>
    <row r="1631" spans="1:27" x14ac:dyDescent="0.25">
      <c r="A1631"/>
      <c r="B1631" s="36"/>
      <c r="C1631" s="36"/>
      <c r="D1631"/>
      <c r="E1631"/>
      <c r="F1631"/>
      <c r="G1631"/>
      <c r="H1631"/>
      <c r="I1631"/>
      <c r="J1631"/>
      <c r="K1631"/>
      <c r="L1631"/>
      <c r="M1631"/>
      <c r="N1631"/>
      <c r="O1631"/>
      <c r="P1631" s="36"/>
      <c r="Q1631" s="37"/>
      <c r="R1631"/>
      <c r="S1631"/>
      <c r="T1631"/>
      <c r="U1631"/>
      <c r="V1631" s="39"/>
      <c r="W1631"/>
      <c r="X1631"/>
      <c r="Y1631"/>
      <c r="Z1631"/>
      <c r="AA1631"/>
    </row>
    <row r="1632" spans="1:27" x14ac:dyDescent="0.25">
      <c r="A1632"/>
      <c r="B1632" s="36"/>
      <c r="C1632" s="36"/>
      <c r="D1632"/>
      <c r="E1632"/>
      <c r="F1632"/>
      <c r="G1632"/>
      <c r="H1632"/>
      <c r="I1632"/>
      <c r="J1632"/>
      <c r="K1632"/>
      <c r="L1632"/>
      <c r="M1632"/>
      <c r="N1632"/>
      <c r="O1632"/>
      <c r="P1632" s="36"/>
      <c r="Q1632" s="37"/>
      <c r="R1632"/>
      <c r="S1632"/>
      <c r="T1632"/>
      <c r="U1632"/>
      <c r="V1632" s="39"/>
      <c r="W1632"/>
      <c r="X1632"/>
      <c r="Y1632"/>
      <c r="Z1632"/>
      <c r="AA1632"/>
    </row>
    <row r="1633" spans="1:27" x14ac:dyDescent="0.25">
      <c r="A1633"/>
      <c r="B1633" s="36"/>
      <c r="C1633" s="36"/>
      <c r="D1633"/>
      <c r="E1633"/>
      <c r="F1633"/>
      <c r="G1633"/>
      <c r="H1633"/>
      <c r="I1633"/>
      <c r="J1633"/>
      <c r="K1633"/>
      <c r="L1633"/>
      <c r="M1633"/>
      <c r="N1633"/>
      <c r="O1633"/>
      <c r="P1633" s="36"/>
      <c r="Q1633" s="37"/>
      <c r="R1633"/>
      <c r="S1633"/>
      <c r="T1633"/>
      <c r="U1633"/>
      <c r="V1633" s="39"/>
      <c r="W1633"/>
      <c r="X1633"/>
      <c r="Y1633"/>
      <c r="Z1633"/>
      <c r="AA1633"/>
    </row>
    <row r="1634" spans="1:27" x14ac:dyDescent="0.25">
      <c r="A1634"/>
      <c r="B1634" s="36"/>
      <c r="C1634" s="36"/>
      <c r="D1634"/>
      <c r="E1634"/>
      <c r="F1634"/>
      <c r="G1634"/>
      <c r="H1634"/>
      <c r="I1634"/>
      <c r="J1634"/>
      <c r="K1634"/>
      <c r="L1634"/>
      <c r="M1634"/>
      <c r="N1634"/>
      <c r="O1634"/>
      <c r="P1634" s="36"/>
      <c r="Q1634" s="37"/>
      <c r="R1634"/>
      <c r="S1634"/>
      <c r="T1634"/>
      <c r="U1634"/>
      <c r="V1634" s="39"/>
      <c r="W1634"/>
      <c r="X1634"/>
      <c r="Y1634"/>
      <c r="Z1634"/>
      <c r="AA1634"/>
    </row>
    <row r="1635" spans="1:27" x14ac:dyDescent="0.25">
      <c r="A1635"/>
      <c r="B1635" s="36"/>
      <c r="C1635" s="36"/>
      <c r="D1635"/>
      <c r="E1635"/>
      <c r="F1635"/>
      <c r="G1635"/>
      <c r="H1635"/>
      <c r="I1635"/>
      <c r="J1635"/>
      <c r="K1635"/>
      <c r="L1635"/>
      <c r="M1635"/>
      <c r="N1635"/>
      <c r="O1635"/>
      <c r="P1635" s="36"/>
      <c r="Q1635" s="37"/>
      <c r="R1635"/>
      <c r="S1635"/>
      <c r="T1635"/>
      <c r="U1635"/>
      <c r="V1635" s="39"/>
      <c r="W1635"/>
      <c r="X1635"/>
      <c r="Y1635"/>
      <c r="Z1635"/>
      <c r="AA1635"/>
    </row>
    <row r="1636" spans="1:27" x14ac:dyDescent="0.25">
      <c r="A1636"/>
      <c r="B1636" s="36"/>
      <c r="C1636" s="36"/>
      <c r="D1636"/>
      <c r="E1636"/>
      <c r="F1636"/>
      <c r="G1636"/>
      <c r="H1636"/>
      <c r="I1636"/>
      <c r="J1636"/>
      <c r="K1636"/>
      <c r="L1636"/>
      <c r="M1636"/>
      <c r="N1636"/>
      <c r="O1636"/>
      <c r="P1636" s="36"/>
      <c r="Q1636" s="37"/>
      <c r="R1636"/>
      <c r="S1636"/>
      <c r="T1636"/>
      <c r="U1636"/>
      <c r="V1636" s="39"/>
      <c r="W1636"/>
      <c r="X1636"/>
      <c r="Y1636"/>
      <c r="Z1636"/>
      <c r="AA1636"/>
    </row>
    <row r="1637" spans="1:27" x14ac:dyDescent="0.25">
      <c r="A1637"/>
      <c r="B1637" s="36"/>
      <c r="C1637" s="36"/>
      <c r="D1637"/>
      <c r="E1637"/>
      <c r="F1637"/>
      <c r="G1637"/>
      <c r="H1637"/>
      <c r="I1637"/>
      <c r="J1637"/>
      <c r="K1637"/>
      <c r="L1637"/>
      <c r="M1637"/>
      <c r="N1637"/>
      <c r="O1637"/>
      <c r="P1637" s="36"/>
      <c r="Q1637" s="37"/>
      <c r="R1637"/>
      <c r="S1637"/>
      <c r="T1637"/>
      <c r="U1637"/>
      <c r="V1637" s="39"/>
      <c r="W1637"/>
      <c r="X1637"/>
      <c r="Y1637"/>
      <c r="Z1637"/>
      <c r="AA1637"/>
    </row>
    <row r="1638" spans="1:27" x14ac:dyDescent="0.25">
      <c r="A1638"/>
      <c r="B1638" s="36"/>
      <c r="C1638" s="36"/>
      <c r="D1638"/>
      <c r="E1638"/>
      <c r="F1638"/>
      <c r="G1638"/>
      <c r="H1638"/>
      <c r="I1638"/>
      <c r="J1638"/>
      <c r="K1638"/>
      <c r="L1638"/>
      <c r="M1638"/>
      <c r="N1638"/>
      <c r="O1638"/>
      <c r="P1638" s="36"/>
      <c r="Q1638" s="37"/>
      <c r="R1638"/>
      <c r="S1638"/>
      <c r="T1638"/>
      <c r="U1638"/>
      <c r="V1638" s="39"/>
      <c r="W1638"/>
      <c r="X1638"/>
      <c r="Y1638"/>
      <c r="Z1638"/>
      <c r="AA1638"/>
    </row>
    <row r="1639" spans="1:27" x14ac:dyDescent="0.25">
      <c r="A1639"/>
      <c r="B1639" s="36"/>
      <c r="C1639" s="36"/>
      <c r="D1639"/>
      <c r="E1639"/>
      <c r="F1639"/>
      <c r="G1639"/>
      <c r="H1639"/>
      <c r="I1639"/>
      <c r="J1639"/>
      <c r="K1639"/>
      <c r="L1639"/>
      <c r="M1639"/>
      <c r="N1639"/>
      <c r="O1639"/>
      <c r="P1639" s="36"/>
      <c r="Q1639" s="37"/>
      <c r="R1639"/>
      <c r="S1639"/>
      <c r="T1639"/>
      <c r="U1639"/>
      <c r="V1639" s="39"/>
      <c r="W1639"/>
      <c r="X1639"/>
      <c r="Y1639"/>
      <c r="Z1639"/>
      <c r="AA1639"/>
    </row>
    <row r="1640" spans="1:27" x14ac:dyDescent="0.25">
      <c r="A1640"/>
      <c r="B1640" s="36"/>
      <c r="C1640" s="36"/>
      <c r="D1640"/>
      <c r="E1640"/>
      <c r="F1640"/>
      <c r="G1640"/>
      <c r="H1640"/>
      <c r="I1640"/>
      <c r="J1640"/>
      <c r="K1640"/>
      <c r="L1640"/>
      <c r="M1640"/>
      <c r="N1640"/>
      <c r="O1640"/>
      <c r="P1640" s="36"/>
      <c r="Q1640" s="37"/>
      <c r="R1640"/>
      <c r="S1640"/>
      <c r="T1640"/>
      <c r="U1640"/>
      <c r="V1640" s="39"/>
      <c r="W1640"/>
      <c r="X1640"/>
      <c r="Y1640"/>
      <c r="Z1640"/>
      <c r="AA1640"/>
    </row>
    <row r="1641" spans="1:27" x14ac:dyDescent="0.25">
      <c r="A1641"/>
      <c r="B1641" s="36"/>
      <c r="C1641" s="36"/>
      <c r="D1641"/>
      <c r="E1641"/>
      <c r="F1641"/>
      <c r="G1641"/>
      <c r="H1641"/>
      <c r="I1641"/>
      <c r="J1641"/>
      <c r="K1641"/>
      <c r="L1641"/>
      <c r="M1641"/>
      <c r="N1641"/>
      <c r="O1641"/>
      <c r="P1641" s="36"/>
      <c r="Q1641" s="37"/>
      <c r="R1641"/>
      <c r="S1641"/>
      <c r="T1641"/>
      <c r="U1641"/>
      <c r="V1641" s="39"/>
      <c r="W1641"/>
      <c r="X1641"/>
      <c r="Y1641"/>
      <c r="Z1641"/>
      <c r="AA1641"/>
    </row>
    <row r="1642" spans="1:27" x14ac:dyDescent="0.25">
      <c r="A1642"/>
      <c r="B1642" s="36"/>
      <c r="C1642" s="36"/>
      <c r="D1642"/>
      <c r="E1642"/>
      <c r="F1642"/>
      <c r="G1642"/>
      <c r="H1642"/>
      <c r="I1642"/>
      <c r="J1642"/>
      <c r="K1642"/>
      <c r="L1642"/>
      <c r="M1642"/>
      <c r="N1642"/>
      <c r="O1642"/>
      <c r="P1642" s="36"/>
      <c r="Q1642" s="37"/>
      <c r="R1642"/>
      <c r="S1642"/>
      <c r="T1642"/>
      <c r="U1642"/>
      <c r="V1642" s="39"/>
      <c r="W1642"/>
      <c r="X1642"/>
      <c r="Y1642"/>
      <c r="Z1642"/>
      <c r="AA1642"/>
    </row>
    <row r="1643" spans="1:27" x14ac:dyDescent="0.25">
      <c r="A1643"/>
      <c r="B1643" s="36"/>
      <c r="C1643" s="36"/>
      <c r="D1643"/>
      <c r="E1643"/>
      <c r="F1643"/>
      <c r="G1643"/>
      <c r="H1643"/>
      <c r="I1643"/>
      <c r="J1643"/>
      <c r="K1643"/>
      <c r="L1643"/>
      <c r="M1643"/>
      <c r="N1643"/>
      <c r="O1643"/>
      <c r="P1643" s="36"/>
      <c r="Q1643" s="37"/>
      <c r="R1643"/>
      <c r="S1643"/>
      <c r="T1643"/>
      <c r="U1643"/>
      <c r="V1643" s="39"/>
      <c r="W1643"/>
      <c r="X1643"/>
      <c r="Y1643"/>
      <c r="Z1643"/>
      <c r="AA1643"/>
    </row>
    <row r="1644" spans="1:27" x14ac:dyDescent="0.25">
      <c r="A1644"/>
      <c r="B1644" s="36"/>
      <c r="C1644" s="36"/>
      <c r="D1644"/>
      <c r="E1644"/>
      <c r="F1644"/>
      <c r="G1644"/>
      <c r="H1644"/>
      <c r="I1644"/>
      <c r="J1644"/>
      <c r="K1644"/>
      <c r="L1644"/>
      <c r="M1644"/>
      <c r="N1644"/>
      <c r="O1644"/>
      <c r="P1644" s="36"/>
      <c r="Q1644" s="37"/>
      <c r="R1644"/>
      <c r="S1644"/>
      <c r="T1644"/>
      <c r="U1644"/>
      <c r="V1644" s="39"/>
      <c r="W1644"/>
      <c r="X1644"/>
      <c r="Y1644"/>
      <c r="Z1644"/>
      <c r="AA1644"/>
    </row>
    <row r="1645" spans="1:27" x14ac:dyDescent="0.25">
      <c r="A1645"/>
      <c r="B1645" s="36"/>
      <c r="C1645" s="36"/>
      <c r="D1645"/>
      <c r="E1645"/>
      <c r="F1645"/>
      <c r="G1645"/>
      <c r="H1645"/>
      <c r="I1645"/>
      <c r="J1645"/>
      <c r="K1645"/>
      <c r="L1645"/>
      <c r="M1645"/>
      <c r="N1645"/>
      <c r="O1645"/>
      <c r="P1645" s="36"/>
      <c r="Q1645" s="37"/>
      <c r="R1645"/>
      <c r="S1645"/>
      <c r="T1645"/>
      <c r="U1645"/>
      <c r="V1645" s="39"/>
      <c r="W1645"/>
      <c r="X1645"/>
      <c r="Y1645"/>
      <c r="Z1645"/>
      <c r="AA1645"/>
    </row>
    <row r="1646" spans="1:27" x14ac:dyDescent="0.25">
      <c r="A1646"/>
      <c r="B1646" s="36"/>
      <c r="C1646" s="36"/>
      <c r="D1646"/>
      <c r="E1646"/>
      <c r="F1646"/>
      <c r="G1646"/>
      <c r="H1646"/>
      <c r="I1646"/>
      <c r="J1646"/>
      <c r="K1646"/>
      <c r="L1646"/>
      <c r="M1646"/>
      <c r="N1646"/>
      <c r="O1646"/>
      <c r="P1646" s="36"/>
      <c r="Q1646" s="37"/>
      <c r="R1646"/>
      <c r="S1646"/>
      <c r="T1646"/>
      <c r="U1646"/>
      <c r="V1646" s="39"/>
      <c r="W1646"/>
      <c r="X1646"/>
      <c r="Y1646"/>
      <c r="Z1646"/>
      <c r="AA1646"/>
    </row>
    <row r="1647" spans="1:27" x14ac:dyDescent="0.25">
      <c r="A1647"/>
      <c r="B1647" s="36"/>
      <c r="C1647" s="36"/>
      <c r="D1647"/>
      <c r="E1647"/>
      <c r="F1647"/>
      <c r="G1647"/>
      <c r="H1647"/>
      <c r="I1647"/>
      <c r="J1647"/>
      <c r="K1647"/>
      <c r="L1647"/>
      <c r="M1647"/>
      <c r="N1647"/>
      <c r="O1647"/>
      <c r="P1647" s="36"/>
      <c r="Q1647" s="37"/>
      <c r="R1647"/>
      <c r="S1647"/>
      <c r="T1647"/>
      <c r="U1647"/>
      <c r="V1647" s="39"/>
      <c r="W1647"/>
      <c r="X1647"/>
      <c r="Y1647"/>
      <c r="Z1647"/>
      <c r="AA1647"/>
    </row>
    <row r="1648" spans="1:27" x14ac:dyDescent="0.25">
      <c r="A1648"/>
      <c r="B1648" s="36"/>
      <c r="C1648" s="36"/>
      <c r="D1648"/>
      <c r="E1648"/>
      <c r="F1648"/>
      <c r="G1648"/>
      <c r="H1648"/>
      <c r="I1648"/>
      <c r="J1648"/>
      <c r="K1648"/>
      <c r="L1648"/>
      <c r="M1648"/>
      <c r="N1648"/>
      <c r="O1648"/>
      <c r="P1648" s="36"/>
      <c r="Q1648" s="37"/>
      <c r="R1648"/>
      <c r="S1648"/>
      <c r="T1648"/>
      <c r="U1648"/>
      <c r="V1648" s="39"/>
      <c r="W1648"/>
      <c r="X1648"/>
      <c r="Y1648"/>
      <c r="Z1648"/>
      <c r="AA1648"/>
    </row>
    <row r="1649" spans="1:27" x14ac:dyDescent="0.25">
      <c r="A1649"/>
      <c r="B1649" s="36"/>
      <c r="C1649" s="36"/>
      <c r="D1649"/>
      <c r="E1649"/>
      <c r="F1649"/>
      <c r="G1649"/>
      <c r="H1649"/>
      <c r="I1649"/>
      <c r="J1649"/>
      <c r="K1649"/>
      <c r="L1649"/>
      <c r="M1649"/>
      <c r="N1649"/>
      <c r="O1649"/>
      <c r="P1649" s="36"/>
      <c r="Q1649" s="37"/>
      <c r="R1649"/>
      <c r="S1649"/>
      <c r="T1649"/>
      <c r="U1649"/>
      <c r="V1649" s="39"/>
      <c r="W1649"/>
      <c r="X1649"/>
      <c r="Y1649"/>
      <c r="Z1649"/>
      <c r="AA1649"/>
    </row>
    <row r="1650" spans="1:27" x14ac:dyDescent="0.25">
      <c r="A1650"/>
      <c r="B1650" s="36"/>
      <c r="C1650" s="36"/>
      <c r="D1650"/>
      <c r="E1650"/>
      <c r="F1650"/>
      <c r="G1650"/>
      <c r="H1650"/>
      <c r="I1650"/>
      <c r="J1650"/>
      <c r="K1650"/>
      <c r="L1650"/>
      <c r="M1650"/>
      <c r="N1650"/>
      <c r="O1650"/>
      <c r="P1650" s="36"/>
      <c r="Q1650" s="37"/>
      <c r="R1650"/>
      <c r="S1650"/>
      <c r="T1650"/>
      <c r="U1650"/>
      <c r="V1650" s="39"/>
      <c r="W1650"/>
      <c r="X1650"/>
      <c r="Y1650"/>
      <c r="Z1650"/>
      <c r="AA1650"/>
    </row>
    <row r="1651" spans="1:27" x14ac:dyDescent="0.25">
      <c r="A1651"/>
      <c r="B1651" s="36"/>
      <c r="C1651" s="36"/>
      <c r="D1651"/>
      <c r="E1651"/>
      <c r="F1651"/>
      <c r="G1651"/>
      <c r="H1651"/>
      <c r="I1651"/>
      <c r="J1651"/>
      <c r="K1651"/>
      <c r="L1651"/>
      <c r="M1651"/>
      <c r="N1651"/>
      <c r="O1651"/>
      <c r="P1651" s="36"/>
      <c r="Q1651" s="37"/>
      <c r="R1651"/>
      <c r="S1651"/>
      <c r="T1651"/>
      <c r="U1651"/>
      <c r="V1651" s="39"/>
      <c r="W1651"/>
      <c r="X1651"/>
      <c r="Y1651"/>
      <c r="Z1651"/>
      <c r="AA1651"/>
    </row>
    <row r="1652" spans="1:27" x14ac:dyDescent="0.25">
      <c r="A1652"/>
      <c r="B1652" s="36"/>
      <c r="C1652" s="36"/>
      <c r="D1652"/>
      <c r="E1652"/>
      <c r="F1652"/>
      <c r="G1652"/>
      <c r="H1652"/>
      <c r="I1652"/>
      <c r="J1652"/>
      <c r="K1652"/>
      <c r="L1652"/>
      <c r="M1652"/>
      <c r="N1652"/>
      <c r="O1652"/>
      <c r="P1652" s="36"/>
      <c r="Q1652" s="37"/>
      <c r="R1652"/>
      <c r="S1652"/>
      <c r="T1652"/>
      <c r="U1652"/>
      <c r="V1652" s="39"/>
      <c r="W1652"/>
      <c r="X1652"/>
      <c r="Y1652"/>
      <c r="Z1652"/>
      <c r="AA1652"/>
    </row>
    <row r="1653" spans="1:27" x14ac:dyDescent="0.25">
      <c r="A1653"/>
      <c r="B1653" s="36"/>
      <c r="C1653" s="36"/>
      <c r="D1653"/>
      <c r="E1653"/>
      <c r="F1653"/>
      <c r="G1653"/>
      <c r="H1653"/>
      <c r="I1653"/>
      <c r="J1653"/>
      <c r="K1653"/>
      <c r="L1653"/>
      <c r="M1653"/>
      <c r="N1653"/>
      <c r="O1653"/>
      <c r="P1653" s="36"/>
      <c r="Q1653" s="37"/>
      <c r="R1653"/>
      <c r="S1653"/>
      <c r="T1653"/>
      <c r="U1653"/>
      <c r="V1653" s="39"/>
      <c r="W1653"/>
      <c r="X1653"/>
      <c r="Y1653"/>
      <c r="Z1653"/>
      <c r="AA1653"/>
    </row>
    <row r="1654" spans="1:27" x14ac:dyDescent="0.25">
      <c r="A1654"/>
      <c r="B1654" s="36"/>
      <c r="C1654" s="36"/>
      <c r="D1654"/>
      <c r="E1654"/>
      <c r="F1654"/>
      <c r="G1654"/>
      <c r="H1654"/>
      <c r="I1654"/>
      <c r="J1654"/>
      <c r="K1654"/>
      <c r="L1654"/>
      <c r="M1654"/>
      <c r="N1654"/>
      <c r="O1654"/>
      <c r="P1654" s="36"/>
      <c r="Q1654" s="37"/>
      <c r="R1654"/>
      <c r="S1654"/>
      <c r="T1654"/>
      <c r="U1654"/>
      <c r="V1654" s="39"/>
      <c r="W1654"/>
      <c r="X1654"/>
      <c r="Y1654"/>
      <c r="Z1654"/>
      <c r="AA1654"/>
    </row>
    <row r="1655" spans="1:27" x14ac:dyDescent="0.25">
      <c r="A1655"/>
      <c r="B1655" s="36"/>
      <c r="C1655" s="36"/>
      <c r="D1655"/>
      <c r="E1655"/>
      <c r="F1655"/>
      <c r="G1655"/>
      <c r="H1655"/>
      <c r="I1655"/>
      <c r="J1655"/>
      <c r="K1655"/>
      <c r="L1655"/>
      <c r="M1655"/>
      <c r="N1655"/>
      <c r="O1655"/>
      <c r="P1655" s="36"/>
      <c r="Q1655" s="37"/>
      <c r="R1655"/>
      <c r="S1655"/>
      <c r="T1655"/>
      <c r="U1655"/>
      <c r="V1655" s="39"/>
      <c r="W1655"/>
      <c r="X1655"/>
      <c r="Y1655"/>
      <c r="Z1655"/>
      <c r="AA1655"/>
    </row>
    <row r="1656" spans="1:27" x14ac:dyDescent="0.25">
      <c r="A1656"/>
      <c r="B1656" s="36"/>
      <c r="C1656" s="36"/>
      <c r="D1656"/>
      <c r="E1656"/>
      <c r="F1656"/>
      <c r="G1656"/>
      <c r="H1656"/>
      <c r="I1656"/>
      <c r="J1656"/>
      <c r="K1656"/>
      <c r="L1656"/>
      <c r="M1656"/>
      <c r="N1656"/>
      <c r="O1656"/>
      <c r="P1656" s="36"/>
      <c r="Q1656" s="37"/>
      <c r="R1656"/>
      <c r="S1656"/>
      <c r="T1656"/>
      <c r="U1656"/>
      <c r="V1656" s="39"/>
      <c r="W1656"/>
      <c r="X1656"/>
      <c r="Y1656"/>
      <c r="Z1656"/>
      <c r="AA1656"/>
    </row>
    <row r="1657" spans="1:27" x14ac:dyDescent="0.25">
      <c r="A1657"/>
      <c r="B1657" s="36"/>
      <c r="C1657" s="36"/>
      <c r="D1657"/>
      <c r="E1657"/>
      <c r="F1657"/>
      <c r="G1657"/>
      <c r="H1657"/>
      <c r="I1657"/>
      <c r="J1657"/>
      <c r="K1657"/>
      <c r="L1657"/>
      <c r="M1657"/>
      <c r="N1657"/>
      <c r="O1657"/>
      <c r="P1657" s="36"/>
      <c r="Q1657" s="37"/>
      <c r="R1657"/>
      <c r="S1657"/>
      <c r="T1657"/>
      <c r="U1657"/>
      <c r="V1657" s="39"/>
      <c r="W1657"/>
      <c r="X1657"/>
      <c r="Y1657"/>
      <c r="Z1657"/>
      <c r="AA1657"/>
    </row>
    <row r="1658" spans="1:27" x14ac:dyDescent="0.25">
      <c r="A1658"/>
      <c r="B1658" s="36"/>
      <c r="C1658" s="36"/>
      <c r="D1658"/>
      <c r="E1658"/>
      <c r="F1658"/>
      <c r="G1658"/>
      <c r="H1658"/>
      <c r="I1658"/>
      <c r="J1658"/>
      <c r="K1658"/>
      <c r="L1658"/>
      <c r="M1658"/>
      <c r="N1658"/>
      <c r="O1658"/>
      <c r="P1658" s="36"/>
      <c r="Q1658" s="37"/>
      <c r="R1658"/>
      <c r="S1658"/>
      <c r="T1658"/>
      <c r="U1658"/>
      <c r="V1658" s="39"/>
      <c r="W1658"/>
      <c r="X1658"/>
      <c r="Y1658"/>
      <c r="Z1658"/>
      <c r="AA1658"/>
    </row>
    <row r="1659" spans="1:27" x14ac:dyDescent="0.25">
      <c r="A1659"/>
      <c r="B1659" s="36"/>
      <c r="C1659" s="36"/>
      <c r="D1659"/>
      <c r="E1659"/>
      <c r="F1659"/>
      <c r="G1659"/>
      <c r="H1659"/>
      <c r="I1659"/>
      <c r="J1659"/>
      <c r="K1659"/>
      <c r="L1659"/>
      <c r="M1659"/>
      <c r="N1659"/>
      <c r="O1659"/>
      <c r="P1659" s="36"/>
      <c r="Q1659" s="37"/>
      <c r="R1659"/>
      <c r="S1659"/>
      <c r="T1659"/>
      <c r="U1659"/>
      <c r="V1659" s="39"/>
      <c r="W1659"/>
      <c r="X1659"/>
      <c r="Y1659"/>
      <c r="Z1659"/>
      <c r="AA1659"/>
    </row>
    <row r="1660" spans="1:27" x14ac:dyDescent="0.25">
      <c r="A1660"/>
      <c r="B1660" s="36"/>
      <c r="C1660" s="36"/>
      <c r="D1660"/>
      <c r="E1660"/>
      <c r="F1660"/>
      <c r="G1660"/>
      <c r="H1660"/>
      <c r="I1660"/>
      <c r="J1660"/>
      <c r="K1660"/>
      <c r="L1660"/>
      <c r="M1660"/>
      <c r="N1660"/>
      <c r="O1660"/>
      <c r="P1660" s="36"/>
      <c r="Q1660" s="37"/>
      <c r="R1660"/>
      <c r="S1660"/>
      <c r="T1660"/>
      <c r="U1660"/>
      <c r="V1660" s="39"/>
      <c r="W1660"/>
      <c r="X1660"/>
      <c r="Y1660"/>
      <c r="Z1660"/>
      <c r="AA1660"/>
    </row>
    <row r="1661" spans="1:27" x14ac:dyDescent="0.25">
      <c r="A1661"/>
      <c r="B1661" s="36"/>
      <c r="C1661" s="36"/>
      <c r="D1661"/>
      <c r="E1661"/>
      <c r="F1661"/>
      <c r="G1661"/>
      <c r="H1661"/>
      <c r="I1661"/>
      <c r="J1661"/>
      <c r="K1661"/>
      <c r="L1661"/>
      <c r="M1661"/>
      <c r="N1661"/>
      <c r="O1661"/>
      <c r="P1661" s="36"/>
      <c r="Q1661" s="37"/>
      <c r="R1661"/>
      <c r="S1661"/>
      <c r="T1661"/>
      <c r="U1661"/>
      <c r="V1661" s="39"/>
      <c r="W1661"/>
      <c r="X1661"/>
      <c r="Y1661"/>
      <c r="Z1661"/>
      <c r="AA1661"/>
    </row>
    <row r="1662" spans="1:27" x14ac:dyDescent="0.25">
      <c r="A1662"/>
      <c r="B1662" s="36"/>
      <c r="C1662" s="36"/>
      <c r="D1662"/>
      <c r="E1662"/>
      <c r="F1662"/>
      <c r="G1662"/>
      <c r="H1662"/>
      <c r="I1662"/>
      <c r="J1662"/>
      <c r="K1662"/>
      <c r="L1662"/>
      <c r="M1662"/>
      <c r="N1662"/>
      <c r="O1662"/>
      <c r="P1662" s="36"/>
      <c r="Q1662" s="37"/>
      <c r="R1662"/>
      <c r="S1662"/>
      <c r="T1662"/>
      <c r="U1662"/>
      <c r="V1662" s="39"/>
      <c r="W1662"/>
      <c r="X1662"/>
      <c r="Y1662"/>
      <c r="Z1662"/>
      <c r="AA1662"/>
    </row>
    <row r="1663" spans="1:27" x14ac:dyDescent="0.25">
      <c r="A1663"/>
      <c r="B1663" s="36"/>
      <c r="C1663" s="36"/>
      <c r="D1663"/>
      <c r="E1663"/>
      <c r="F1663"/>
      <c r="G1663"/>
      <c r="H1663"/>
      <c r="I1663"/>
      <c r="J1663"/>
      <c r="K1663"/>
      <c r="L1663"/>
      <c r="M1663"/>
      <c r="N1663"/>
      <c r="O1663"/>
      <c r="P1663" s="36"/>
      <c r="Q1663" s="37"/>
      <c r="R1663"/>
      <c r="S1663"/>
      <c r="T1663"/>
      <c r="U1663"/>
      <c r="V1663" s="39"/>
      <c r="W1663"/>
      <c r="X1663"/>
      <c r="Y1663"/>
      <c r="Z1663"/>
      <c r="AA1663"/>
    </row>
    <row r="1664" spans="1:27" x14ac:dyDescent="0.25">
      <c r="A1664"/>
      <c r="B1664" s="36"/>
      <c r="C1664" s="36"/>
      <c r="D1664"/>
      <c r="E1664"/>
      <c r="F1664"/>
      <c r="G1664"/>
      <c r="H1664"/>
      <c r="I1664"/>
      <c r="J1664"/>
      <c r="K1664"/>
      <c r="L1664"/>
      <c r="M1664"/>
      <c r="N1664"/>
      <c r="O1664"/>
      <c r="P1664" s="36"/>
      <c r="Q1664" s="37"/>
      <c r="R1664"/>
      <c r="S1664"/>
      <c r="T1664"/>
      <c r="U1664"/>
      <c r="V1664" s="39"/>
      <c r="W1664"/>
      <c r="X1664"/>
      <c r="Y1664"/>
      <c r="Z1664"/>
      <c r="AA1664"/>
    </row>
    <row r="1665" spans="1:27" x14ac:dyDescent="0.25">
      <c r="A1665"/>
      <c r="B1665" s="36"/>
      <c r="C1665" s="36"/>
      <c r="D1665"/>
      <c r="E1665"/>
      <c r="F1665"/>
      <c r="G1665"/>
      <c r="H1665"/>
      <c r="I1665"/>
      <c r="J1665"/>
      <c r="K1665"/>
      <c r="L1665"/>
      <c r="M1665"/>
      <c r="N1665"/>
      <c r="O1665"/>
      <c r="P1665" s="36"/>
      <c r="Q1665" s="37"/>
      <c r="R1665"/>
      <c r="S1665"/>
      <c r="T1665"/>
      <c r="U1665"/>
      <c r="V1665" s="39"/>
      <c r="W1665"/>
      <c r="X1665"/>
      <c r="Y1665"/>
      <c r="Z1665"/>
      <c r="AA1665"/>
    </row>
    <row r="1666" spans="1:27" x14ac:dyDescent="0.25">
      <c r="A1666"/>
      <c r="B1666" s="36"/>
      <c r="C1666" s="36"/>
      <c r="D1666"/>
      <c r="E1666"/>
      <c r="F1666"/>
      <c r="G1666"/>
      <c r="H1666"/>
      <c r="I1666"/>
      <c r="J1666"/>
      <c r="K1666"/>
      <c r="L1666"/>
      <c r="M1666"/>
      <c r="N1666"/>
      <c r="O1666"/>
      <c r="P1666" s="36"/>
      <c r="Q1666" s="37"/>
      <c r="R1666"/>
      <c r="S1666"/>
      <c r="T1666"/>
      <c r="U1666"/>
      <c r="V1666" s="39"/>
      <c r="W1666"/>
      <c r="X1666"/>
      <c r="Y1666"/>
      <c r="Z1666"/>
      <c r="AA1666"/>
    </row>
    <row r="1667" spans="1:27" x14ac:dyDescent="0.25">
      <c r="A1667"/>
      <c r="B1667" s="36"/>
      <c r="C1667" s="36"/>
      <c r="D1667"/>
      <c r="E1667"/>
      <c r="F1667"/>
      <c r="G1667"/>
      <c r="H1667"/>
      <c r="I1667"/>
      <c r="J1667"/>
      <c r="K1667"/>
      <c r="L1667"/>
      <c r="M1667"/>
      <c r="N1667"/>
      <c r="O1667"/>
      <c r="P1667" s="36"/>
      <c r="Q1667" s="37"/>
      <c r="R1667"/>
      <c r="S1667"/>
      <c r="T1667"/>
      <c r="U1667"/>
      <c r="V1667" s="39"/>
      <c r="W1667"/>
      <c r="X1667"/>
      <c r="Y1667"/>
      <c r="Z1667"/>
      <c r="AA1667"/>
    </row>
    <row r="1668" spans="1:27" x14ac:dyDescent="0.25">
      <c r="A1668"/>
      <c r="B1668" s="36"/>
      <c r="C1668" s="36"/>
      <c r="D1668"/>
      <c r="E1668"/>
      <c r="F1668"/>
      <c r="G1668"/>
      <c r="H1668"/>
      <c r="I1668"/>
      <c r="J1668"/>
      <c r="K1668"/>
      <c r="L1668"/>
      <c r="M1668"/>
      <c r="N1668"/>
      <c r="O1668"/>
      <c r="P1668" s="36"/>
      <c r="Q1668" s="37"/>
      <c r="R1668"/>
      <c r="S1668"/>
      <c r="T1668"/>
      <c r="U1668"/>
      <c r="V1668" s="39"/>
      <c r="W1668"/>
      <c r="X1668"/>
      <c r="Y1668"/>
      <c r="Z1668"/>
      <c r="AA1668"/>
    </row>
    <row r="1669" spans="1:27" x14ac:dyDescent="0.25">
      <c r="A1669"/>
      <c r="B1669" s="36"/>
      <c r="C1669" s="36"/>
      <c r="D1669"/>
      <c r="E1669"/>
      <c r="F1669"/>
      <c r="G1669"/>
      <c r="H1669"/>
      <c r="I1669"/>
      <c r="J1669"/>
      <c r="K1669"/>
      <c r="L1669"/>
      <c r="M1669"/>
      <c r="N1669"/>
      <c r="O1669"/>
      <c r="P1669" s="36"/>
      <c r="Q1669" s="37"/>
      <c r="R1669"/>
      <c r="S1669"/>
      <c r="T1669"/>
      <c r="U1669"/>
      <c r="V1669" s="39"/>
      <c r="W1669"/>
      <c r="X1669"/>
      <c r="Y1669"/>
      <c r="Z1669"/>
      <c r="AA1669"/>
    </row>
    <row r="1670" spans="1:27" x14ac:dyDescent="0.25">
      <c r="A1670"/>
      <c r="B1670" s="36"/>
      <c r="C1670" s="36"/>
      <c r="D1670"/>
      <c r="E1670"/>
      <c r="F1670"/>
      <c r="G1670"/>
      <c r="H1670"/>
      <c r="I1670"/>
      <c r="J1670"/>
      <c r="K1670"/>
      <c r="L1670"/>
      <c r="M1670"/>
      <c r="N1670"/>
      <c r="O1670"/>
      <c r="P1670" s="36"/>
      <c r="Q1670" s="37"/>
      <c r="R1670"/>
      <c r="S1670"/>
      <c r="T1670"/>
      <c r="U1670"/>
      <c r="V1670" s="39"/>
      <c r="W1670"/>
      <c r="X1670"/>
      <c r="Y1670"/>
      <c r="Z1670"/>
      <c r="AA1670"/>
    </row>
    <row r="1671" spans="1:27" x14ac:dyDescent="0.25">
      <c r="A1671"/>
      <c r="B1671" s="36"/>
      <c r="C1671" s="36"/>
      <c r="D1671"/>
      <c r="E1671"/>
      <c r="F1671"/>
      <c r="G1671"/>
      <c r="H1671"/>
      <c r="I1671"/>
      <c r="J1671"/>
      <c r="K1671"/>
      <c r="L1671"/>
      <c r="M1671"/>
      <c r="N1671"/>
      <c r="O1671"/>
      <c r="P1671" s="36"/>
      <c r="Q1671" s="37"/>
      <c r="R1671" s="44"/>
      <c r="S1671"/>
      <c r="T1671"/>
      <c r="U1671"/>
      <c r="V1671" s="39"/>
      <c r="W1671"/>
      <c r="X1671"/>
      <c r="Y1671"/>
      <c r="Z1671"/>
      <c r="AA1671"/>
    </row>
    <row r="1672" spans="1:27" x14ac:dyDescent="0.25">
      <c r="A1672"/>
      <c r="B1672" s="36"/>
      <c r="C1672" s="36"/>
      <c r="D1672"/>
      <c r="E1672"/>
      <c r="F1672"/>
      <c r="G1672"/>
      <c r="H1672"/>
      <c r="I1672"/>
      <c r="J1672"/>
      <c r="K1672"/>
      <c r="L1672"/>
      <c r="M1672"/>
      <c r="N1672"/>
      <c r="O1672"/>
      <c r="P1672" s="36"/>
      <c r="Q1672" s="37"/>
      <c r="R1672"/>
      <c r="S1672"/>
      <c r="T1672"/>
      <c r="U1672"/>
      <c r="V1672" s="39"/>
      <c r="W1672"/>
      <c r="X1672"/>
      <c r="Y1672"/>
      <c r="Z1672"/>
      <c r="AA1672"/>
    </row>
    <row r="1673" spans="1:27" x14ac:dyDescent="0.25">
      <c r="A1673"/>
      <c r="B1673" s="36"/>
      <c r="C1673" s="36"/>
      <c r="D1673"/>
      <c r="E1673"/>
      <c r="F1673"/>
      <c r="G1673"/>
      <c r="H1673"/>
      <c r="I1673"/>
      <c r="J1673"/>
      <c r="K1673"/>
      <c r="L1673"/>
      <c r="M1673"/>
      <c r="N1673"/>
      <c r="O1673"/>
      <c r="P1673" s="36"/>
      <c r="Q1673" s="37"/>
      <c r="R1673"/>
      <c r="S1673"/>
      <c r="T1673"/>
      <c r="U1673"/>
      <c r="V1673" s="39"/>
      <c r="W1673"/>
      <c r="X1673"/>
      <c r="Y1673"/>
      <c r="Z1673"/>
      <c r="AA1673"/>
    </row>
    <row r="1674" spans="1:27" x14ac:dyDescent="0.25">
      <c r="A1674"/>
      <c r="B1674" s="36"/>
      <c r="C1674" s="36"/>
      <c r="D1674"/>
      <c r="E1674"/>
      <c r="F1674"/>
      <c r="G1674"/>
      <c r="H1674"/>
      <c r="I1674"/>
      <c r="J1674"/>
      <c r="K1674"/>
      <c r="L1674"/>
      <c r="M1674"/>
      <c r="N1674"/>
      <c r="O1674"/>
      <c r="P1674" s="36"/>
      <c r="Q1674" s="37"/>
      <c r="R1674"/>
      <c r="S1674"/>
      <c r="T1674"/>
      <c r="U1674"/>
      <c r="V1674" s="39"/>
      <c r="W1674"/>
      <c r="X1674"/>
      <c r="Y1674"/>
      <c r="Z1674"/>
      <c r="AA1674"/>
    </row>
    <row r="1675" spans="1:27" x14ac:dyDescent="0.25">
      <c r="A1675"/>
      <c r="B1675" s="36"/>
      <c r="C1675" s="36"/>
      <c r="D1675"/>
      <c r="E1675"/>
      <c r="F1675"/>
      <c r="G1675"/>
      <c r="H1675"/>
      <c r="I1675"/>
      <c r="J1675"/>
      <c r="K1675"/>
      <c r="L1675"/>
      <c r="M1675"/>
      <c r="N1675"/>
      <c r="O1675"/>
      <c r="P1675" s="36"/>
      <c r="Q1675" s="37"/>
      <c r="R1675"/>
      <c r="S1675"/>
      <c r="T1675"/>
      <c r="U1675"/>
      <c r="V1675" s="39"/>
      <c r="W1675"/>
      <c r="X1675"/>
      <c r="Y1675"/>
      <c r="Z1675"/>
      <c r="AA1675"/>
    </row>
    <row r="1676" spans="1:27" x14ac:dyDescent="0.25">
      <c r="A1676"/>
      <c r="B1676" s="36"/>
      <c r="C1676" s="36"/>
      <c r="D1676"/>
      <c r="E1676"/>
      <c r="F1676"/>
      <c r="G1676"/>
      <c r="H1676"/>
      <c r="I1676"/>
      <c r="J1676"/>
      <c r="K1676"/>
      <c r="L1676"/>
      <c r="M1676"/>
      <c r="N1676"/>
      <c r="O1676"/>
      <c r="P1676" s="36"/>
      <c r="Q1676" s="37"/>
      <c r="R1676"/>
      <c r="S1676"/>
      <c r="T1676"/>
      <c r="U1676"/>
      <c r="V1676" s="39"/>
      <c r="W1676"/>
      <c r="X1676"/>
      <c r="Y1676"/>
      <c r="Z1676"/>
      <c r="AA1676"/>
    </row>
    <row r="1677" spans="1:27" x14ac:dyDescent="0.25">
      <c r="A1677"/>
      <c r="B1677" s="36"/>
      <c r="C1677" s="36"/>
      <c r="D1677"/>
      <c r="E1677"/>
      <c r="F1677"/>
      <c r="G1677"/>
      <c r="H1677"/>
      <c r="I1677"/>
      <c r="J1677"/>
      <c r="K1677"/>
      <c r="L1677"/>
      <c r="M1677"/>
      <c r="N1677"/>
      <c r="O1677"/>
      <c r="P1677" s="36"/>
      <c r="Q1677" s="37"/>
      <c r="R1677"/>
      <c r="S1677"/>
      <c r="T1677"/>
      <c r="U1677"/>
      <c r="V1677" s="39"/>
      <c r="W1677"/>
      <c r="X1677"/>
      <c r="Y1677"/>
      <c r="Z1677"/>
      <c r="AA1677"/>
    </row>
    <row r="1678" spans="1:27" x14ac:dyDescent="0.25">
      <c r="A1678"/>
      <c r="B1678" s="36"/>
      <c r="C1678" s="36"/>
      <c r="D1678"/>
      <c r="E1678"/>
      <c r="F1678"/>
      <c r="G1678"/>
      <c r="H1678"/>
      <c r="I1678"/>
      <c r="J1678"/>
      <c r="K1678"/>
      <c r="L1678"/>
      <c r="M1678"/>
      <c r="N1678"/>
      <c r="O1678"/>
      <c r="P1678" s="36"/>
      <c r="Q1678" s="37"/>
      <c r="R1678"/>
      <c r="S1678"/>
      <c r="T1678"/>
      <c r="U1678"/>
      <c r="V1678" s="39"/>
      <c r="W1678"/>
      <c r="X1678"/>
      <c r="Y1678"/>
      <c r="Z1678"/>
      <c r="AA1678"/>
    </row>
    <row r="1679" spans="1:27" x14ac:dyDescent="0.25">
      <c r="A1679"/>
      <c r="B1679" s="36"/>
      <c r="C1679" s="36"/>
      <c r="D1679"/>
      <c r="E1679"/>
      <c r="F1679"/>
      <c r="G1679"/>
      <c r="H1679"/>
      <c r="I1679"/>
      <c r="J1679"/>
      <c r="K1679"/>
      <c r="L1679"/>
      <c r="M1679"/>
      <c r="N1679"/>
      <c r="O1679"/>
      <c r="P1679" s="36"/>
      <c r="Q1679" s="37"/>
      <c r="R1679"/>
      <c r="S1679"/>
      <c r="T1679"/>
      <c r="U1679"/>
      <c r="V1679" s="39"/>
      <c r="W1679"/>
      <c r="X1679"/>
      <c r="Y1679"/>
      <c r="Z1679"/>
      <c r="AA1679"/>
    </row>
    <row r="1680" spans="1:27" x14ac:dyDescent="0.25">
      <c r="A1680"/>
      <c r="B1680" s="36"/>
      <c r="C1680" s="36"/>
      <c r="D1680"/>
      <c r="E1680"/>
      <c r="F1680"/>
      <c r="G1680"/>
      <c r="H1680"/>
      <c r="I1680"/>
      <c r="J1680"/>
      <c r="K1680"/>
      <c r="L1680"/>
      <c r="M1680"/>
      <c r="N1680"/>
      <c r="O1680"/>
      <c r="P1680" s="36"/>
      <c r="Q1680" s="37"/>
      <c r="R1680"/>
      <c r="S1680"/>
      <c r="T1680"/>
      <c r="U1680"/>
      <c r="V1680" s="39"/>
      <c r="W1680"/>
      <c r="X1680"/>
      <c r="Y1680"/>
      <c r="Z1680"/>
      <c r="AA1680"/>
    </row>
    <row r="1681" spans="1:27" x14ac:dyDescent="0.25">
      <c r="A1681"/>
      <c r="B1681" s="36"/>
      <c r="C1681" s="36"/>
      <c r="D1681"/>
      <c r="E1681"/>
      <c r="F1681"/>
      <c r="G1681"/>
      <c r="H1681"/>
      <c r="I1681"/>
      <c r="J1681"/>
      <c r="K1681"/>
      <c r="L1681"/>
      <c r="M1681"/>
      <c r="N1681"/>
      <c r="O1681"/>
      <c r="P1681" s="36"/>
      <c r="Q1681" s="37"/>
      <c r="R1681"/>
      <c r="S1681"/>
      <c r="T1681"/>
      <c r="U1681"/>
      <c r="V1681" s="39"/>
      <c r="W1681"/>
      <c r="X1681"/>
      <c r="Y1681"/>
      <c r="Z1681"/>
      <c r="AA1681"/>
    </row>
    <row r="1682" spans="1:27" x14ac:dyDescent="0.25">
      <c r="A1682"/>
      <c r="B1682" s="36"/>
      <c r="C1682" s="36"/>
      <c r="D1682"/>
      <c r="E1682"/>
      <c r="F1682"/>
      <c r="G1682"/>
      <c r="H1682"/>
      <c r="I1682"/>
      <c r="J1682"/>
      <c r="K1682"/>
      <c r="L1682"/>
      <c r="M1682"/>
      <c r="N1682"/>
      <c r="O1682"/>
      <c r="P1682" s="36"/>
      <c r="Q1682" s="37"/>
      <c r="R1682"/>
      <c r="S1682"/>
      <c r="T1682"/>
      <c r="U1682"/>
      <c r="V1682" s="39"/>
      <c r="W1682"/>
      <c r="X1682"/>
      <c r="Y1682"/>
      <c r="Z1682"/>
      <c r="AA1682"/>
    </row>
    <row r="1683" spans="1:27" x14ac:dyDescent="0.25">
      <c r="A1683"/>
      <c r="B1683" s="36"/>
      <c r="C1683" s="36"/>
      <c r="D1683"/>
      <c r="E1683"/>
      <c r="F1683"/>
      <c r="G1683"/>
      <c r="H1683"/>
      <c r="I1683"/>
      <c r="J1683"/>
      <c r="K1683"/>
      <c r="L1683"/>
      <c r="M1683"/>
      <c r="N1683"/>
      <c r="O1683"/>
      <c r="P1683" s="36"/>
      <c r="Q1683" s="37"/>
      <c r="R1683"/>
      <c r="S1683"/>
      <c r="T1683"/>
      <c r="U1683"/>
      <c r="V1683" s="39"/>
      <c r="W1683"/>
      <c r="X1683"/>
      <c r="Y1683"/>
      <c r="Z1683"/>
      <c r="AA1683"/>
    </row>
    <row r="1684" spans="1:27" x14ac:dyDescent="0.25">
      <c r="A1684"/>
      <c r="B1684" s="36"/>
      <c r="C1684" s="36"/>
      <c r="D1684"/>
      <c r="E1684"/>
      <c r="F1684"/>
      <c r="G1684"/>
      <c r="H1684"/>
      <c r="I1684"/>
      <c r="J1684"/>
      <c r="K1684"/>
      <c r="L1684"/>
      <c r="M1684"/>
      <c r="N1684"/>
      <c r="O1684"/>
      <c r="P1684" s="36"/>
      <c r="Q1684" s="37"/>
      <c r="R1684"/>
      <c r="S1684"/>
      <c r="T1684"/>
      <c r="U1684"/>
      <c r="V1684" s="39"/>
      <c r="W1684"/>
      <c r="X1684"/>
      <c r="Y1684"/>
      <c r="Z1684"/>
      <c r="AA1684"/>
    </row>
    <row r="1685" spans="1:27" x14ac:dyDescent="0.25">
      <c r="A1685"/>
      <c r="B1685" s="36"/>
      <c r="C1685" s="36"/>
      <c r="D1685"/>
      <c r="E1685"/>
      <c r="F1685"/>
      <c r="G1685"/>
      <c r="H1685"/>
      <c r="I1685"/>
      <c r="J1685"/>
      <c r="K1685"/>
      <c r="L1685"/>
      <c r="M1685"/>
      <c r="N1685"/>
      <c r="O1685"/>
      <c r="P1685" s="36"/>
      <c r="Q1685" s="37"/>
      <c r="R1685"/>
      <c r="S1685"/>
      <c r="T1685"/>
      <c r="U1685"/>
      <c r="V1685" s="39"/>
      <c r="W1685"/>
      <c r="X1685"/>
      <c r="Y1685"/>
      <c r="Z1685"/>
      <c r="AA1685"/>
    </row>
    <row r="1686" spans="1:27" x14ac:dyDescent="0.25">
      <c r="A1686"/>
      <c r="B1686" s="36"/>
      <c r="C1686" s="36"/>
      <c r="D1686"/>
      <c r="E1686"/>
      <c r="F1686"/>
      <c r="G1686"/>
      <c r="H1686"/>
      <c r="I1686"/>
      <c r="J1686"/>
      <c r="K1686"/>
      <c r="L1686"/>
      <c r="M1686"/>
      <c r="N1686"/>
      <c r="O1686"/>
      <c r="P1686" s="36"/>
      <c r="Q1686" s="37"/>
      <c r="R1686"/>
      <c r="S1686"/>
      <c r="T1686"/>
      <c r="U1686"/>
      <c r="V1686" s="39"/>
      <c r="W1686"/>
      <c r="X1686"/>
      <c r="Y1686"/>
      <c r="Z1686"/>
      <c r="AA1686"/>
    </row>
    <row r="1687" spans="1:27" x14ac:dyDescent="0.25">
      <c r="A1687"/>
      <c r="B1687" s="36"/>
      <c r="C1687" s="36"/>
      <c r="D1687"/>
      <c r="E1687"/>
      <c r="F1687"/>
      <c r="G1687"/>
      <c r="H1687"/>
      <c r="I1687"/>
      <c r="J1687"/>
      <c r="K1687"/>
      <c r="L1687"/>
      <c r="M1687"/>
      <c r="N1687"/>
      <c r="O1687"/>
      <c r="P1687" s="36"/>
      <c r="Q1687" s="37"/>
      <c r="R1687"/>
      <c r="S1687"/>
      <c r="T1687"/>
      <c r="U1687"/>
      <c r="V1687" s="39"/>
      <c r="W1687"/>
      <c r="X1687"/>
      <c r="Y1687"/>
      <c r="Z1687"/>
      <c r="AA1687"/>
    </row>
    <row r="1688" spans="1:27" x14ac:dyDescent="0.25">
      <c r="A1688"/>
      <c r="B1688" s="36"/>
      <c r="C1688" s="36"/>
      <c r="D1688"/>
      <c r="E1688"/>
      <c r="F1688"/>
      <c r="G1688"/>
      <c r="H1688"/>
      <c r="I1688"/>
      <c r="J1688"/>
      <c r="K1688"/>
      <c r="L1688"/>
      <c r="M1688"/>
      <c r="N1688"/>
      <c r="O1688"/>
      <c r="P1688" s="36"/>
      <c r="Q1688" s="37"/>
      <c r="R1688"/>
      <c r="S1688"/>
      <c r="T1688"/>
      <c r="U1688"/>
      <c r="V1688" s="39"/>
      <c r="W1688"/>
      <c r="X1688"/>
      <c r="Y1688"/>
      <c r="Z1688"/>
      <c r="AA1688"/>
    </row>
    <row r="1689" spans="1:27" x14ac:dyDescent="0.25">
      <c r="A1689"/>
      <c r="B1689" s="36"/>
      <c r="C1689" s="36"/>
      <c r="D1689"/>
      <c r="E1689"/>
      <c r="F1689"/>
      <c r="G1689"/>
      <c r="H1689"/>
      <c r="I1689"/>
      <c r="J1689"/>
      <c r="K1689"/>
      <c r="L1689"/>
      <c r="M1689"/>
      <c r="N1689"/>
      <c r="O1689"/>
      <c r="P1689" s="36"/>
      <c r="Q1689" s="37"/>
      <c r="R1689"/>
      <c r="S1689"/>
      <c r="T1689"/>
      <c r="U1689"/>
      <c r="V1689" s="39"/>
      <c r="W1689"/>
      <c r="X1689"/>
      <c r="Y1689"/>
      <c r="Z1689"/>
      <c r="AA1689"/>
    </row>
    <row r="1690" spans="1:27" x14ac:dyDescent="0.25">
      <c r="A1690" s="42"/>
      <c r="B1690" s="43"/>
      <c r="C1690" s="43"/>
      <c r="D1690" s="42"/>
      <c r="E1690" s="42"/>
      <c r="F1690" s="42"/>
      <c r="G1690" s="42"/>
      <c r="H1690" s="42"/>
      <c r="I1690" s="42"/>
      <c r="J1690" s="42"/>
      <c r="K1690" s="42"/>
      <c r="L1690" s="42"/>
      <c r="M1690" s="42"/>
      <c r="N1690" s="42"/>
      <c r="O1690" s="42"/>
      <c r="P1690" s="43"/>
      <c r="Q1690" s="37"/>
      <c r="R1690" s="42"/>
      <c r="S1690" s="42"/>
      <c r="T1690" s="42"/>
      <c r="U1690" s="42"/>
      <c r="V1690" s="39"/>
      <c r="W1690" s="42"/>
      <c r="X1690" s="42"/>
      <c r="Y1690" s="42"/>
      <c r="Z1690" s="42"/>
      <c r="AA1690" s="42"/>
    </row>
    <row r="1691" spans="1:27" x14ac:dyDescent="0.25">
      <c r="A1691"/>
      <c r="B1691" s="36"/>
      <c r="C1691" s="36"/>
      <c r="D1691"/>
      <c r="E1691"/>
      <c r="F1691"/>
      <c r="G1691"/>
      <c r="H1691"/>
      <c r="I1691"/>
      <c r="J1691"/>
      <c r="K1691"/>
      <c r="L1691"/>
      <c r="M1691"/>
      <c r="N1691"/>
      <c r="O1691"/>
      <c r="P1691" s="36"/>
      <c r="Q1691" s="37"/>
      <c r="R1691"/>
      <c r="S1691"/>
      <c r="T1691"/>
      <c r="U1691"/>
      <c r="V1691" s="39"/>
      <c r="W1691"/>
      <c r="X1691"/>
      <c r="Y1691"/>
      <c r="Z1691"/>
      <c r="AA1691"/>
    </row>
    <row r="1692" spans="1:27" x14ac:dyDescent="0.25">
      <c r="A1692"/>
      <c r="B1692" s="36"/>
      <c r="C1692" s="36"/>
      <c r="D1692"/>
      <c r="E1692"/>
      <c r="F1692"/>
      <c r="G1692"/>
      <c r="H1692"/>
      <c r="I1692"/>
      <c r="J1692"/>
      <c r="K1692"/>
      <c r="L1692"/>
      <c r="M1692"/>
      <c r="N1692"/>
      <c r="O1692"/>
      <c r="P1692" s="36"/>
      <c r="Q1692" s="37"/>
      <c r="R1692"/>
      <c r="S1692"/>
      <c r="T1692"/>
      <c r="U1692"/>
      <c r="V1692" s="39"/>
      <c r="W1692"/>
      <c r="X1692"/>
      <c r="Y1692"/>
      <c r="Z1692"/>
      <c r="AA1692"/>
    </row>
    <row r="1693" spans="1:27" x14ac:dyDescent="0.25">
      <c r="A1693"/>
      <c r="B1693" s="36"/>
      <c r="C1693" s="36"/>
      <c r="D1693"/>
      <c r="E1693"/>
      <c r="F1693"/>
      <c r="G1693"/>
      <c r="H1693"/>
      <c r="I1693"/>
      <c r="J1693"/>
      <c r="K1693"/>
      <c r="L1693"/>
      <c r="M1693"/>
      <c r="N1693"/>
      <c r="O1693"/>
      <c r="P1693" s="36"/>
      <c r="Q1693" s="37"/>
      <c r="R1693"/>
      <c r="S1693"/>
      <c r="T1693"/>
      <c r="U1693"/>
      <c r="V1693" s="39"/>
      <c r="W1693"/>
      <c r="X1693"/>
      <c r="Y1693"/>
      <c r="Z1693"/>
      <c r="AA1693"/>
    </row>
    <row r="1694" spans="1:27" x14ac:dyDescent="0.25">
      <c r="A1694"/>
      <c r="B1694" s="36"/>
      <c r="C1694" s="36"/>
      <c r="D1694"/>
      <c r="E1694"/>
      <c r="F1694"/>
      <c r="G1694"/>
      <c r="H1694"/>
      <c r="I1694"/>
      <c r="J1694"/>
      <c r="K1694"/>
      <c r="L1694"/>
      <c r="M1694"/>
      <c r="N1694"/>
      <c r="O1694"/>
      <c r="P1694" s="36"/>
      <c r="Q1694" s="37"/>
      <c r="R1694"/>
      <c r="S1694"/>
      <c r="T1694"/>
      <c r="U1694"/>
      <c r="V1694" s="39"/>
      <c r="W1694"/>
      <c r="X1694"/>
      <c r="Y1694"/>
      <c r="Z1694"/>
      <c r="AA1694"/>
    </row>
    <row r="1695" spans="1:27" x14ac:dyDescent="0.25">
      <c r="A1695"/>
      <c r="B1695" s="36"/>
      <c r="C1695" s="36"/>
      <c r="D1695"/>
      <c r="E1695"/>
      <c r="F1695"/>
      <c r="G1695"/>
      <c r="H1695"/>
      <c r="I1695"/>
      <c r="J1695"/>
      <c r="K1695"/>
      <c r="L1695"/>
      <c r="M1695"/>
      <c r="N1695"/>
      <c r="O1695"/>
      <c r="P1695" s="36"/>
      <c r="Q1695" s="37"/>
      <c r="R1695"/>
      <c r="S1695"/>
      <c r="T1695"/>
      <c r="U1695"/>
      <c r="V1695" s="39"/>
      <c r="W1695"/>
      <c r="X1695"/>
      <c r="Y1695"/>
      <c r="Z1695"/>
      <c r="AA1695"/>
    </row>
    <row r="1696" spans="1:27" x14ac:dyDescent="0.25">
      <c r="A1696"/>
      <c r="B1696" s="36"/>
      <c r="C1696" s="36"/>
      <c r="D1696"/>
      <c r="E1696"/>
      <c r="F1696"/>
      <c r="G1696"/>
      <c r="H1696"/>
      <c r="I1696"/>
      <c r="J1696"/>
      <c r="K1696"/>
      <c r="L1696"/>
      <c r="M1696"/>
      <c r="N1696"/>
      <c r="O1696"/>
      <c r="P1696" s="36"/>
      <c r="Q1696" s="37"/>
      <c r="R1696"/>
      <c r="S1696"/>
      <c r="T1696"/>
      <c r="U1696"/>
      <c r="V1696" s="39"/>
      <c r="W1696"/>
      <c r="X1696"/>
      <c r="Y1696"/>
      <c r="Z1696"/>
      <c r="AA1696"/>
    </row>
    <row r="1697" spans="1:27" x14ac:dyDescent="0.25">
      <c r="A1697"/>
      <c r="B1697" s="36"/>
      <c r="C1697" s="36"/>
      <c r="D1697"/>
      <c r="E1697"/>
      <c r="F1697"/>
      <c r="G1697"/>
      <c r="H1697"/>
      <c r="I1697"/>
      <c r="J1697"/>
      <c r="K1697"/>
      <c r="L1697"/>
      <c r="M1697"/>
      <c r="N1697"/>
      <c r="O1697"/>
      <c r="P1697" s="36"/>
      <c r="Q1697" s="37"/>
      <c r="R1697"/>
      <c r="S1697"/>
      <c r="T1697"/>
      <c r="U1697"/>
      <c r="V1697" s="39"/>
      <c r="W1697"/>
      <c r="X1697"/>
      <c r="Y1697"/>
      <c r="Z1697"/>
      <c r="AA1697"/>
    </row>
    <row r="1698" spans="1:27" x14ac:dyDescent="0.25">
      <c r="A1698"/>
      <c r="B1698" s="36"/>
      <c r="C1698" s="36"/>
      <c r="D1698"/>
      <c r="E1698"/>
      <c r="F1698"/>
      <c r="G1698"/>
      <c r="H1698"/>
      <c r="I1698"/>
      <c r="J1698"/>
      <c r="K1698"/>
      <c r="L1698"/>
      <c r="M1698"/>
      <c r="N1698"/>
      <c r="O1698"/>
      <c r="P1698" s="36"/>
      <c r="Q1698" s="37"/>
      <c r="R1698"/>
      <c r="S1698"/>
      <c r="T1698"/>
      <c r="U1698"/>
      <c r="V1698" s="39"/>
      <c r="W1698"/>
      <c r="X1698"/>
      <c r="Y1698"/>
      <c r="Z1698"/>
      <c r="AA1698"/>
    </row>
    <row r="1699" spans="1:27" x14ac:dyDescent="0.25">
      <c r="A1699"/>
      <c r="B1699" s="36"/>
      <c r="C1699" s="36"/>
      <c r="D1699"/>
      <c r="E1699"/>
      <c r="F1699"/>
      <c r="G1699"/>
      <c r="H1699"/>
      <c r="I1699"/>
      <c r="J1699"/>
      <c r="K1699"/>
      <c r="L1699"/>
      <c r="M1699"/>
      <c r="N1699"/>
      <c r="O1699"/>
      <c r="P1699" s="36"/>
      <c r="Q1699" s="37"/>
      <c r="R1699"/>
      <c r="S1699"/>
      <c r="T1699"/>
      <c r="U1699"/>
      <c r="V1699" s="39"/>
      <c r="W1699"/>
      <c r="X1699"/>
      <c r="Y1699"/>
      <c r="Z1699"/>
      <c r="AA1699"/>
    </row>
    <row r="1700" spans="1:27" x14ac:dyDescent="0.25">
      <c r="A1700"/>
      <c r="B1700" s="36"/>
      <c r="C1700" s="36"/>
      <c r="D1700"/>
      <c r="E1700"/>
      <c r="F1700"/>
      <c r="G1700"/>
      <c r="H1700"/>
      <c r="I1700"/>
      <c r="J1700"/>
      <c r="K1700"/>
      <c r="L1700"/>
      <c r="M1700"/>
      <c r="N1700"/>
      <c r="O1700"/>
      <c r="P1700" s="36"/>
      <c r="Q1700" s="37"/>
      <c r="R1700"/>
      <c r="S1700"/>
      <c r="T1700"/>
      <c r="U1700"/>
      <c r="V1700" s="39"/>
      <c r="W1700"/>
      <c r="X1700"/>
      <c r="Y1700"/>
      <c r="Z1700"/>
      <c r="AA1700"/>
    </row>
    <row r="1701" spans="1:27" x14ac:dyDescent="0.25">
      <c r="A1701"/>
      <c r="B1701" s="36"/>
      <c r="C1701" s="36"/>
      <c r="D1701"/>
      <c r="E1701"/>
      <c r="F1701"/>
      <c r="G1701"/>
      <c r="H1701"/>
      <c r="I1701"/>
      <c r="J1701"/>
      <c r="K1701"/>
      <c r="L1701"/>
      <c r="M1701"/>
      <c r="N1701"/>
      <c r="O1701"/>
      <c r="P1701" s="36"/>
      <c r="Q1701" s="37"/>
      <c r="R1701"/>
      <c r="S1701"/>
      <c r="T1701"/>
      <c r="U1701"/>
      <c r="V1701" s="39"/>
      <c r="W1701"/>
      <c r="X1701"/>
      <c r="Y1701"/>
      <c r="Z1701"/>
      <c r="AA1701"/>
    </row>
    <row r="1702" spans="1:27" x14ac:dyDescent="0.25">
      <c r="A1702"/>
      <c r="B1702" s="36"/>
      <c r="C1702" s="36"/>
      <c r="D1702"/>
      <c r="E1702"/>
      <c r="F1702"/>
      <c r="G1702"/>
      <c r="H1702"/>
      <c r="I1702"/>
      <c r="J1702"/>
      <c r="K1702"/>
      <c r="L1702"/>
      <c r="M1702"/>
      <c r="N1702"/>
      <c r="O1702"/>
      <c r="P1702" s="36"/>
      <c r="Q1702" s="37"/>
      <c r="R1702" s="44"/>
      <c r="S1702"/>
      <c r="T1702"/>
      <c r="U1702"/>
      <c r="V1702" s="39"/>
      <c r="W1702"/>
      <c r="X1702"/>
      <c r="Y1702"/>
      <c r="Z1702"/>
      <c r="AA1702"/>
    </row>
    <row r="1703" spans="1:27" x14ac:dyDescent="0.25">
      <c r="A1703"/>
      <c r="B1703" s="36"/>
      <c r="C1703" s="36"/>
      <c r="D1703"/>
      <c r="E1703"/>
      <c r="F1703"/>
      <c r="G1703"/>
      <c r="H1703"/>
      <c r="I1703"/>
      <c r="J1703"/>
      <c r="K1703"/>
      <c r="L1703"/>
      <c r="M1703"/>
      <c r="N1703"/>
      <c r="O1703"/>
      <c r="P1703" s="36"/>
      <c r="Q1703" s="37"/>
      <c r="R1703"/>
      <c r="S1703"/>
      <c r="T1703"/>
      <c r="U1703"/>
      <c r="V1703" s="39"/>
      <c r="W1703"/>
      <c r="X1703"/>
      <c r="Y1703"/>
      <c r="Z1703"/>
      <c r="AA1703"/>
    </row>
    <row r="1704" spans="1:27" x14ac:dyDescent="0.25">
      <c r="A1704"/>
      <c r="B1704" s="36"/>
      <c r="C1704" s="36"/>
      <c r="D1704"/>
      <c r="E1704"/>
      <c r="F1704"/>
      <c r="G1704"/>
      <c r="H1704"/>
      <c r="I1704"/>
      <c r="J1704"/>
      <c r="K1704"/>
      <c r="L1704"/>
      <c r="M1704"/>
      <c r="N1704"/>
      <c r="O1704"/>
      <c r="P1704" s="36"/>
      <c r="Q1704" s="37"/>
      <c r="R1704"/>
      <c r="S1704"/>
      <c r="T1704"/>
      <c r="U1704"/>
      <c r="V1704" s="39"/>
      <c r="W1704"/>
      <c r="X1704"/>
      <c r="Y1704"/>
      <c r="Z1704"/>
      <c r="AA1704"/>
    </row>
    <row r="1705" spans="1:27" x14ac:dyDescent="0.25">
      <c r="A1705"/>
      <c r="B1705" s="36"/>
      <c r="C1705" s="36"/>
      <c r="D1705"/>
      <c r="E1705"/>
      <c r="F1705"/>
      <c r="G1705"/>
      <c r="H1705"/>
      <c r="I1705"/>
      <c r="J1705"/>
      <c r="K1705"/>
      <c r="L1705"/>
      <c r="M1705"/>
      <c r="N1705"/>
      <c r="O1705"/>
      <c r="P1705" s="36"/>
      <c r="Q1705" s="37"/>
      <c r="R1705"/>
      <c r="S1705"/>
      <c r="T1705"/>
      <c r="U1705"/>
      <c r="V1705" s="39"/>
      <c r="W1705"/>
      <c r="X1705"/>
      <c r="Y1705"/>
      <c r="Z1705"/>
      <c r="AA1705"/>
    </row>
    <row r="1706" spans="1:27" x14ac:dyDescent="0.25">
      <c r="A1706"/>
      <c r="B1706" s="36"/>
      <c r="C1706" s="36"/>
      <c r="D1706"/>
      <c r="E1706"/>
      <c r="F1706"/>
      <c r="G1706"/>
      <c r="H1706"/>
      <c r="I1706"/>
      <c r="J1706"/>
      <c r="K1706"/>
      <c r="L1706"/>
      <c r="M1706"/>
      <c r="N1706"/>
      <c r="O1706"/>
      <c r="P1706" s="36"/>
      <c r="Q1706" s="37"/>
      <c r="R1706"/>
      <c r="S1706"/>
      <c r="T1706"/>
      <c r="U1706"/>
      <c r="V1706" s="39"/>
      <c r="W1706"/>
      <c r="X1706"/>
      <c r="Y1706"/>
      <c r="Z1706"/>
      <c r="AA1706"/>
    </row>
    <row r="1707" spans="1:27" x14ac:dyDescent="0.25">
      <c r="A1707"/>
      <c r="B1707" s="36"/>
      <c r="C1707" s="36"/>
      <c r="D1707"/>
      <c r="E1707"/>
      <c r="F1707"/>
      <c r="G1707"/>
      <c r="H1707"/>
      <c r="I1707"/>
      <c r="J1707"/>
      <c r="K1707"/>
      <c r="L1707"/>
      <c r="M1707"/>
      <c r="N1707"/>
      <c r="O1707"/>
      <c r="P1707" s="36"/>
      <c r="Q1707" s="37"/>
      <c r="R1707"/>
      <c r="S1707"/>
      <c r="T1707"/>
      <c r="U1707"/>
      <c r="V1707" s="39"/>
      <c r="W1707"/>
      <c r="X1707"/>
      <c r="Y1707"/>
      <c r="Z1707"/>
      <c r="AA1707"/>
    </row>
    <row r="1708" spans="1:27" x14ac:dyDescent="0.25">
      <c r="A1708"/>
      <c r="B1708" s="36"/>
      <c r="C1708" s="36"/>
      <c r="D1708"/>
      <c r="E1708"/>
      <c r="F1708"/>
      <c r="G1708"/>
      <c r="H1708"/>
      <c r="I1708"/>
      <c r="J1708"/>
      <c r="K1708"/>
      <c r="L1708"/>
      <c r="M1708"/>
      <c r="N1708"/>
      <c r="O1708"/>
      <c r="P1708" s="36"/>
      <c r="Q1708" s="37"/>
      <c r="R1708"/>
      <c r="S1708"/>
      <c r="T1708"/>
      <c r="U1708"/>
      <c r="V1708" s="39"/>
      <c r="W1708"/>
      <c r="X1708"/>
      <c r="Y1708"/>
      <c r="Z1708"/>
      <c r="AA1708"/>
    </row>
    <row r="1709" spans="1:27" x14ac:dyDescent="0.25">
      <c r="A1709"/>
      <c r="B1709" s="36"/>
      <c r="C1709" s="36"/>
      <c r="D1709"/>
      <c r="E1709"/>
      <c r="F1709"/>
      <c r="G1709"/>
      <c r="H1709"/>
      <c r="I1709"/>
      <c r="J1709"/>
      <c r="K1709"/>
      <c r="L1709"/>
      <c r="M1709"/>
      <c r="N1709"/>
      <c r="O1709"/>
      <c r="P1709" s="36"/>
      <c r="Q1709" s="37"/>
      <c r="R1709"/>
      <c r="S1709"/>
      <c r="T1709"/>
      <c r="U1709"/>
      <c r="V1709" s="39"/>
      <c r="W1709"/>
      <c r="X1709"/>
      <c r="Y1709"/>
      <c r="Z1709"/>
      <c r="AA1709"/>
    </row>
    <row r="1710" spans="1:27" x14ac:dyDescent="0.25">
      <c r="A1710"/>
      <c r="B1710" s="36"/>
      <c r="C1710" s="36"/>
      <c r="D1710"/>
      <c r="E1710"/>
      <c r="F1710"/>
      <c r="G1710"/>
      <c r="H1710"/>
      <c r="I1710"/>
      <c r="J1710"/>
      <c r="K1710"/>
      <c r="L1710"/>
      <c r="M1710"/>
      <c r="N1710"/>
      <c r="O1710"/>
      <c r="P1710" s="36"/>
      <c r="Q1710" s="37"/>
      <c r="R1710"/>
      <c r="S1710"/>
      <c r="T1710"/>
      <c r="U1710"/>
      <c r="V1710" s="39"/>
      <c r="W1710"/>
      <c r="X1710"/>
      <c r="Y1710"/>
      <c r="Z1710"/>
      <c r="AA1710"/>
    </row>
    <row r="1711" spans="1:27" x14ac:dyDescent="0.25">
      <c r="A1711"/>
      <c r="B1711" s="36"/>
      <c r="C1711" s="36"/>
      <c r="D1711"/>
      <c r="E1711"/>
      <c r="F1711"/>
      <c r="G1711"/>
      <c r="H1711"/>
      <c r="I1711"/>
      <c r="J1711"/>
      <c r="K1711"/>
      <c r="L1711"/>
      <c r="M1711"/>
      <c r="N1711"/>
      <c r="O1711"/>
      <c r="P1711" s="36"/>
      <c r="Q1711" s="37"/>
      <c r="R1711"/>
      <c r="S1711"/>
      <c r="T1711"/>
      <c r="U1711"/>
      <c r="V1711" s="39"/>
      <c r="W1711"/>
      <c r="X1711"/>
      <c r="Y1711"/>
      <c r="Z1711"/>
      <c r="AA1711"/>
    </row>
    <row r="1712" spans="1:27" x14ac:dyDescent="0.25">
      <c r="A1712"/>
      <c r="B1712" s="36"/>
      <c r="C1712" s="36"/>
      <c r="D1712"/>
      <c r="E1712"/>
      <c r="F1712"/>
      <c r="G1712"/>
      <c r="H1712"/>
      <c r="I1712"/>
      <c r="J1712"/>
      <c r="K1712"/>
      <c r="L1712"/>
      <c r="M1712"/>
      <c r="N1712"/>
      <c r="O1712"/>
      <c r="P1712" s="36"/>
      <c r="Q1712" s="37"/>
      <c r="R1712"/>
      <c r="S1712"/>
      <c r="T1712"/>
      <c r="U1712"/>
      <c r="V1712" s="39"/>
      <c r="W1712"/>
      <c r="X1712"/>
      <c r="Y1712"/>
      <c r="Z1712"/>
      <c r="AA1712"/>
    </row>
    <row r="1713" spans="1:27" x14ac:dyDescent="0.25">
      <c r="A1713"/>
      <c r="B1713" s="36"/>
      <c r="C1713" s="36"/>
      <c r="D1713"/>
      <c r="E1713"/>
      <c r="F1713"/>
      <c r="G1713"/>
      <c r="H1713"/>
      <c r="I1713"/>
      <c r="J1713"/>
      <c r="K1713"/>
      <c r="L1713"/>
      <c r="M1713"/>
      <c r="N1713"/>
      <c r="O1713"/>
      <c r="P1713" s="36"/>
      <c r="Q1713" s="37"/>
      <c r="R1713"/>
      <c r="S1713"/>
      <c r="T1713"/>
      <c r="U1713"/>
      <c r="V1713" s="39"/>
      <c r="W1713"/>
      <c r="X1713"/>
      <c r="Y1713"/>
      <c r="Z1713"/>
      <c r="AA1713"/>
    </row>
    <row r="1714" spans="1:27" x14ac:dyDescent="0.25">
      <c r="A1714"/>
      <c r="B1714" s="36"/>
      <c r="C1714" s="36"/>
      <c r="D1714"/>
      <c r="E1714"/>
      <c r="F1714"/>
      <c r="G1714"/>
      <c r="H1714"/>
      <c r="I1714"/>
      <c r="J1714"/>
      <c r="K1714"/>
      <c r="L1714"/>
      <c r="M1714"/>
      <c r="N1714"/>
      <c r="O1714"/>
      <c r="P1714" s="36"/>
      <c r="Q1714" s="37"/>
      <c r="R1714"/>
      <c r="S1714"/>
      <c r="T1714"/>
      <c r="U1714"/>
      <c r="V1714" s="39"/>
      <c r="W1714"/>
      <c r="X1714"/>
      <c r="Y1714"/>
      <c r="Z1714"/>
      <c r="AA1714"/>
    </row>
    <row r="1715" spans="1:27" x14ac:dyDescent="0.25">
      <c r="A1715"/>
      <c r="B1715" s="36"/>
      <c r="C1715" s="36"/>
      <c r="D1715"/>
      <c r="E1715"/>
      <c r="F1715"/>
      <c r="G1715"/>
      <c r="H1715"/>
      <c r="I1715"/>
      <c r="J1715"/>
      <c r="K1715"/>
      <c r="L1715"/>
      <c r="M1715"/>
      <c r="N1715"/>
      <c r="O1715"/>
      <c r="P1715" s="36"/>
      <c r="Q1715" s="37"/>
      <c r="R1715"/>
      <c r="S1715"/>
      <c r="T1715"/>
      <c r="U1715"/>
      <c r="V1715" s="39"/>
      <c r="W1715"/>
      <c r="X1715"/>
      <c r="Y1715"/>
      <c r="Z1715"/>
      <c r="AA1715"/>
    </row>
    <row r="1716" spans="1:27" x14ac:dyDescent="0.25">
      <c r="A1716"/>
      <c r="B1716" s="36"/>
      <c r="C1716" s="36"/>
      <c r="D1716"/>
      <c r="E1716"/>
      <c r="F1716"/>
      <c r="G1716"/>
      <c r="H1716"/>
      <c r="I1716"/>
      <c r="J1716"/>
      <c r="K1716"/>
      <c r="L1716"/>
      <c r="M1716"/>
      <c r="N1716"/>
      <c r="O1716"/>
      <c r="P1716" s="36"/>
      <c r="Q1716" s="37"/>
      <c r="R1716"/>
      <c r="S1716"/>
      <c r="T1716"/>
      <c r="U1716"/>
      <c r="V1716" s="39"/>
      <c r="W1716"/>
      <c r="X1716"/>
      <c r="Y1716"/>
      <c r="Z1716"/>
      <c r="AA1716"/>
    </row>
    <row r="1717" spans="1:27" x14ac:dyDescent="0.25">
      <c r="A1717"/>
      <c r="B1717" s="36"/>
      <c r="C1717" s="36"/>
      <c r="D1717"/>
      <c r="E1717"/>
      <c r="F1717"/>
      <c r="G1717"/>
      <c r="H1717"/>
      <c r="I1717"/>
      <c r="J1717"/>
      <c r="K1717"/>
      <c r="L1717"/>
      <c r="M1717"/>
      <c r="N1717"/>
      <c r="O1717"/>
      <c r="P1717" s="36"/>
      <c r="Q1717" s="37"/>
      <c r="R1717"/>
      <c r="S1717"/>
      <c r="T1717"/>
      <c r="U1717"/>
      <c r="V1717" s="39"/>
      <c r="W1717"/>
      <c r="X1717"/>
      <c r="Y1717"/>
      <c r="Z1717"/>
      <c r="AA1717"/>
    </row>
    <row r="1718" spans="1:27" x14ac:dyDescent="0.25">
      <c r="A1718"/>
      <c r="B1718" s="36"/>
      <c r="C1718" s="36"/>
      <c r="D1718"/>
      <c r="E1718"/>
      <c r="F1718"/>
      <c r="G1718"/>
      <c r="H1718"/>
      <c r="I1718"/>
      <c r="J1718"/>
      <c r="K1718"/>
      <c r="L1718"/>
      <c r="M1718"/>
      <c r="N1718"/>
      <c r="O1718"/>
      <c r="P1718" s="36"/>
      <c r="Q1718" s="37"/>
      <c r="R1718"/>
      <c r="S1718"/>
      <c r="T1718"/>
      <c r="U1718"/>
      <c r="V1718" s="39"/>
      <c r="W1718"/>
      <c r="X1718"/>
      <c r="Y1718"/>
      <c r="Z1718"/>
      <c r="AA1718"/>
    </row>
    <row r="1719" spans="1:27" x14ac:dyDescent="0.25">
      <c r="A1719"/>
      <c r="B1719" s="36"/>
      <c r="C1719" s="36"/>
      <c r="D1719"/>
      <c r="E1719"/>
      <c r="F1719"/>
      <c r="G1719"/>
      <c r="H1719"/>
      <c r="I1719"/>
      <c r="J1719"/>
      <c r="K1719"/>
      <c r="L1719"/>
      <c r="M1719"/>
      <c r="N1719"/>
      <c r="O1719"/>
      <c r="P1719" s="36"/>
      <c r="Q1719" s="37"/>
      <c r="R1719"/>
      <c r="S1719"/>
      <c r="T1719"/>
      <c r="U1719"/>
      <c r="V1719" s="39"/>
      <c r="W1719"/>
      <c r="X1719"/>
      <c r="Y1719"/>
      <c r="Z1719"/>
      <c r="AA1719"/>
    </row>
    <row r="1720" spans="1:27" x14ac:dyDescent="0.25">
      <c r="A1720"/>
      <c r="B1720" s="36"/>
      <c r="C1720" s="36"/>
      <c r="D1720"/>
      <c r="E1720"/>
      <c r="F1720"/>
      <c r="G1720"/>
      <c r="H1720"/>
      <c r="I1720"/>
      <c r="J1720"/>
      <c r="K1720"/>
      <c r="L1720"/>
      <c r="M1720"/>
      <c r="N1720"/>
      <c r="O1720"/>
      <c r="P1720" s="36"/>
      <c r="Q1720" s="37"/>
      <c r="R1720"/>
      <c r="S1720"/>
      <c r="T1720"/>
      <c r="U1720"/>
      <c r="V1720" s="39"/>
      <c r="W1720"/>
      <c r="X1720"/>
      <c r="Y1720"/>
      <c r="Z1720"/>
      <c r="AA1720"/>
    </row>
    <row r="1721" spans="1:27" x14ac:dyDescent="0.25">
      <c r="A1721"/>
      <c r="B1721" s="36"/>
      <c r="C1721" s="36"/>
      <c r="D1721"/>
      <c r="E1721"/>
      <c r="F1721"/>
      <c r="G1721"/>
      <c r="H1721"/>
      <c r="I1721"/>
      <c r="J1721"/>
      <c r="K1721"/>
      <c r="L1721"/>
      <c r="M1721"/>
      <c r="N1721"/>
      <c r="O1721"/>
      <c r="P1721" s="36"/>
      <c r="Q1721" s="37"/>
      <c r="R1721"/>
      <c r="S1721"/>
      <c r="T1721"/>
      <c r="U1721"/>
      <c r="V1721" s="39"/>
      <c r="W1721"/>
      <c r="X1721"/>
      <c r="Y1721"/>
      <c r="Z1721"/>
      <c r="AA1721"/>
    </row>
    <row r="1722" spans="1:27" x14ac:dyDescent="0.25">
      <c r="A1722"/>
      <c r="B1722" s="36"/>
      <c r="C1722" s="36"/>
      <c r="D1722"/>
      <c r="E1722"/>
      <c r="F1722"/>
      <c r="G1722"/>
      <c r="H1722"/>
      <c r="I1722"/>
      <c r="J1722"/>
      <c r="K1722"/>
      <c r="L1722"/>
      <c r="M1722"/>
      <c r="N1722"/>
      <c r="O1722"/>
      <c r="P1722" s="36"/>
      <c r="Q1722" s="37"/>
      <c r="R1722"/>
      <c r="S1722"/>
      <c r="T1722"/>
      <c r="U1722"/>
      <c r="V1722" s="39"/>
      <c r="W1722"/>
      <c r="X1722"/>
      <c r="Y1722"/>
      <c r="Z1722"/>
      <c r="AA1722"/>
    </row>
    <row r="1723" spans="1:27" x14ac:dyDescent="0.25">
      <c r="A1723"/>
      <c r="B1723" s="36"/>
      <c r="C1723" s="36"/>
      <c r="D1723"/>
      <c r="E1723"/>
      <c r="F1723"/>
      <c r="G1723"/>
      <c r="H1723"/>
      <c r="I1723"/>
      <c r="J1723"/>
      <c r="K1723"/>
      <c r="L1723"/>
      <c r="M1723"/>
      <c r="N1723"/>
      <c r="O1723"/>
      <c r="P1723" s="36"/>
      <c r="Q1723" s="37"/>
      <c r="R1723"/>
      <c r="S1723"/>
      <c r="T1723"/>
      <c r="U1723"/>
      <c r="V1723" s="39"/>
      <c r="W1723"/>
      <c r="X1723"/>
      <c r="Y1723"/>
      <c r="Z1723"/>
      <c r="AA1723"/>
    </row>
    <row r="1724" spans="1:27" x14ac:dyDescent="0.25">
      <c r="A1724"/>
      <c r="B1724" s="36"/>
      <c r="C1724" s="36"/>
      <c r="D1724"/>
      <c r="E1724"/>
      <c r="F1724"/>
      <c r="G1724"/>
      <c r="H1724"/>
      <c r="I1724"/>
      <c r="J1724"/>
      <c r="K1724"/>
      <c r="L1724"/>
      <c r="M1724"/>
      <c r="N1724"/>
      <c r="O1724"/>
      <c r="P1724" s="36"/>
      <c r="Q1724" s="37"/>
      <c r="R1724"/>
      <c r="S1724"/>
      <c r="T1724"/>
      <c r="U1724"/>
      <c r="V1724" s="39"/>
      <c r="W1724"/>
      <c r="X1724"/>
      <c r="Y1724"/>
      <c r="Z1724"/>
      <c r="AA1724"/>
    </row>
    <row r="1725" spans="1:27" x14ac:dyDescent="0.25">
      <c r="A1725"/>
      <c r="B1725" s="36"/>
      <c r="C1725" s="36"/>
      <c r="D1725"/>
      <c r="E1725"/>
      <c r="F1725"/>
      <c r="G1725"/>
      <c r="H1725"/>
      <c r="I1725"/>
      <c r="J1725"/>
      <c r="K1725"/>
      <c r="L1725"/>
      <c r="M1725"/>
      <c r="N1725"/>
      <c r="O1725"/>
      <c r="P1725" s="36"/>
      <c r="Q1725" s="37"/>
      <c r="R1725"/>
      <c r="S1725"/>
      <c r="T1725"/>
      <c r="U1725"/>
      <c r="V1725" s="39"/>
      <c r="W1725"/>
      <c r="X1725"/>
      <c r="Y1725"/>
      <c r="Z1725"/>
      <c r="AA1725"/>
    </row>
    <row r="1726" spans="1:27" x14ac:dyDescent="0.25">
      <c r="A1726"/>
      <c r="B1726" s="36"/>
      <c r="C1726" s="36"/>
      <c r="D1726"/>
      <c r="E1726"/>
      <c r="F1726"/>
      <c r="G1726"/>
      <c r="H1726"/>
      <c r="I1726"/>
      <c r="J1726"/>
      <c r="K1726"/>
      <c r="L1726"/>
      <c r="M1726"/>
      <c r="N1726"/>
      <c r="O1726"/>
      <c r="P1726" s="36"/>
      <c r="Q1726" s="37"/>
      <c r="R1726"/>
      <c r="S1726"/>
      <c r="T1726"/>
      <c r="U1726"/>
      <c r="V1726" s="39"/>
      <c r="W1726"/>
      <c r="X1726"/>
      <c r="Y1726"/>
      <c r="Z1726"/>
      <c r="AA1726"/>
    </row>
    <row r="1727" spans="1:27" x14ac:dyDescent="0.25">
      <c r="A1727"/>
      <c r="B1727" s="36"/>
      <c r="C1727" s="36"/>
      <c r="D1727"/>
      <c r="E1727"/>
      <c r="F1727"/>
      <c r="G1727"/>
      <c r="H1727"/>
      <c r="I1727"/>
      <c r="J1727"/>
      <c r="K1727"/>
      <c r="L1727"/>
      <c r="M1727"/>
      <c r="N1727"/>
      <c r="O1727"/>
      <c r="P1727" s="36"/>
      <c r="Q1727" s="37"/>
      <c r="R1727"/>
      <c r="S1727"/>
      <c r="T1727"/>
      <c r="U1727"/>
      <c r="V1727" s="39"/>
      <c r="W1727"/>
      <c r="X1727"/>
      <c r="Y1727"/>
      <c r="Z1727"/>
      <c r="AA1727"/>
    </row>
    <row r="1728" spans="1:27" x14ac:dyDescent="0.25">
      <c r="A1728"/>
      <c r="B1728" s="36"/>
      <c r="C1728" s="36"/>
      <c r="D1728"/>
      <c r="E1728"/>
      <c r="F1728"/>
      <c r="G1728"/>
      <c r="H1728"/>
      <c r="I1728"/>
      <c r="J1728"/>
      <c r="K1728"/>
      <c r="L1728"/>
      <c r="M1728"/>
      <c r="N1728"/>
      <c r="O1728"/>
      <c r="P1728" s="36"/>
      <c r="Q1728" s="37"/>
      <c r="R1728"/>
      <c r="S1728"/>
      <c r="T1728"/>
      <c r="U1728"/>
      <c r="V1728" s="39"/>
      <c r="W1728"/>
      <c r="X1728"/>
      <c r="Y1728"/>
      <c r="Z1728"/>
      <c r="AA1728"/>
    </row>
    <row r="1729" spans="1:27" x14ac:dyDescent="0.25">
      <c r="A1729"/>
      <c r="B1729" s="36"/>
      <c r="C1729" s="36"/>
      <c r="D1729"/>
      <c r="E1729"/>
      <c r="F1729"/>
      <c r="G1729"/>
      <c r="H1729"/>
      <c r="I1729"/>
      <c r="J1729"/>
      <c r="K1729"/>
      <c r="L1729"/>
      <c r="M1729"/>
      <c r="N1729"/>
      <c r="O1729"/>
      <c r="P1729" s="36"/>
      <c r="Q1729" s="37"/>
      <c r="R1729"/>
      <c r="S1729"/>
      <c r="T1729"/>
      <c r="U1729"/>
      <c r="V1729" s="39"/>
      <c r="W1729"/>
      <c r="X1729"/>
      <c r="Y1729"/>
      <c r="Z1729"/>
      <c r="AA1729"/>
    </row>
    <row r="1730" spans="1:27" x14ac:dyDescent="0.25">
      <c r="A1730"/>
      <c r="B1730" s="36"/>
      <c r="C1730" s="36"/>
      <c r="D1730"/>
      <c r="E1730"/>
      <c r="F1730"/>
      <c r="G1730"/>
      <c r="H1730"/>
      <c r="I1730"/>
      <c r="J1730"/>
      <c r="K1730"/>
      <c r="L1730"/>
      <c r="M1730"/>
      <c r="N1730"/>
      <c r="O1730"/>
      <c r="P1730" s="36"/>
      <c r="Q1730" s="37"/>
      <c r="R1730"/>
      <c r="S1730"/>
      <c r="T1730"/>
      <c r="U1730"/>
      <c r="V1730" s="39"/>
      <c r="W1730"/>
      <c r="X1730"/>
      <c r="Y1730"/>
      <c r="Z1730"/>
      <c r="AA1730"/>
    </row>
    <row r="1731" spans="1:27" x14ac:dyDescent="0.25">
      <c r="A1731"/>
      <c r="B1731" s="36"/>
      <c r="C1731" s="36"/>
      <c r="D1731"/>
      <c r="E1731"/>
      <c r="F1731"/>
      <c r="G1731"/>
      <c r="H1731"/>
      <c r="I1731"/>
      <c r="J1731"/>
      <c r="K1731"/>
      <c r="L1731"/>
      <c r="M1731"/>
      <c r="N1731"/>
      <c r="O1731"/>
      <c r="P1731" s="36"/>
      <c r="Q1731" s="37"/>
      <c r="R1731"/>
      <c r="S1731"/>
      <c r="T1731"/>
      <c r="U1731"/>
      <c r="V1731" s="39"/>
      <c r="W1731"/>
      <c r="X1731"/>
      <c r="Y1731"/>
      <c r="Z1731"/>
      <c r="AA1731"/>
    </row>
    <row r="1732" spans="1:27" x14ac:dyDescent="0.25">
      <c r="A1732"/>
      <c r="B1732" s="36"/>
      <c r="C1732" s="36"/>
      <c r="D1732"/>
      <c r="E1732"/>
      <c r="F1732"/>
      <c r="G1732"/>
      <c r="H1732"/>
      <c r="I1732"/>
      <c r="J1732"/>
      <c r="K1732"/>
      <c r="L1732"/>
      <c r="M1732"/>
      <c r="N1732"/>
      <c r="O1732"/>
      <c r="P1732" s="36"/>
      <c r="Q1732" s="37"/>
      <c r="R1732"/>
      <c r="S1732"/>
      <c r="T1732"/>
      <c r="U1732"/>
      <c r="V1732" s="39"/>
      <c r="W1732"/>
      <c r="X1732"/>
      <c r="Y1732"/>
      <c r="Z1732"/>
      <c r="AA1732"/>
    </row>
    <row r="1733" spans="1:27" x14ac:dyDescent="0.25">
      <c r="A1733"/>
      <c r="B1733" s="36"/>
      <c r="C1733" s="36"/>
      <c r="D1733"/>
      <c r="E1733"/>
      <c r="F1733"/>
      <c r="G1733"/>
      <c r="H1733"/>
      <c r="I1733"/>
      <c r="J1733"/>
      <c r="K1733"/>
      <c r="L1733"/>
      <c r="M1733"/>
      <c r="N1733"/>
      <c r="O1733"/>
      <c r="P1733" s="36"/>
      <c r="Q1733" s="37"/>
      <c r="R1733"/>
      <c r="S1733"/>
      <c r="T1733"/>
      <c r="U1733"/>
      <c r="V1733" s="39"/>
      <c r="W1733"/>
      <c r="X1733"/>
      <c r="Y1733"/>
      <c r="Z1733"/>
      <c r="AA1733"/>
    </row>
    <row r="1734" spans="1:27" x14ac:dyDescent="0.25">
      <c r="A1734"/>
      <c r="B1734" s="36"/>
      <c r="C1734" s="36"/>
      <c r="D1734"/>
      <c r="E1734"/>
      <c r="F1734"/>
      <c r="G1734"/>
      <c r="H1734"/>
      <c r="I1734"/>
      <c r="J1734"/>
      <c r="K1734"/>
      <c r="L1734"/>
      <c r="M1734"/>
      <c r="N1734"/>
      <c r="O1734"/>
      <c r="P1734" s="36"/>
      <c r="Q1734" s="37"/>
      <c r="R1734"/>
      <c r="S1734"/>
      <c r="T1734"/>
      <c r="U1734"/>
      <c r="V1734" s="39"/>
      <c r="W1734"/>
      <c r="X1734"/>
      <c r="Y1734"/>
      <c r="Z1734"/>
      <c r="AA1734"/>
    </row>
    <row r="1735" spans="1:27" x14ac:dyDescent="0.25">
      <c r="A1735"/>
      <c r="B1735" s="36"/>
      <c r="C1735" s="36"/>
      <c r="D1735"/>
      <c r="E1735"/>
      <c r="F1735"/>
      <c r="G1735"/>
      <c r="H1735"/>
      <c r="I1735"/>
      <c r="J1735"/>
      <c r="K1735"/>
      <c r="L1735"/>
      <c r="M1735"/>
      <c r="N1735"/>
      <c r="O1735"/>
      <c r="P1735" s="36"/>
      <c r="Q1735" s="37"/>
      <c r="R1735"/>
      <c r="S1735"/>
      <c r="T1735"/>
      <c r="U1735"/>
      <c r="V1735" s="39"/>
      <c r="W1735"/>
      <c r="X1735"/>
      <c r="Y1735"/>
      <c r="Z1735"/>
      <c r="AA1735"/>
    </row>
    <row r="1736" spans="1:27" x14ac:dyDescent="0.25">
      <c r="A1736"/>
      <c r="B1736" s="36"/>
      <c r="C1736" s="36"/>
      <c r="D1736"/>
      <c r="E1736"/>
      <c r="F1736"/>
      <c r="G1736"/>
      <c r="H1736"/>
      <c r="I1736"/>
      <c r="J1736"/>
      <c r="K1736"/>
      <c r="L1736"/>
      <c r="M1736"/>
      <c r="N1736"/>
      <c r="O1736"/>
      <c r="P1736" s="36"/>
      <c r="Q1736" s="37"/>
      <c r="R1736"/>
      <c r="S1736"/>
      <c r="T1736"/>
      <c r="U1736"/>
      <c r="V1736" s="39"/>
      <c r="W1736"/>
      <c r="X1736"/>
      <c r="Y1736"/>
      <c r="Z1736"/>
      <c r="AA1736"/>
    </row>
    <row r="1737" spans="1:27" x14ac:dyDescent="0.25">
      <c r="A1737"/>
      <c r="B1737" s="36"/>
      <c r="C1737" s="36"/>
      <c r="D1737"/>
      <c r="E1737"/>
      <c r="F1737"/>
      <c r="G1737"/>
      <c r="H1737"/>
      <c r="I1737"/>
      <c r="J1737"/>
      <c r="K1737"/>
      <c r="L1737"/>
      <c r="M1737"/>
      <c r="N1737"/>
      <c r="O1737"/>
      <c r="P1737" s="36"/>
      <c r="Q1737" s="37"/>
      <c r="R1737"/>
      <c r="S1737"/>
      <c r="T1737"/>
      <c r="U1737"/>
      <c r="V1737" s="39"/>
      <c r="W1737"/>
      <c r="X1737"/>
      <c r="Y1737"/>
      <c r="Z1737"/>
      <c r="AA1737"/>
    </row>
    <row r="1738" spans="1:27" x14ac:dyDescent="0.25">
      <c r="A1738"/>
      <c r="B1738" s="36"/>
      <c r="C1738" s="36"/>
      <c r="D1738"/>
      <c r="E1738"/>
      <c r="F1738"/>
      <c r="G1738"/>
      <c r="H1738"/>
      <c r="I1738"/>
      <c r="J1738"/>
      <c r="K1738"/>
      <c r="L1738"/>
      <c r="M1738"/>
      <c r="N1738"/>
      <c r="O1738"/>
      <c r="P1738" s="36"/>
      <c r="Q1738" s="37"/>
      <c r="R1738"/>
      <c r="S1738"/>
      <c r="T1738"/>
      <c r="U1738"/>
      <c r="V1738" s="39"/>
      <c r="W1738"/>
      <c r="X1738"/>
      <c r="Y1738"/>
      <c r="Z1738"/>
      <c r="AA1738"/>
    </row>
    <row r="1739" spans="1:27" x14ac:dyDescent="0.25">
      <c r="A1739"/>
      <c r="B1739" s="36"/>
      <c r="C1739" s="36"/>
      <c r="D1739"/>
      <c r="E1739"/>
      <c r="F1739"/>
      <c r="G1739"/>
      <c r="H1739"/>
      <c r="I1739"/>
      <c r="J1739"/>
      <c r="K1739"/>
      <c r="L1739"/>
      <c r="M1739"/>
      <c r="N1739"/>
      <c r="O1739"/>
      <c r="P1739" s="36"/>
      <c r="Q1739" s="37"/>
      <c r="R1739"/>
      <c r="S1739"/>
      <c r="T1739"/>
      <c r="U1739"/>
      <c r="V1739" s="39"/>
      <c r="W1739"/>
      <c r="X1739"/>
      <c r="Y1739"/>
      <c r="Z1739"/>
      <c r="AA1739"/>
    </row>
    <row r="1740" spans="1:27" x14ac:dyDescent="0.25">
      <c r="A1740"/>
      <c r="B1740" s="36"/>
      <c r="C1740" s="36"/>
      <c r="D1740"/>
      <c r="E1740"/>
      <c r="F1740"/>
      <c r="G1740"/>
      <c r="H1740"/>
      <c r="I1740"/>
      <c r="J1740"/>
      <c r="K1740"/>
      <c r="L1740"/>
      <c r="M1740"/>
      <c r="N1740"/>
      <c r="O1740"/>
      <c r="P1740" s="36"/>
      <c r="Q1740" s="37"/>
      <c r="R1740"/>
      <c r="S1740"/>
      <c r="T1740"/>
      <c r="U1740"/>
      <c r="V1740" s="39"/>
      <c r="W1740"/>
      <c r="X1740"/>
      <c r="Y1740"/>
      <c r="Z1740"/>
      <c r="AA1740"/>
    </row>
    <row r="1741" spans="1:27" x14ac:dyDescent="0.25">
      <c r="A1741"/>
      <c r="B1741" s="36"/>
      <c r="C1741" s="36"/>
      <c r="D1741"/>
      <c r="E1741"/>
      <c r="F1741"/>
      <c r="G1741"/>
      <c r="H1741"/>
      <c r="I1741"/>
      <c r="J1741"/>
      <c r="K1741"/>
      <c r="L1741"/>
      <c r="M1741"/>
      <c r="N1741"/>
      <c r="O1741"/>
      <c r="P1741" s="36"/>
      <c r="Q1741" s="37"/>
      <c r="R1741"/>
      <c r="S1741"/>
      <c r="T1741"/>
      <c r="U1741"/>
      <c r="V1741" s="39"/>
      <c r="W1741"/>
      <c r="X1741"/>
      <c r="Y1741"/>
      <c r="Z1741"/>
      <c r="AA1741"/>
    </row>
    <row r="1742" spans="1:27" x14ac:dyDescent="0.25">
      <c r="A1742"/>
      <c r="B1742" s="36"/>
      <c r="C1742" s="36"/>
      <c r="D1742"/>
      <c r="E1742"/>
      <c r="F1742"/>
      <c r="G1742"/>
      <c r="H1742"/>
      <c r="I1742"/>
      <c r="J1742"/>
      <c r="K1742"/>
      <c r="L1742"/>
      <c r="M1742"/>
      <c r="N1742"/>
      <c r="O1742"/>
      <c r="P1742" s="36"/>
      <c r="Q1742" s="37"/>
      <c r="R1742"/>
      <c r="S1742"/>
      <c r="T1742"/>
      <c r="U1742"/>
      <c r="V1742" s="39"/>
      <c r="W1742"/>
      <c r="X1742"/>
      <c r="Y1742"/>
      <c r="Z1742"/>
      <c r="AA1742"/>
    </row>
    <row r="1743" spans="1:27" x14ac:dyDescent="0.25">
      <c r="A1743"/>
      <c r="B1743" s="36"/>
      <c r="C1743" s="36"/>
      <c r="D1743"/>
      <c r="E1743"/>
      <c r="F1743"/>
      <c r="G1743"/>
      <c r="H1743"/>
      <c r="I1743"/>
      <c r="J1743"/>
      <c r="K1743"/>
      <c r="L1743"/>
      <c r="M1743"/>
      <c r="N1743"/>
      <c r="O1743"/>
      <c r="P1743" s="36"/>
      <c r="Q1743" s="37"/>
      <c r="R1743"/>
      <c r="S1743"/>
      <c r="T1743"/>
      <c r="U1743"/>
      <c r="V1743" s="39"/>
      <c r="W1743"/>
      <c r="X1743"/>
      <c r="Y1743"/>
      <c r="Z1743"/>
      <c r="AA1743"/>
    </row>
    <row r="1744" spans="1:27" x14ac:dyDescent="0.25">
      <c r="A1744"/>
      <c r="B1744" s="36"/>
      <c r="C1744" s="36"/>
      <c r="D1744"/>
      <c r="E1744"/>
      <c r="F1744"/>
      <c r="G1744"/>
      <c r="H1744"/>
      <c r="I1744"/>
      <c r="J1744"/>
      <c r="K1744"/>
      <c r="L1744"/>
      <c r="M1744"/>
      <c r="N1744"/>
      <c r="O1744"/>
      <c r="P1744" s="36"/>
      <c r="Q1744" s="37"/>
      <c r="R1744"/>
      <c r="S1744"/>
      <c r="T1744"/>
      <c r="U1744"/>
      <c r="V1744" s="39"/>
      <c r="W1744"/>
      <c r="X1744"/>
      <c r="Y1744"/>
      <c r="Z1744"/>
      <c r="AA1744"/>
    </row>
    <row r="1745" spans="1:27" x14ac:dyDescent="0.25">
      <c r="A1745"/>
      <c r="B1745" s="36"/>
      <c r="C1745" s="36"/>
      <c r="D1745"/>
      <c r="E1745"/>
      <c r="F1745"/>
      <c r="G1745"/>
      <c r="H1745"/>
      <c r="I1745"/>
      <c r="J1745"/>
      <c r="K1745"/>
      <c r="L1745"/>
      <c r="M1745"/>
      <c r="N1745"/>
      <c r="O1745"/>
      <c r="P1745" s="36"/>
      <c r="Q1745" s="37"/>
      <c r="R1745"/>
      <c r="S1745"/>
      <c r="T1745"/>
      <c r="U1745"/>
      <c r="V1745" s="39"/>
      <c r="W1745"/>
      <c r="X1745"/>
      <c r="Y1745"/>
      <c r="Z1745"/>
      <c r="AA1745"/>
    </row>
    <row r="1746" spans="1:27" x14ac:dyDescent="0.25">
      <c r="A1746"/>
      <c r="B1746" s="36"/>
      <c r="C1746" s="36"/>
      <c r="D1746"/>
      <c r="E1746"/>
      <c r="F1746"/>
      <c r="G1746"/>
      <c r="H1746"/>
      <c r="I1746"/>
      <c r="J1746"/>
      <c r="K1746"/>
      <c r="L1746"/>
      <c r="M1746"/>
      <c r="N1746"/>
      <c r="O1746"/>
      <c r="P1746" s="36"/>
      <c r="Q1746" s="37"/>
      <c r="R1746"/>
      <c r="S1746"/>
      <c r="T1746"/>
      <c r="U1746"/>
      <c r="V1746" s="39"/>
      <c r="W1746"/>
      <c r="X1746"/>
      <c r="Y1746"/>
      <c r="Z1746"/>
      <c r="AA1746"/>
    </row>
    <row r="1747" spans="1:27" x14ac:dyDescent="0.25">
      <c r="A1747"/>
      <c r="B1747" s="36"/>
      <c r="C1747" s="36"/>
      <c r="D1747"/>
      <c r="E1747"/>
      <c r="F1747"/>
      <c r="G1747"/>
      <c r="H1747"/>
      <c r="I1747"/>
      <c r="J1747"/>
      <c r="K1747"/>
      <c r="L1747"/>
      <c r="M1747"/>
      <c r="N1747"/>
      <c r="O1747"/>
      <c r="P1747" s="36"/>
      <c r="Q1747" s="37"/>
      <c r="R1747"/>
      <c r="S1747"/>
      <c r="T1747"/>
      <c r="U1747"/>
      <c r="V1747" s="39"/>
      <c r="W1747"/>
      <c r="X1747"/>
      <c r="Y1747"/>
      <c r="Z1747"/>
      <c r="AA1747"/>
    </row>
    <row r="1748" spans="1:27" x14ac:dyDescent="0.25">
      <c r="A1748"/>
      <c r="B1748" s="36"/>
      <c r="C1748" s="36"/>
      <c r="D1748"/>
      <c r="E1748"/>
      <c r="F1748"/>
      <c r="G1748"/>
      <c r="H1748"/>
      <c r="I1748"/>
      <c r="J1748"/>
      <c r="K1748"/>
      <c r="L1748"/>
      <c r="M1748"/>
      <c r="N1748"/>
      <c r="O1748"/>
      <c r="P1748" s="36"/>
      <c r="Q1748" s="37"/>
      <c r="R1748"/>
      <c r="S1748"/>
      <c r="T1748"/>
      <c r="U1748"/>
      <c r="V1748" s="39"/>
      <c r="W1748"/>
      <c r="X1748"/>
      <c r="Y1748"/>
      <c r="Z1748"/>
      <c r="AA1748"/>
    </row>
    <row r="1749" spans="1:27" x14ac:dyDescent="0.25">
      <c r="A1749"/>
      <c r="B1749" s="36"/>
      <c r="C1749" s="36"/>
      <c r="D1749"/>
      <c r="E1749"/>
      <c r="F1749"/>
      <c r="G1749"/>
      <c r="H1749"/>
      <c r="I1749"/>
      <c r="J1749"/>
      <c r="K1749"/>
      <c r="L1749"/>
      <c r="M1749"/>
      <c r="N1749"/>
      <c r="O1749"/>
      <c r="P1749" s="36"/>
      <c r="Q1749" s="37"/>
      <c r="R1749"/>
      <c r="S1749"/>
      <c r="T1749"/>
      <c r="U1749"/>
      <c r="V1749" s="39"/>
      <c r="W1749"/>
      <c r="X1749"/>
      <c r="Y1749"/>
      <c r="Z1749"/>
      <c r="AA1749"/>
    </row>
    <row r="1750" spans="1:27" x14ac:dyDescent="0.25">
      <c r="A1750"/>
      <c r="B1750" s="36"/>
      <c r="C1750" s="36"/>
      <c r="D1750"/>
      <c r="E1750"/>
      <c r="F1750"/>
      <c r="G1750"/>
      <c r="H1750"/>
      <c r="I1750"/>
      <c r="J1750"/>
      <c r="K1750"/>
      <c r="L1750"/>
      <c r="M1750"/>
      <c r="N1750"/>
      <c r="O1750"/>
      <c r="P1750" s="36"/>
      <c r="Q1750" s="37"/>
      <c r="R1750"/>
      <c r="S1750"/>
      <c r="T1750"/>
      <c r="U1750"/>
      <c r="V1750" s="39"/>
      <c r="W1750"/>
      <c r="X1750"/>
      <c r="Y1750"/>
      <c r="Z1750"/>
      <c r="AA1750"/>
    </row>
    <row r="1751" spans="1:27" x14ac:dyDescent="0.25">
      <c r="A1751"/>
      <c r="B1751" s="36"/>
      <c r="C1751" s="36"/>
      <c r="D1751"/>
      <c r="E1751"/>
      <c r="F1751"/>
      <c r="G1751"/>
      <c r="H1751"/>
      <c r="I1751"/>
      <c r="J1751"/>
      <c r="K1751"/>
      <c r="L1751"/>
      <c r="M1751"/>
      <c r="N1751"/>
      <c r="O1751"/>
      <c r="P1751" s="36"/>
      <c r="Q1751" s="37"/>
      <c r="R1751"/>
      <c r="S1751"/>
      <c r="T1751"/>
      <c r="U1751"/>
      <c r="V1751" s="39"/>
      <c r="W1751"/>
      <c r="X1751"/>
      <c r="Y1751"/>
      <c r="Z1751"/>
      <c r="AA1751"/>
    </row>
    <row r="1752" spans="1:27" x14ac:dyDescent="0.25">
      <c r="A1752"/>
      <c r="B1752" s="36"/>
      <c r="C1752" s="36"/>
      <c r="D1752"/>
      <c r="E1752"/>
      <c r="F1752"/>
      <c r="G1752"/>
      <c r="H1752"/>
      <c r="I1752"/>
      <c r="J1752"/>
      <c r="K1752"/>
      <c r="L1752"/>
      <c r="M1752"/>
      <c r="N1752"/>
      <c r="O1752"/>
      <c r="P1752" s="36"/>
      <c r="Q1752" s="37"/>
      <c r="R1752"/>
      <c r="S1752"/>
      <c r="T1752"/>
      <c r="U1752"/>
      <c r="V1752" s="39"/>
      <c r="W1752"/>
      <c r="X1752"/>
      <c r="Y1752"/>
      <c r="Z1752"/>
      <c r="AA1752"/>
    </row>
    <row r="1753" spans="1:27" x14ac:dyDescent="0.25">
      <c r="A1753"/>
      <c r="B1753" s="36"/>
      <c r="C1753" s="36"/>
      <c r="D1753"/>
      <c r="E1753"/>
      <c r="F1753"/>
      <c r="G1753"/>
      <c r="H1753"/>
      <c r="I1753"/>
      <c r="J1753"/>
      <c r="K1753"/>
      <c r="L1753"/>
      <c r="M1753"/>
      <c r="N1753"/>
      <c r="O1753"/>
      <c r="P1753" s="36"/>
      <c r="Q1753" s="37"/>
      <c r="R1753"/>
      <c r="S1753"/>
      <c r="T1753"/>
      <c r="U1753"/>
      <c r="V1753" s="39"/>
      <c r="W1753"/>
      <c r="X1753"/>
      <c r="Y1753"/>
      <c r="Z1753"/>
      <c r="AA1753"/>
    </row>
    <row r="1754" spans="1:27" x14ac:dyDescent="0.25">
      <c r="A1754"/>
      <c r="B1754" s="36"/>
      <c r="C1754" s="36"/>
      <c r="D1754"/>
      <c r="E1754"/>
      <c r="F1754"/>
      <c r="G1754"/>
      <c r="H1754"/>
      <c r="I1754"/>
      <c r="J1754"/>
      <c r="K1754"/>
      <c r="L1754"/>
      <c r="M1754"/>
      <c r="N1754"/>
      <c r="O1754"/>
      <c r="P1754" s="36"/>
      <c r="Q1754" s="37"/>
      <c r="R1754"/>
      <c r="S1754"/>
      <c r="T1754"/>
      <c r="U1754"/>
      <c r="V1754" s="39"/>
      <c r="W1754"/>
      <c r="X1754"/>
      <c r="Y1754"/>
      <c r="Z1754"/>
      <c r="AA1754"/>
    </row>
    <row r="1755" spans="1:27" x14ac:dyDescent="0.25">
      <c r="A1755"/>
      <c r="B1755" s="36"/>
      <c r="C1755" s="36"/>
      <c r="D1755"/>
      <c r="E1755"/>
      <c r="F1755"/>
      <c r="G1755"/>
      <c r="H1755"/>
      <c r="I1755"/>
      <c r="J1755"/>
      <c r="K1755"/>
      <c r="L1755"/>
      <c r="M1755"/>
      <c r="N1755"/>
      <c r="O1755"/>
      <c r="P1755" s="36"/>
      <c r="Q1755" s="37"/>
      <c r="R1755"/>
      <c r="S1755"/>
      <c r="T1755"/>
      <c r="U1755"/>
      <c r="V1755" s="39"/>
      <c r="W1755"/>
      <c r="X1755"/>
      <c r="Y1755"/>
      <c r="Z1755"/>
      <c r="AA1755"/>
    </row>
    <row r="1756" spans="1:27" x14ac:dyDescent="0.25">
      <c r="A1756"/>
      <c r="B1756" s="36"/>
      <c r="C1756" s="36"/>
      <c r="D1756"/>
      <c r="E1756"/>
      <c r="F1756"/>
      <c r="G1756"/>
      <c r="H1756"/>
      <c r="I1756"/>
      <c r="J1756"/>
      <c r="K1756"/>
      <c r="L1756"/>
      <c r="M1756"/>
      <c r="N1756"/>
      <c r="O1756"/>
      <c r="P1756" s="36"/>
      <c r="Q1756" s="37"/>
      <c r="R1756"/>
      <c r="S1756"/>
      <c r="T1756"/>
      <c r="U1756"/>
      <c r="V1756" s="39"/>
      <c r="W1756"/>
      <c r="X1756"/>
      <c r="Y1756"/>
      <c r="Z1756"/>
      <c r="AA1756"/>
    </row>
    <row r="1757" spans="1:27" x14ac:dyDescent="0.25">
      <c r="A1757"/>
      <c r="B1757" s="36"/>
      <c r="C1757" s="36"/>
      <c r="D1757"/>
      <c r="E1757"/>
      <c r="F1757"/>
      <c r="G1757"/>
      <c r="H1757"/>
      <c r="I1757"/>
      <c r="J1757"/>
      <c r="K1757"/>
      <c r="L1757"/>
      <c r="M1757"/>
      <c r="N1757"/>
      <c r="O1757"/>
      <c r="P1757" s="36"/>
      <c r="Q1757" s="37"/>
      <c r="R1757"/>
      <c r="S1757"/>
      <c r="T1757"/>
      <c r="U1757"/>
      <c r="V1757" s="39"/>
      <c r="W1757"/>
      <c r="X1757"/>
      <c r="Y1757"/>
      <c r="Z1757"/>
      <c r="AA1757"/>
    </row>
    <row r="1758" spans="1:27" x14ac:dyDescent="0.25">
      <c r="A1758"/>
      <c r="B1758" s="36"/>
      <c r="C1758" s="36"/>
      <c r="D1758"/>
      <c r="E1758"/>
      <c r="F1758"/>
      <c r="G1758"/>
      <c r="H1758"/>
      <c r="I1758"/>
      <c r="J1758"/>
      <c r="K1758"/>
      <c r="L1758"/>
      <c r="M1758"/>
      <c r="N1758"/>
      <c r="O1758"/>
      <c r="P1758" s="36"/>
      <c r="Q1758" s="37"/>
      <c r="R1758"/>
      <c r="S1758"/>
      <c r="T1758"/>
      <c r="U1758"/>
      <c r="V1758" s="39"/>
      <c r="W1758"/>
      <c r="X1758"/>
      <c r="Y1758"/>
      <c r="Z1758"/>
      <c r="AA1758"/>
    </row>
    <row r="1759" spans="1:27" x14ac:dyDescent="0.25">
      <c r="A1759"/>
      <c r="B1759" s="36"/>
      <c r="C1759" s="36"/>
      <c r="D1759"/>
      <c r="E1759"/>
      <c r="F1759"/>
      <c r="G1759"/>
      <c r="H1759"/>
      <c r="I1759"/>
      <c r="J1759"/>
      <c r="K1759"/>
      <c r="L1759"/>
      <c r="M1759"/>
      <c r="N1759"/>
      <c r="O1759"/>
      <c r="P1759" s="36"/>
      <c r="Q1759" s="37"/>
      <c r="R1759"/>
      <c r="S1759"/>
      <c r="T1759"/>
      <c r="U1759"/>
      <c r="V1759" s="39"/>
      <c r="W1759"/>
      <c r="X1759"/>
      <c r="Y1759"/>
      <c r="Z1759"/>
      <c r="AA1759"/>
    </row>
    <row r="1760" spans="1:27" x14ac:dyDescent="0.25">
      <c r="A1760"/>
      <c r="B1760" s="36"/>
      <c r="C1760" s="36"/>
      <c r="D1760"/>
      <c r="E1760"/>
      <c r="F1760"/>
      <c r="G1760"/>
      <c r="H1760"/>
      <c r="I1760"/>
      <c r="J1760"/>
      <c r="K1760"/>
      <c r="L1760"/>
      <c r="M1760"/>
      <c r="N1760"/>
      <c r="O1760"/>
      <c r="P1760" s="36"/>
      <c r="Q1760" s="37"/>
      <c r="R1760"/>
      <c r="S1760"/>
      <c r="T1760"/>
      <c r="U1760"/>
      <c r="V1760" s="39"/>
      <c r="W1760"/>
      <c r="X1760"/>
      <c r="Y1760"/>
      <c r="Z1760"/>
      <c r="AA1760"/>
    </row>
    <row r="1761" spans="1:27" x14ac:dyDescent="0.25">
      <c r="A1761"/>
      <c r="B1761" s="36"/>
      <c r="C1761" s="36"/>
      <c r="D1761"/>
      <c r="E1761"/>
      <c r="F1761"/>
      <c r="G1761"/>
      <c r="H1761"/>
      <c r="I1761"/>
      <c r="J1761"/>
      <c r="K1761"/>
      <c r="L1761"/>
      <c r="M1761"/>
      <c r="N1761"/>
      <c r="O1761"/>
      <c r="P1761" s="36"/>
      <c r="Q1761" s="37"/>
      <c r="R1761"/>
      <c r="S1761"/>
      <c r="T1761"/>
      <c r="U1761"/>
      <c r="V1761" s="39"/>
      <c r="W1761"/>
      <c r="X1761"/>
      <c r="Y1761"/>
      <c r="Z1761"/>
      <c r="AA1761"/>
    </row>
    <row r="1762" spans="1:27" x14ac:dyDescent="0.25">
      <c r="A1762"/>
      <c r="B1762" s="36"/>
      <c r="C1762" s="36"/>
      <c r="D1762"/>
      <c r="E1762"/>
      <c r="F1762"/>
      <c r="G1762"/>
      <c r="H1762"/>
      <c r="I1762"/>
      <c r="J1762"/>
      <c r="K1762"/>
      <c r="L1762"/>
      <c r="M1762"/>
      <c r="N1762"/>
      <c r="O1762"/>
      <c r="P1762" s="36"/>
      <c r="Q1762" s="37"/>
      <c r="R1762"/>
      <c r="S1762"/>
      <c r="T1762"/>
      <c r="U1762"/>
      <c r="V1762" s="39"/>
      <c r="W1762"/>
      <c r="X1762"/>
      <c r="Y1762"/>
      <c r="Z1762"/>
      <c r="AA1762"/>
    </row>
    <row r="1763" spans="1:27" x14ac:dyDescent="0.25">
      <c r="A1763"/>
      <c r="B1763" s="36"/>
      <c r="C1763" s="36"/>
      <c r="D1763"/>
      <c r="E1763"/>
      <c r="F1763"/>
      <c r="G1763"/>
      <c r="H1763"/>
      <c r="I1763"/>
      <c r="J1763"/>
      <c r="K1763"/>
      <c r="L1763"/>
      <c r="M1763"/>
      <c r="N1763"/>
      <c r="O1763"/>
      <c r="P1763" s="36"/>
      <c r="Q1763" s="37"/>
      <c r="R1763"/>
      <c r="S1763"/>
      <c r="T1763"/>
      <c r="U1763"/>
      <c r="V1763" s="39"/>
      <c r="W1763"/>
      <c r="X1763"/>
      <c r="Y1763"/>
      <c r="Z1763"/>
      <c r="AA1763"/>
    </row>
    <row r="1764" spans="1:27" x14ac:dyDescent="0.25">
      <c r="A1764"/>
      <c r="B1764" s="36"/>
      <c r="C1764" s="36"/>
      <c r="D1764"/>
      <c r="E1764"/>
      <c r="F1764"/>
      <c r="G1764"/>
      <c r="H1764"/>
      <c r="I1764"/>
      <c r="J1764"/>
      <c r="K1764"/>
      <c r="L1764"/>
      <c r="M1764"/>
      <c r="N1764"/>
      <c r="O1764"/>
      <c r="P1764" s="36"/>
      <c r="Q1764" s="37"/>
      <c r="R1764"/>
      <c r="S1764"/>
      <c r="T1764"/>
      <c r="U1764"/>
      <c r="V1764" s="39"/>
      <c r="W1764"/>
      <c r="X1764"/>
      <c r="Y1764"/>
      <c r="Z1764"/>
      <c r="AA1764"/>
    </row>
    <row r="1765" spans="1:27" x14ac:dyDescent="0.25">
      <c r="A1765"/>
      <c r="B1765" s="36"/>
      <c r="C1765" s="36"/>
      <c r="D1765"/>
      <c r="E1765"/>
      <c r="F1765"/>
      <c r="G1765"/>
      <c r="H1765"/>
      <c r="I1765"/>
      <c r="J1765"/>
      <c r="K1765"/>
      <c r="L1765"/>
      <c r="M1765"/>
      <c r="N1765"/>
      <c r="O1765"/>
      <c r="P1765" s="36"/>
      <c r="Q1765" s="37"/>
      <c r="R1765"/>
      <c r="S1765"/>
      <c r="T1765"/>
      <c r="U1765"/>
      <c r="V1765" s="39"/>
      <c r="W1765"/>
      <c r="X1765"/>
      <c r="Y1765"/>
      <c r="Z1765"/>
      <c r="AA1765"/>
    </row>
    <row r="1766" spans="1:27" x14ac:dyDescent="0.25">
      <c r="A1766"/>
      <c r="B1766" s="36"/>
      <c r="C1766" s="36"/>
      <c r="D1766"/>
      <c r="E1766"/>
      <c r="F1766"/>
      <c r="G1766"/>
      <c r="H1766"/>
      <c r="I1766"/>
      <c r="J1766"/>
      <c r="K1766"/>
      <c r="L1766"/>
      <c r="M1766"/>
      <c r="N1766"/>
      <c r="O1766"/>
      <c r="P1766" s="36"/>
      <c r="Q1766" s="37"/>
      <c r="R1766"/>
      <c r="S1766"/>
      <c r="T1766"/>
      <c r="U1766"/>
      <c r="V1766" s="39"/>
      <c r="W1766"/>
      <c r="X1766"/>
      <c r="Y1766"/>
      <c r="Z1766"/>
      <c r="AA1766"/>
    </row>
    <row r="1767" spans="1:27" x14ac:dyDescent="0.25">
      <c r="A1767"/>
      <c r="B1767" s="36"/>
      <c r="C1767" s="36"/>
      <c r="D1767"/>
      <c r="E1767"/>
      <c r="F1767"/>
      <c r="G1767"/>
      <c r="H1767"/>
      <c r="I1767"/>
      <c r="J1767"/>
      <c r="K1767"/>
      <c r="L1767"/>
      <c r="M1767"/>
      <c r="N1767"/>
      <c r="O1767"/>
      <c r="P1767" s="36"/>
      <c r="Q1767" s="37"/>
      <c r="R1767"/>
      <c r="S1767"/>
      <c r="T1767"/>
      <c r="U1767"/>
      <c r="V1767" s="39"/>
      <c r="W1767"/>
      <c r="X1767"/>
      <c r="Y1767"/>
      <c r="Z1767"/>
      <c r="AA1767"/>
    </row>
    <row r="1768" spans="1:27" x14ac:dyDescent="0.25">
      <c r="A1768"/>
      <c r="B1768" s="36"/>
      <c r="C1768" s="36"/>
      <c r="D1768"/>
      <c r="E1768"/>
      <c r="F1768"/>
      <c r="G1768"/>
      <c r="H1768"/>
      <c r="I1768"/>
      <c r="J1768"/>
      <c r="K1768"/>
      <c r="L1768"/>
      <c r="M1768"/>
      <c r="N1768"/>
      <c r="O1768"/>
      <c r="P1768" s="36"/>
      <c r="Q1768" s="37"/>
      <c r="R1768"/>
      <c r="S1768"/>
      <c r="T1768"/>
      <c r="U1768"/>
      <c r="V1768" s="39"/>
      <c r="W1768"/>
      <c r="X1768"/>
      <c r="Y1768"/>
      <c r="Z1768"/>
      <c r="AA1768"/>
    </row>
    <row r="1769" spans="1:27" x14ac:dyDescent="0.25">
      <c r="A1769"/>
      <c r="B1769" s="36"/>
      <c r="C1769" s="36"/>
      <c r="D1769"/>
      <c r="E1769"/>
      <c r="F1769"/>
      <c r="G1769"/>
      <c r="H1769"/>
      <c r="I1769"/>
      <c r="J1769"/>
      <c r="K1769"/>
      <c r="L1769"/>
      <c r="M1769"/>
      <c r="N1769"/>
      <c r="O1769"/>
      <c r="P1769" s="36"/>
      <c r="Q1769" s="37"/>
      <c r="R1769"/>
      <c r="S1769"/>
      <c r="T1769"/>
      <c r="U1769"/>
      <c r="V1769" s="39"/>
      <c r="W1769"/>
      <c r="X1769"/>
      <c r="Y1769"/>
      <c r="Z1769"/>
      <c r="AA1769"/>
    </row>
    <row r="1770" spans="1:27" x14ac:dyDescent="0.25">
      <c r="A1770"/>
      <c r="B1770" s="36"/>
      <c r="C1770" s="36"/>
      <c r="D1770"/>
      <c r="E1770"/>
      <c r="F1770"/>
      <c r="G1770"/>
      <c r="H1770"/>
      <c r="I1770"/>
      <c r="J1770"/>
      <c r="K1770"/>
      <c r="L1770"/>
      <c r="M1770"/>
      <c r="N1770"/>
      <c r="O1770"/>
      <c r="P1770" s="36"/>
      <c r="Q1770" s="37"/>
      <c r="R1770"/>
      <c r="S1770"/>
      <c r="T1770"/>
      <c r="U1770"/>
      <c r="V1770" s="39"/>
      <c r="W1770"/>
      <c r="X1770"/>
      <c r="Y1770"/>
      <c r="Z1770"/>
      <c r="AA1770"/>
    </row>
    <row r="1771" spans="1:27" x14ac:dyDescent="0.25">
      <c r="A1771"/>
      <c r="B1771" s="36"/>
      <c r="C1771" s="36"/>
      <c r="D1771"/>
      <c r="E1771"/>
      <c r="F1771"/>
      <c r="G1771"/>
      <c r="H1771"/>
      <c r="I1771"/>
      <c r="J1771"/>
      <c r="K1771"/>
      <c r="L1771"/>
      <c r="M1771"/>
      <c r="N1771"/>
      <c r="O1771"/>
      <c r="P1771" s="36"/>
      <c r="Q1771" s="37"/>
      <c r="R1771"/>
      <c r="S1771"/>
      <c r="T1771"/>
      <c r="U1771"/>
      <c r="V1771" s="39"/>
      <c r="W1771"/>
      <c r="X1771"/>
      <c r="Y1771"/>
      <c r="Z1771"/>
      <c r="AA1771"/>
    </row>
    <row r="1772" spans="1:27" x14ac:dyDescent="0.25">
      <c r="A1772"/>
      <c r="B1772" s="36"/>
      <c r="C1772" s="36"/>
      <c r="D1772"/>
      <c r="E1772"/>
      <c r="F1772"/>
      <c r="G1772"/>
      <c r="H1772"/>
      <c r="I1772"/>
      <c r="J1772"/>
      <c r="K1772"/>
      <c r="L1772"/>
      <c r="M1772"/>
      <c r="N1772"/>
      <c r="O1772"/>
      <c r="P1772" s="36"/>
      <c r="Q1772" s="37"/>
      <c r="R1772"/>
      <c r="S1772"/>
      <c r="T1772"/>
      <c r="U1772"/>
      <c r="V1772" s="39"/>
      <c r="W1772"/>
      <c r="X1772"/>
      <c r="Y1772"/>
      <c r="Z1772"/>
      <c r="AA1772"/>
    </row>
    <row r="1773" spans="1:27" x14ac:dyDescent="0.25">
      <c r="A1773"/>
      <c r="B1773" s="36"/>
      <c r="C1773" s="36"/>
      <c r="D1773"/>
      <c r="E1773"/>
      <c r="F1773"/>
      <c r="G1773"/>
      <c r="H1773"/>
      <c r="I1773"/>
      <c r="J1773"/>
      <c r="K1773"/>
      <c r="L1773"/>
      <c r="M1773"/>
      <c r="N1773"/>
      <c r="O1773"/>
      <c r="P1773" s="36"/>
      <c r="Q1773" s="37"/>
      <c r="R1773"/>
      <c r="S1773"/>
      <c r="T1773"/>
      <c r="U1773"/>
      <c r="V1773" s="39"/>
      <c r="W1773"/>
      <c r="X1773"/>
      <c r="Y1773"/>
      <c r="Z1773"/>
      <c r="AA1773"/>
    </row>
    <row r="1774" spans="1:27" x14ac:dyDescent="0.25">
      <c r="A1774"/>
      <c r="B1774" s="36"/>
      <c r="C1774" s="36"/>
      <c r="D1774"/>
      <c r="E1774"/>
      <c r="F1774"/>
      <c r="G1774"/>
      <c r="H1774"/>
      <c r="I1774"/>
      <c r="J1774"/>
      <c r="K1774"/>
      <c r="L1774"/>
      <c r="M1774"/>
      <c r="N1774"/>
      <c r="O1774"/>
      <c r="P1774" s="36"/>
      <c r="Q1774" s="37"/>
      <c r="R1774"/>
      <c r="S1774"/>
      <c r="T1774"/>
      <c r="U1774"/>
      <c r="V1774" s="39"/>
      <c r="W1774"/>
      <c r="X1774"/>
      <c r="Y1774"/>
      <c r="Z1774"/>
      <c r="AA1774"/>
    </row>
    <row r="1775" spans="1:27" x14ac:dyDescent="0.25">
      <c r="A1775"/>
      <c r="B1775" s="36"/>
      <c r="C1775" s="36"/>
      <c r="D1775"/>
      <c r="E1775"/>
      <c r="F1775"/>
      <c r="G1775"/>
      <c r="H1775"/>
      <c r="I1775"/>
      <c r="J1775"/>
      <c r="K1775"/>
      <c r="L1775"/>
      <c r="M1775"/>
      <c r="N1775"/>
      <c r="O1775"/>
      <c r="P1775" s="36"/>
      <c r="Q1775" s="37"/>
      <c r="R1775"/>
      <c r="S1775"/>
      <c r="T1775"/>
      <c r="U1775"/>
      <c r="V1775" s="39"/>
      <c r="W1775"/>
      <c r="X1775"/>
      <c r="Y1775"/>
      <c r="Z1775"/>
      <c r="AA1775"/>
    </row>
    <row r="1776" spans="1:27" x14ac:dyDescent="0.25">
      <c r="A1776"/>
      <c r="B1776" s="36"/>
      <c r="C1776" s="36"/>
      <c r="D1776"/>
      <c r="E1776"/>
      <c r="F1776"/>
      <c r="G1776"/>
      <c r="H1776"/>
      <c r="I1776"/>
      <c r="J1776"/>
      <c r="K1776"/>
      <c r="L1776"/>
      <c r="M1776"/>
      <c r="N1776"/>
      <c r="O1776"/>
      <c r="P1776" s="36"/>
      <c r="Q1776" s="37"/>
      <c r="R1776"/>
      <c r="S1776"/>
      <c r="T1776"/>
      <c r="U1776"/>
      <c r="V1776" s="39"/>
      <c r="W1776"/>
      <c r="X1776"/>
      <c r="Y1776"/>
      <c r="Z1776"/>
      <c r="AA1776"/>
    </row>
    <row r="1777" spans="1:27" x14ac:dyDescent="0.25">
      <c r="A1777"/>
      <c r="B1777" s="36"/>
      <c r="C1777" s="36"/>
      <c r="D1777"/>
      <c r="E1777"/>
      <c r="F1777"/>
      <c r="G1777"/>
      <c r="H1777"/>
      <c r="I1777"/>
      <c r="J1777"/>
      <c r="K1777"/>
      <c r="L1777"/>
      <c r="M1777"/>
      <c r="N1777"/>
      <c r="O1777"/>
      <c r="P1777" s="36"/>
      <c r="Q1777" s="37"/>
      <c r="R1777"/>
      <c r="S1777"/>
      <c r="T1777"/>
      <c r="U1777"/>
      <c r="V1777" s="39"/>
      <c r="W1777"/>
      <c r="X1777"/>
      <c r="Y1777"/>
      <c r="Z1777"/>
      <c r="AA1777"/>
    </row>
    <row r="1778" spans="1:27" x14ac:dyDescent="0.25">
      <c r="A1778"/>
      <c r="B1778" s="36"/>
      <c r="C1778" s="36"/>
      <c r="D1778"/>
      <c r="E1778"/>
      <c r="F1778"/>
      <c r="G1778"/>
      <c r="H1778"/>
      <c r="I1778"/>
      <c r="J1778"/>
      <c r="K1778"/>
      <c r="L1778"/>
      <c r="M1778"/>
      <c r="N1778"/>
      <c r="O1778"/>
      <c r="P1778" s="36"/>
      <c r="Q1778" s="37"/>
      <c r="R1778"/>
      <c r="S1778"/>
      <c r="T1778"/>
      <c r="U1778"/>
      <c r="V1778" s="39"/>
      <c r="W1778"/>
      <c r="X1778"/>
      <c r="Y1778"/>
      <c r="Z1778"/>
      <c r="AA1778"/>
    </row>
    <row r="1779" spans="1:27" x14ac:dyDescent="0.25">
      <c r="A1779"/>
      <c r="B1779" s="36"/>
      <c r="C1779" s="36"/>
      <c r="D1779"/>
      <c r="E1779"/>
      <c r="F1779"/>
      <c r="G1779"/>
      <c r="H1779"/>
      <c r="I1779"/>
      <c r="J1779"/>
      <c r="K1779"/>
      <c r="L1779"/>
      <c r="M1779"/>
      <c r="N1779"/>
      <c r="O1779"/>
      <c r="P1779" s="36"/>
      <c r="Q1779" s="37"/>
      <c r="R1779"/>
      <c r="S1779"/>
      <c r="T1779"/>
      <c r="U1779"/>
      <c r="V1779" s="39"/>
      <c r="W1779"/>
      <c r="X1779"/>
      <c r="Y1779"/>
      <c r="Z1779"/>
      <c r="AA1779"/>
    </row>
    <row r="1780" spans="1:27" x14ac:dyDescent="0.25">
      <c r="A1780"/>
      <c r="B1780" s="36"/>
      <c r="C1780" s="36"/>
      <c r="D1780"/>
      <c r="E1780"/>
      <c r="F1780"/>
      <c r="G1780"/>
      <c r="H1780"/>
      <c r="I1780"/>
      <c r="J1780"/>
      <c r="K1780"/>
      <c r="L1780"/>
      <c r="M1780"/>
      <c r="N1780"/>
      <c r="O1780"/>
      <c r="P1780" s="36"/>
      <c r="Q1780" s="37"/>
      <c r="R1780"/>
      <c r="S1780"/>
      <c r="T1780"/>
      <c r="U1780"/>
      <c r="V1780" s="39"/>
      <c r="W1780"/>
      <c r="X1780"/>
      <c r="Y1780"/>
      <c r="Z1780"/>
      <c r="AA1780"/>
    </row>
    <row r="1781" spans="1:27" x14ac:dyDescent="0.25">
      <c r="A1781"/>
      <c r="B1781" s="36"/>
      <c r="C1781" s="36"/>
      <c r="D1781"/>
      <c r="E1781"/>
      <c r="F1781"/>
      <c r="G1781"/>
      <c r="H1781"/>
      <c r="I1781"/>
      <c r="J1781"/>
      <c r="K1781"/>
      <c r="L1781"/>
      <c r="M1781"/>
      <c r="N1781"/>
      <c r="O1781"/>
      <c r="P1781" s="36"/>
      <c r="Q1781" s="37"/>
      <c r="R1781"/>
      <c r="S1781"/>
      <c r="T1781"/>
      <c r="U1781"/>
      <c r="V1781" s="39"/>
      <c r="W1781"/>
      <c r="X1781"/>
      <c r="Y1781"/>
      <c r="Z1781"/>
      <c r="AA1781"/>
    </row>
    <row r="1782" spans="1:27" x14ac:dyDescent="0.25">
      <c r="A1782"/>
      <c r="B1782" s="36"/>
      <c r="C1782" s="36"/>
      <c r="D1782"/>
      <c r="E1782"/>
      <c r="F1782"/>
      <c r="G1782"/>
      <c r="H1782"/>
      <c r="I1782"/>
      <c r="J1782"/>
      <c r="K1782"/>
      <c r="L1782"/>
      <c r="M1782"/>
      <c r="N1782"/>
      <c r="O1782"/>
      <c r="P1782" s="36"/>
      <c r="Q1782" s="37"/>
      <c r="R1782"/>
      <c r="S1782"/>
      <c r="T1782"/>
      <c r="U1782"/>
      <c r="V1782" s="39"/>
      <c r="W1782"/>
      <c r="X1782"/>
      <c r="Y1782"/>
      <c r="Z1782"/>
      <c r="AA1782"/>
    </row>
    <row r="1783" spans="1:27" x14ac:dyDescent="0.25">
      <c r="A1783"/>
      <c r="B1783" s="36"/>
      <c r="C1783" s="36"/>
      <c r="D1783"/>
      <c r="E1783"/>
      <c r="F1783"/>
      <c r="G1783"/>
      <c r="H1783"/>
      <c r="I1783"/>
      <c r="J1783"/>
      <c r="K1783"/>
      <c r="L1783"/>
      <c r="M1783"/>
      <c r="N1783"/>
      <c r="O1783"/>
      <c r="P1783" s="36"/>
      <c r="Q1783" s="37"/>
      <c r="R1783"/>
      <c r="S1783"/>
      <c r="T1783"/>
      <c r="U1783"/>
      <c r="V1783" s="39"/>
      <c r="W1783"/>
      <c r="X1783"/>
      <c r="Y1783"/>
      <c r="Z1783"/>
      <c r="AA1783"/>
    </row>
    <row r="1784" spans="1:27" x14ac:dyDescent="0.25">
      <c r="A1784"/>
      <c r="B1784" s="36"/>
      <c r="C1784" s="36"/>
      <c r="D1784"/>
      <c r="E1784"/>
      <c r="F1784"/>
      <c r="G1784"/>
      <c r="H1784"/>
      <c r="I1784"/>
      <c r="J1784"/>
      <c r="K1784"/>
      <c r="L1784"/>
      <c r="M1784"/>
      <c r="N1784"/>
      <c r="O1784"/>
      <c r="P1784" s="36"/>
      <c r="Q1784" s="37"/>
      <c r="R1784"/>
      <c r="S1784"/>
      <c r="T1784"/>
      <c r="U1784"/>
      <c r="V1784" s="39"/>
      <c r="W1784"/>
      <c r="X1784"/>
      <c r="Y1784"/>
      <c r="Z1784"/>
      <c r="AA1784"/>
    </row>
    <row r="1785" spans="1:27" x14ac:dyDescent="0.25">
      <c r="A1785"/>
      <c r="B1785" s="36"/>
      <c r="C1785" s="36"/>
      <c r="D1785"/>
      <c r="E1785"/>
      <c r="F1785"/>
      <c r="G1785"/>
      <c r="H1785"/>
      <c r="I1785"/>
      <c r="J1785"/>
      <c r="K1785"/>
      <c r="L1785"/>
      <c r="M1785"/>
      <c r="N1785"/>
      <c r="O1785"/>
      <c r="P1785" s="36"/>
      <c r="Q1785" s="37"/>
      <c r="R1785"/>
      <c r="S1785"/>
      <c r="T1785"/>
      <c r="U1785"/>
      <c r="V1785" s="39"/>
      <c r="W1785"/>
      <c r="X1785"/>
      <c r="Y1785"/>
      <c r="Z1785"/>
      <c r="AA1785"/>
    </row>
    <row r="1786" spans="1:27" x14ac:dyDescent="0.25">
      <c r="A1786"/>
      <c r="B1786" s="36"/>
      <c r="C1786" s="36"/>
      <c r="D1786"/>
      <c r="E1786"/>
      <c r="F1786"/>
      <c r="G1786"/>
      <c r="H1786"/>
      <c r="I1786"/>
      <c r="J1786"/>
      <c r="K1786"/>
      <c r="L1786"/>
      <c r="M1786"/>
      <c r="N1786"/>
      <c r="O1786"/>
      <c r="P1786" s="36"/>
      <c r="Q1786" s="37"/>
      <c r="R1786"/>
      <c r="S1786"/>
      <c r="T1786"/>
      <c r="U1786"/>
      <c r="V1786" s="39"/>
      <c r="W1786"/>
      <c r="X1786"/>
      <c r="Y1786"/>
      <c r="Z1786"/>
      <c r="AA1786"/>
    </row>
    <row r="1787" spans="1:27" x14ac:dyDescent="0.25">
      <c r="A1787"/>
      <c r="B1787" s="36"/>
      <c r="C1787" s="36"/>
      <c r="D1787"/>
      <c r="E1787"/>
      <c r="F1787"/>
      <c r="G1787"/>
      <c r="H1787"/>
      <c r="I1787"/>
      <c r="J1787"/>
      <c r="K1787"/>
      <c r="L1787"/>
      <c r="M1787"/>
      <c r="N1787"/>
      <c r="O1787"/>
      <c r="P1787" s="36"/>
      <c r="Q1787" s="37"/>
      <c r="R1787"/>
      <c r="S1787"/>
      <c r="T1787"/>
      <c r="U1787"/>
      <c r="V1787" s="39"/>
      <c r="W1787"/>
      <c r="X1787"/>
      <c r="Y1787"/>
      <c r="Z1787"/>
      <c r="AA1787"/>
    </row>
    <row r="1788" spans="1:27" x14ac:dyDescent="0.25">
      <c r="A1788"/>
      <c r="B1788" s="36"/>
      <c r="C1788" s="36"/>
      <c r="D1788"/>
      <c r="E1788"/>
      <c r="F1788"/>
      <c r="G1788"/>
      <c r="H1788"/>
      <c r="I1788"/>
      <c r="J1788"/>
      <c r="K1788"/>
      <c r="L1788"/>
      <c r="M1788"/>
      <c r="N1788"/>
      <c r="O1788"/>
      <c r="P1788" s="36"/>
      <c r="Q1788" s="37"/>
      <c r="R1788"/>
      <c r="S1788"/>
      <c r="T1788"/>
      <c r="U1788"/>
      <c r="V1788" s="39"/>
      <c r="W1788"/>
      <c r="X1788"/>
      <c r="Y1788"/>
      <c r="Z1788"/>
      <c r="AA1788"/>
    </row>
    <row r="1789" spans="1:27" x14ac:dyDescent="0.25">
      <c r="A1789"/>
      <c r="B1789" s="36"/>
      <c r="C1789" s="36"/>
      <c r="D1789"/>
      <c r="E1789"/>
      <c r="F1789"/>
      <c r="G1789"/>
      <c r="H1789"/>
      <c r="I1789"/>
      <c r="J1789"/>
      <c r="K1789"/>
      <c r="L1789"/>
      <c r="M1789"/>
      <c r="N1789"/>
      <c r="O1789"/>
      <c r="P1789" s="36"/>
      <c r="Q1789" s="37"/>
      <c r="R1789"/>
      <c r="S1789"/>
      <c r="T1789"/>
      <c r="U1789"/>
      <c r="V1789" s="39"/>
      <c r="W1789"/>
      <c r="X1789"/>
      <c r="Y1789"/>
      <c r="Z1789"/>
      <c r="AA1789"/>
    </row>
    <row r="1790" spans="1:27" x14ac:dyDescent="0.25">
      <c r="A1790"/>
      <c r="B1790" s="36"/>
      <c r="C1790" s="36"/>
      <c r="D1790"/>
      <c r="E1790"/>
      <c r="F1790"/>
      <c r="G1790"/>
      <c r="H1790"/>
      <c r="I1790"/>
      <c r="J1790"/>
      <c r="K1790"/>
      <c r="L1790"/>
      <c r="M1790"/>
      <c r="N1790"/>
      <c r="O1790"/>
      <c r="P1790" s="36"/>
      <c r="Q1790" s="37"/>
      <c r="R1790"/>
      <c r="S1790"/>
      <c r="T1790"/>
      <c r="U1790"/>
      <c r="V1790" s="39"/>
      <c r="W1790"/>
      <c r="X1790"/>
      <c r="Y1790"/>
      <c r="Z1790"/>
      <c r="AA1790"/>
    </row>
    <row r="1791" spans="1:27" x14ac:dyDescent="0.25">
      <c r="A1791"/>
      <c r="B1791" s="36"/>
      <c r="C1791" s="36"/>
      <c r="D1791"/>
      <c r="E1791"/>
      <c r="F1791"/>
      <c r="G1791"/>
      <c r="H1791"/>
      <c r="I1791"/>
      <c r="J1791"/>
      <c r="K1791"/>
      <c r="L1791"/>
      <c r="M1791"/>
      <c r="N1791"/>
      <c r="O1791"/>
      <c r="P1791" s="36"/>
      <c r="Q1791" s="37"/>
      <c r="R1791" s="44"/>
      <c r="S1791"/>
      <c r="T1791"/>
      <c r="U1791"/>
      <c r="V1791" s="39"/>
      <c r="W1791"/>
      <c r="X1791"/>
      <c r="Y1791"/>
      <c r="Z1791"/>
      <c r="AA1791"/>
    </row>
    <row r="1792" spans="1:27" x14ac:dyDescent="0.25">
      <c r="A1792"/>
      <c r="B1792" s="36"/>
      <c r="C1792" s="36"/>
      <c r="D1792"/>
      <c r="E1792"/>
      <c r="F1792"/>
      <c r="G1792"/>
      <c r="H1792"/>
      <c r="I1792"/>
      <c r="J1792"/>
      <c r="K1792"/>
      <c r="L1792"/>
      <c r="M1792"/>
      <c r="N1792"/>
      <c r="O1792"/>
      <c r="P1792" s="36"/>
      <c r="Q1792" s="37"/>
      <c r="R1792"/>
      <c r="S1792"/>
      <c r="T1792"/>
      <c r="U1792"/>
      <c r="V1792" s="39"/>
      <c r="W1792"/>
      <c r="X1792"/>
      <c r="Y1792"/>
      <c r="Z1792"/>
      <c r="AA1792"/>
    </row>
    <row r="1793" spans="1:27" x14ac:dyDescent="0.25">
      <c r="A1793"/>
      <c r="B1793" s="36"/>
      <c r="C1793" s="36"/>
      <c r="D1793"/>
      <c r="E1793"/>
      <c r="F1793"/>
      <c r="G1793"/>
      <c r="H1793"/>
      <c r="I1793"/>
      <c r="J1793"/>
      <c r="K1793"/>
      <c r="L1793"/>
      <c r="M1793"/>
      <c r="N1793"/>
      <c r="O1793"/>
      <c r="P1793" s="36"/>
      <c r="Q1793" s="37"/>
      <c r="R1793"/>
      <c r="S1793"/>
      <c r="T1793"/>
      <c r="U1793"/>
      <c r="V1793" s="39"/>
      <c r="W1793"/>
      <c r="X1793"/>
      <c r="Y1793"/>
      <c r="Z1793"/>
      <c r="AA1793"/>
    </row>
    <row r="1794" spans="1:27" x14ac:dyDescent="0.25">
      <c r="A1794"/>
      <c r="B1794" s="36"/>
      <c r="C1794" s="36"/>
      <c r="D1794"/>
      <c r="E1794"/>
      <c r="F1794"/>
      <c r="G1794"/>
      <c r="H1794"/>
      <c r="I1794"/>
      <c r="J1794"/>
      <c r="K1794"/>
      <c r="L1794"/>
      <c r="M1794"/>
      <c r="N1794"/>
      <c r="O1794"/>
      <c r="P1794" s="36"/>
      <c r="Q1794" s="37"/>
      <c r="R1794"/>
      <c r="S1794"/>
      <c r="T1794"/>
      <c r="U1794"/>
      <c r="V1794" s="39"/>
      <c r="W1794"/>
      <c r="X1794"/>
      <c r="Y1794"/>
      <c r="Z1794"/>
      <c r="AA1794"/>
    </row>
    <row r="1795" spans="1:27" x14ac:dyDescent="0.25">
      <c r="A1795"/>
      <c r="B1795" s="36"/>
      <c r="C1795" s="36"/>
      <c r="D1795"/>
      <c r="E1795"/>
      <c r="F1795"/>
      <c r="G1795"/>
      <c r="H1795"/>
      <c r="I1795"/>
      <c r="J1795"/>
      <c r="K1795"/>
      <c r="L1795"/>
      <c r="M1795"/>
      <c r="N1795"/>
      <c r="O1795"/>
      <c r="P1795" s="36"/>
      <c r="Q1795" s="37"/>
      <c r="R1795"/>
      <c r="S1795"/>
      <c r="T1795"/>
      <c r="U1795"/>
      <c r="V1795" s="39"/>
      <c r="W1795"/>
      <c r="X1795"/>
      <c r="Y1795"/>
      <c r="Z1795"/>
      <c r="AA1795"/>
    </row>
    <row r="1796" spans="1:27" x14ac:dyDescent="0.25">
      <c r="A1796"/>
      <c r="B1796" s="36"/>
      <c r="C1796" s="36"/>
      <c r="D1796"/>
      <c r="E1796"/>
      <c r="F1796"/>
      <c r="G1796"/>
      <c r="H1796"/>
      <c r="I1796"/>
      <c r="J1796"/>
      <c r="K1796"/>
      <c r="L1796"/>
      <c r="M1796"/>
      <c r="N1796"/>
      <c r="O1796"/>
      <c r="P1796" s="36"/>
      <c r="Q1796" s="37"/>
      <c r="R1796"/>
      <c r="S1796"/>
      <c r="T1796"/>
      <c r="U1796"/>
      <c r="V1796" s="39"/>
      <c r="W1796"/>
      <c r="X1796"/>
      <c r="Y1796"/>
      <c r="Z1796"/>
      <c r="AA1796"/>
    </row>
    <row r="1797" spans="1:27" x14ac:dyDescent="0.25">
      <c r="A1797"/>
      <c r="B1797" s="36"/>
      <c r="C1797" s="36"/>
      <c r="D1797"/>
      <c r="E1797"/>
      <c r="F1797"/>
      <c r="G1797"/>
      <c r="H1797"/>
      <c r="I1797"/>
      <c r="J1797"/>
      <c r="K1797"/>
      <c r="L1797"/>
      <c r="M1797"/>
      <c r="N1797"/>
      <c r="O1797"/>
      <c r="P1797" s="36"/>
      <c r="Q1797" s="37"/>
      <c r="R1797"/>
      <c r="S1797"/>
      <c r="T1797"/>
      <c r="U1797"/>
      <c r="V1797" s="39"/>
      <c r="W1797"/>
      <c r="X1797"/>
      <c r="Y1797"/>
      <c r="Z1797"/>
      <c r="AA1797"/>
    </row>
    <row r="1798" spans="1:27" x14ac:dyDescent="0.25">
      <c r="A1798"/>
      <c r="B1798" s="36"/>
      <c r="C1798" s="36"/>
      <c r="D1798"/>
      <c r="E1798"/>
      <c r="F1798"/>
      <c r="G1798"/>
      <c r="H1798"/>
      <c r="I1798"/>
      <c r="J1798"/>
      <c r="K1798"/>
      <c r="L1798"/>
      <c r="M1798"/>
      <c r="N1798"/>
      <c r="O1798"/>
      <c r="P1798" s="36"/>
      <c r="Q1798" s="37"/>
      <c r="R1798"/>
      <c r="S1798"/>
      <c r="T1798"/>
      <c r="U1798"/>
      <c r="V1798" s="39"/>
      <c r="W1798"/>
      <c r="X1798"/>
      <c r="Y1798"/>
      <c r="Z1798"/>
      <c r="AA1798"/>
    </row>
    <row r="1799" spans="1:27" x14ac:dyDescent="0.25">
      <c r="A1799"/>
      <c r="B1799" s="36"/>
      <c r="C1799" s="36"/>
      <c r="D1799"/>
      <c r="E1799"/>
      <c r="F1799"/>
      <c r="G1799"/>
      <c r="H1799"/>
      <c r="I1799"/>
      <c r="J1799"/>
      <c r="K1799"/>
      <c r="L1799"/>
      <c r="M1799"/>
      <c r="N1799"/>
      <c r="O1799"/>
      <c r="P1799" s="36"/>
      <c r="Q1799" s="37"/>
      <c r="R1799"/>
      <c r="S1799"/>
      <c r="T1799"/>
      <c r="U1799"/>
      <c r="V1799" s="39"/>
      <c r="W1799"/>
      <c r="X1799"/>
      <c r="Y1799"/>
      <c r="Z1799"/>
      <c r="AA1799"/>
    </row>
    <row r="1800" spans="1:27" x14ac:dyDescent="0.25">
      <c r="A1800"/>
      <c r="B1800" s="36"/>
      <c r="C1800" s="36"/>
      <c r="D1800"/>
      <c r="E1800"/>
      <c r="F1800"/>
      <c r="G1800"/>
      <c r="H1800"/>
      <c r="I1800"/>
      <c r="J1800"/>
      <c r="K1800"/>
      <c r="L1800"/>
      <c r="M1800"/>
      <c r="N1800"/>
      <c r="O1800"/>
      <c r="P1800" s="36"/>
      <c r="Q1800" s="37"/>
      <c r="R1800"/>
      <c r="S1800"/>
      <c r="T1800"/>
      <c r="U1800"/>
      <c r="V1800" s="39"/>
      <c r="W1800"/>
      <c r="X1800"/>
      <c r="Y1800"/>
      <c r="Z1800"/>
      <c r="AA1800"/>
    </row>
    <row r="1801" spans="1:27" x14ac:dyDescent="0.25">
      <c r="A1801"/>
      <c r="B1801" s="36"/>
      <c r="C1801" s="36"/>
      <c r="D1801"/>
      <c r="E1801"/>
      <c r="F1801"/>
      <c r="G1801"/>
      <c r="H1801"/>
      <c r="I1801"/>
      <c r="J1801"/>
      <c r="K1801"/>
      <c r="L1801"/>
      <c r="M1801"/>
      <c r="N1801"/>
      <c r="O1801"/>
      <c r="P1801" s="36"/>
      <c r="Q1801" s="37"/>
      <c r="R1801"/>
      <c r="S1801"/>
      <c r="T1801"/>
      <c r="U1801"/>
      <c r="V1801" s="39"/>
      <c r="W1801"/>
      <c r="X1801"/>
      <c r="Y1801"/>
      <c r="Z1801"/>
      <c r="AA1801"/>
    </row>
    <row r="1802" spans="1:27" x14ac:dyDescent="0.25">
      <c r="A1802"/>
      <c r="B1802" s="36"/>
      <c r="C1802" s="36"/>
      <c r="D1802"/>
      <c r="E1802"/>
      <c r="F1802"/>
      <c r="G1802"/>
      <c r="H1802"/>
      <c r="I1802"/>
      <c r="J1802"/>
      <c r="K1802"/>
      <c r="L1802"/>
      <c r="M1802"/>
      <c r="N1802"/>
      <c r="O1802"/>
      <c r="P1802" s="36"/>
      <c r="Q1802" s="37"/>
      <c r="R1802"/>
      <c r="S1802"/>
      <c r="T1802"/>
      <c r="U1802"/>
      <c r="V1802" s="39"/>
      <c r="W1802"/>
      <c r="X1802"/>
      <c r="Y1802"/>
      <c r="Z1802"/>
      <c r="AA1802"/>
    </row>
    <row r="1803" spans="1:27" x14ac:dyDescent="0.25">
      <c r="A1803"/>
      <c r="B1803" s="36"/>
      <c r="C1803" s="36"/>
      <c r="D1803"/>
      <c r="E1803"/>
      <c r="F1803"/>
      <c r="G1803"/>
      <c r="H1803"/>
      <c r="I1803"/>
      <c r="J1803"/>
      <c r="K1803"/>
      <c r="L1803"/>
      <c r="M1803"/>
      <c r="N1803"/>
      <c r="O1803"/>
      <c r="P1803" s="36"/>
      <c r="Q1803" s="37"/>
      <c r="R1803"/>
      <c r="S1803"/>
      <c r="T1803"/>
      <c r="U1803"/>
      <c r="V1803" s="39"/>
      <c r="W1803"/>
      <c r="X1803"/>
      <c r="Y1803"/>
      <c r="Z1803"/>
      <c r="AA1803"/>
    </row>
    <row r="1804" spans="1:27" x14ac:dyDescent="0.25">
      <c r="A1804"/>
      <c r="B1804" s="36"/>
      <c r="C1804" s="36"/>
      <c r="D1804"/>
      <c r="E1804"/>
      <c r="F1804"/>
      <c r="G1804"/>
      <c r="H1804"/>
      <c r="I1804"/>
      <c r="J1804"/>
      <c r="K1804"/>
      <c r="L1804"/>
      <c r="M1804"/>
      <c r="N1804"/>
      <c r="O1804"/>
      <c r="P1804" s="36"/>
      <c r="Q1804" s="37"/>
      <c r="R1804"/>
      <c r="S1804"/>
      <c r="T1804"/>
      <c r="U1804"/>
      <c r="V1804" s="39"/>
      <c r="W1804"/>
      <c r="X1804"/>
      <c r="Y1804"/>
      <c r="Z1804"/>
      <c r="AA1804"/>
    </row>
    <row r="1805" spans="1:27" x14ac:dyDescent="0.25">
      <c r="A1805"/>
      <c r="B1805" s="36"/>
      <c r="C1805" s="36"/>
      <c r="D1805"/>
      <c r="E1805"/>
      <c r="F1805"/>
      <c r="G1805"/>
      <c r="H1805"/>
      <c r="I1805"/>
      <c r="J1805"/>
      <c r="K1805"/>
      <c r="L1805"/>
      <c r="M1805"/>
      <c r="N1805"/>
      <c r="O1805"/>
      <c r="P1805" s="36"/>
      <c r="Q1805" s="37"/>
      <c r="R1805"/>
      <c r="S1805"/>
      <c r="T1805"/>
      <c r="U1805"/>
      <c r="V1805" s="39"/>
      <c r="W1805"/>
      <c r="X1805"/>
      <c r="Y1805"/>
      <c r="Z1805"/>
      <c r="AA1805"/>
    </row>
    <row r="1806" spans="1:27" x14ac:dyDescent="0.25">
      <c r="A1806"/>
      <c r="B1806" s="36"/>
      <c r="C1806" s="36"/>
      <c r="D1806"/>
      <c r="E1806"/>
      <c r="F1806"/>
      <c r="G1806"/>
      <c r="H1806"/>
      <c r="I1806"/>
      <c r="J1806"/>
      <c r="K1806"/>
      <c r="L1806"/>
      <c r="M1806"/>
      <c r="N1806"/>
      <c r="O1806"/>
      <c r="P1806" s="36"/>
      <c r="Q1806" s="37"/>
      <c r="R1806"/>
      <c r="S1806"/>
      <c r="T1806"/>
      <c r="U1806"/>
      <c r="V1806" s="39"/>
      <c r="W1806"/>
      <c r="X1806"/>
      <c r="Y1806"/>
      <c r="Z1806"/>
      <c r="AA1806"/>
    </row>
    <row r="1807" spans="1:27" x14ac:dyDescent="0.25">
      <c r="A1807"/>
      <c r="B1807" s="36"/>
      <c r="C1807" s="36"/>
      <c r="D1807"/>
      <c r="E1807"/>
      <c r="F1807"/>
      <c r="G1807"/>
      <c r="H1807"/>
      <c r="I1807"/>
      <c r="J1807"/>
      <c r="K1807"/>
      <c r="L1807"/>
      <c r="M1807"/>
      <c r="N1807"/>
      <c r="O1807"/>
      <c r="P1807" s="36"/>
      <c r="Q1807" s="37"/>
      <c r="R1807"/>
      <c r="S1807"/>
      <c r="T1807"/>
      <c r="U1807"/>
      <c r="V1807" s="39"/>
      <c r="W1807"/>
      <c r="X1807"/>
      <c r="Y1807"/>
      <c r="Z1807"/>
      <c r="AA1807"/>
    </row>
    <row r="1808" spans="1:27" x14ac:dyDescent="0.25">
      <c r="A1808"/>
      <c r="B1808" s="36"/>
      <c r="C1808" s="36"/>
      <c r="D1808"/>
      <c r="E1808"/>
      <c r="F1808"/>
      <c r="G1808"/>
      <c r="H1808"/>
      <c r="I1808"/>
      <c r="J1808"/>
      <c r="K1808"/>
      <c r="L1808"/>
      <c r="M1808"/>
      <c r="N1808"/>
      <c r="O1808"/>
      <c r="P1808" s="36"/>
      <c r="Q1808" s="37"/>
      <c r="R1808"/>
      <c r="S1808"/>
      <c r="T1808"/>
      <c r="U1808"/>
      <c r="V1808" s="39"/>
      <c r="W1808"/>
      <c r="X1808"/>
      <c r="Y1808"/>
      <c r="Z1808"/>
      <c r="AA1808"/>
    </row>
    <row r="1809" spans="1:27" x14ac:dyDescent="0.25">
      <c r="A1809"/>
      <c r="B1809" s="36"/>
      <c r="C1809" s="36"/>
      <c r="D1809"/>
      <c r="E1809"/>
      <c r="F1809"/>
      <c r="G1809"/>
      <c r="H1809"/>
      <c r="I1809"/>
      <c r="J1809"/>
      <c r="K1809"/>
      <c r="L1809"/>
      <c r="M1809"/>
      <c r="N1809"/>
      <c r="O1809"/>
      <c r="P1809" s="36"/>
      <c r="Q1809" s="37"/>
      <c r="R1809"/>
      <c r="S1809"/>
      <c r="T1809"/>
      <c r="U1809"/>
      <c r="V1809" s="39"/>
      <c r="W1809"/>
      <c r="X1809"/>
      <c r="Y1809"/>
      <c r="Z1809"/>
      <c r="AA1809"/>
    </row>
    <row r="1810" spans="1:27" x14ac:dyDescent="0.25">
      <c r="A1810"/>
      <c r="B1810" s="36"/>
      <c r="C1810" s="36"/>
      <c r="D1810"/>
      <c r="E1810"/>
      <c r="F1810"/>
      <c r="G1810"/>
      <c r="H1810"/>
      <c r="I1810"/>
      <c r="J1810"/>
      <c r="K1810"/>
      <c r="L1810"/>
      <c r="M1810"/>
      <c r="N1810"/>
      <c r="O1810"/>
      <c r="P1810" s="36"/>
      <c r="Q1810" s="37"/>
      <c r="R1810"/>
      <c r="S1810"/>
      <c r="T1810"/>
      <c r="U1810"/>
      <c r="V1810" s="39"/>
      <c r="W1810"/>
      <c r="X1810"/>
      <c r="Y1810"/>
      <c r="Z1810"/>
      <c r="AA1810"/>
    </row>
    <row r="1811" spans="1:27" x14ac:dyDescent="0.25">
      <c r="A1811"/>
      <c r="B1811" s="36"/>
      <c r="C1811" s="36"/>
      <c r="D1811"/>
      <c r="E1811"/>
      <c r="F1811"/>
      <c r="G1811"/>
      <c r="H1811"/>
      <c r="I1811"/>
      <c r="J1811"/>
      <c r="K1811"/>
      <c r="L1811"/>
      <c r="M1811"/>
      <c r="N1811"/>
      <c r="O1811"/>
      <c r="P1811" s="36"/>
      <c r="Q1811" s="37"/>
      <c r="R1811"/>
      <c r="S1811"/>
      <c r="T1811"/>
      <c r="U1811"/>
      <c r="V1811" s="39"/>
      <c r="W1811"/>
      <c r="X1811"/>
      <c r="Y1811"/>
      <c r="Z1811"/>
      <c r="AA1811"/>
    </row>
    <row r="1812" spans="1:27" x14ac:dyDescent="0.25">
      <c r="A1812"/>
      <c r="B1812" s="36"/>
      <c r="C1812" s="36"/>
      <c r="D1812"/>
      <c r="E1812"/>
      <c r="F1812"/>
      <c r="G1812"/>
      <c r="H1812"/>
      <c r="I1812"/>
      <c r="J1812"/>
      <c r="K1812"/>
      <c r="L1812"/>
      <c r="M1812"/>
      <c r="N1812"/>
      <c r="O1812"/>
      <c r="P1812" s="36"/>
      <c r="Q1812" s="37"/>
      <c r="R1812"/>
      <c r="S1812"/>
      <c r="T1812"/>
      <c r="U1812"/>
      <c r="V1812" s="39"/>
      <c r="W1812"/>
      <c r="X1812"/>
      <c r="Y1812"/>
      <c r="Z1812"/>
      <c r="AA1812"/>
    </row>
    <row r="1813" spans="1:27" x14ac:dyDescent="0.25">
      <c r="A1813"/>
      <c r="B1813" s="36"/>
      <c r="C1813" s="36"/>
      <c r="D1813"/>
      <c r="E1813"/>
      <c r="F1813"/>
      <c r="G1813"/>
      <c r="H1813"/>
      <c r="I1813"/>
      <c r="J1813"/>
      <c r="K1813"/>
      <c r="L1813"/>
      <c r="M1813"/>
      <c r="N1813"/>
      <c r="O1813"/>
      <c r="P1813" s="36"/>
      <c r="Q1813" s="37"/>
      <c r="R1813"/>
      <c r="S1813"/>
      <c r="T1813"/>
      <c r="U1813"/>
      <c r="V1813" s="39"/>
      <c r="W1813"/>
      <c r="X1813"/>
      <c r="Y1813"/>
      <c r="Z1813"/>
      <c r="AA1813"/>
    </row>
    <row r="1814" spans="1:27" x14ac:dyDescent="0.25">
      <c r="A1814"/>
      <c r="B1814" s="36"/>
      <c r="C1814" s="36"/>
      <c r="D1814"/>
      <c r="E1814"/>
      <c r="F1814"/>
      <c r="G1814"/>
      <c r="H1814"/>
      <c r="I1814"/>
      <c r="J1814"/>
      <c r="K1814"/>
      <c r="L1814"/>
      <c r="M1814"/>
      <c r="N1814"/>
      <c r="O1814"/>
      <c r="P1814" s="36"/>
      <c r="Q1814" s="37"/>
      <c r="R1814"/>
      <c r="S1814"/>
      <c r="T1814"/>
      <c r="U1814"/>
      <c r="V1814" s="39"/>
      <c r="W1814"/>
      <c r="X1814"/>
      <c r="Y1814"/>
      <c r="Z1814"/>
      <c r="AA1814"/>
    </row>
    <row r="1815" spans="1:27" x14ac:dyDescent="0.25">
      <c r="A1815"/>
      <c r="B1815" s="36"/>
      <c r="C1815" s="36"/>
      <c r="D1815"/>
      <c r="E1815"/>
      <c r="F1815"/>
      <c r="G1815"/>
      <c r="H1815"/>
      <c r="I1815"/>
      <c r="J1815"/>
      <c r="K1815"/>
      <c r="L1815"/>
      <c r="M1815"/>
      <c r="N1815"/>
      <c r="O1815"/>
      <c r="P1815" s="36"/>
      <c r="Q1815" s="37"/>
      <c r="R1815"/>
      <c r="S1815"/>
      <c r="T1815"/>
      <c r="U1815"/>
      <c r="V1815" s="39"/>
      <c r="W1815"/>
      <c r="X1815"/>
      <c r="Y1815"/>
      <c r="Z1815"/>
      <c r="AA1815"/>
    </row>
    <row r="1816" spans="1:27" x14ac:dyDescent="0.25">
      <c r="A1816"/>
      <c r="B1816" s="36"/>
      <c r="C1816" s="36"/>
      <c r="D1816"/>
      <c r="E1816"/>
      <c r="F1816"/>
      <c r="G1816"/>
      <c r="H1816"/>
      <c r="I1816"/>
      <c r="J1816"/>
      <c r="K1816"/>
      <c r="L1816"/>
      <c r="M1816"/>
      <c r="N1816"/>
      <c r="O1816"/>
      <c r="P1816" s="36"/>
      <c r="Q1816" s="37"/>
      <c r="R1816"/>
      <c r="S1816"/>
      <c r="T1816"/>
      <c r="U1816"/>
      <c r="V1816" s="39"/>
      <c r="W1816"/>
      <c r="X1816"/>
      <c r="Y1816"/>
      <c r="Z1816"/>
      <c r="AA1816"/>
    </row>
    <row r="1817" spans="1:27" x14ac:dyDescent="0.25">
      <c r="A1817"/>
      <c r="B1817" s="36"/>
      <c r="C1817" s="36"/>
      <c r="D1817"/>
      <c r="E1817"/>
      <c r="F1817"/>
      <c r="G1817"/>
      <c r="H1817"/>
      <c r="I1817"/>
      <c r="J1817"/>
      <c r="K1817"/>
      <c r="L1817"/>
      <c r="M1817"/>
      <c r="N1817"/>
      <c r="O1817"/>
      <c r="P1817" s="36"/>
      <c r="Q1817" s="37"/>
      <c r="R1817"/>
      <c r="S1817"/>
      <c r="T1817"/>
      <c r="U1817"/>
      <c r="V1817" s="39"/>
      <c r="W1817"/>
      <c r="X1817"/>
      <c r="Y1817"/>
      <c r="Z1817"/>
      <c r="AA1817"/>
    </row>
    <row r="1818" spans="1:27" x14ac:dyDescent="0.25">
      <c r="A1818"/>
      <c r="B1818" s="36"/>
      <c r="C1818" s="36"/>
      <c r="D1818"/>
      <c r="E1818"/>
      <c r="F1818"/>
      <c r="G1818"/>
      <c r="H1818"/>
      <c r="I1818"/>
      <c r="J1818"/>
      <c r="K1818"/>
      <c r="L1818"/>
      <c r="M1818"/>
      <c r="N1818"/>
      <c r="O1818"/>
      <c r="P1818" s="36"/>
      <c r="Q1818" s="37"/>
      <c r="R1818"/>
      <c r="S1818"/>
      <c r="T1818"/>
      <c r="U1818"/>
      <c r="V1818" s="39"/>
      <c r="W1818"/>
      <c r="X1818"/>
      <c r="Y1818"/>
      <c r="Z1818"/>
      <c r="AA1818"/>
    </row>
    <row r="1819" spans="1:27" x14ac:dyDescent="0.25">
      <c r="A1819"/>
      <c r="B1819" s="36"/>
      <c r="C1819" s="36"/>
      <c r="D1819"/>
      <c r="E1819"/>
      <c r="F1819"/>
      <c r="G1819"/>
      <c r="H1819"/>
      <c r="I1819"/>
      <c r="J1819"/>
      <c r="K1819"/>
      <c r="L1819"/>
      <c r="M1819"/>
      <c r="N1819"/>
      <c r="O1819"/>
      <c r="P1819" s="36"/>
      <c r="Q1819" s="37"/>
      <c r="R1819"/>
      <c r="S1819"/>
      <c r="T1819"/>
      <c r="U1819"/>
      <c r="V1819" s="39"/>
      <c r="W1819"/>
      <c r="X1819"/>
      <c r="Y1819"/>
      <c r="Z1819"/>
      <c r="AA1819"/>
    </row>
    <row r="1820" spans="1:27" x14ac:dyDescent="0.25">
      <c r="A1820"/>
      <c r="B1820" s="36"/>
      <c r="C1820" s="36"/>
      <c r="D1820"/>
      <c r="E1820"/>
      <c r="F1820"/>
      <c r="G1820"/>
      <c r="H1820"/>
      <c r="I1820"/>
      <c r="J1820"/>
      <c r="K1820"/>
      <c r="L1820"/>
      <c r="M1820"/>
      <c r="N1820"/>
      <c r="O1820"/>
      <c r="P1820" s="36"/>
      <c r="Q1820" s="37"/>
      <c r="R1820"/>
      <c r="S1820"/>
      <c r="T1820"/>
      <c r="U1820"/>
      <c r="V1820" s="39"/>
      <c r="W1820"/>
      <c r="X1820"/>
      <c r="Y1820"/>
      <c r="Z1820"/>
      <c r="AA1820"/>
    </row>
    <row r="1821" spans="1:27" x14ac:dyDescent="0.25">
      <c r="A1821"/>
      <c r="B1821" s="36"/>
      <c r="C1821" s="36"/>
      <c r="D1821"/>
      <c r="E1821"/>
      <c r="F1821"/>
      <c r="G1821"/>
      <c r="H1821"/>
      <c r="I1821"/>
      <c r="J1821"/>
      <c r="K1821"/>
      <c r="L1821"/>
      <c r="M1821"/>
      <c r="N1821"/>
      <c r="O1821"/>
      <c r="P1821" s="36"/>
      <c r="Q1821" s="37"/>
      <c r="R1821"/>
      <c r="S1821"/>
      <c r="T1821"/>
      <c r="U1821"/>
      <c r="V1821" s="39"/>
      <c r="W1821"/>
      <c r="X1821"/>
      <c r="Y1821"/>
      <c r="Z1821"/>
      <c r="AA1821"/>
    </row>
    <row r="1822" spans="1:27" x14ac:dyDescent="0.25">
      <c r="A1822"/>
      <c r="B1822" s="36"/>
      <c r="C1822" s="36"/>
      <c r="D1822"/>
      <c r="E1822"/>
      <c r="F1822"/>
      <c r="G1822"/>
      <c r="H1822"/>
      <c r="I1822"/>
      <c r="J1822"/>
      <c r="K1822"/>
      <c r="L1822"/>
      <c r="M1822"/>
      <c r="N1822"/>
      <c r="O1822"/>
      <c r="P1822" s="36"/>
      <c r="Q1822" s="37"/>
      <c r="R1822"/>
      <c r="S1822"/>
      <c r="T1822"/>
      <c r="U1822"/>
      <c r="V1822" s="39"/>
      <c r="W1822"/>
      <c r="X1822"/>
      <c r="Y1822"/>
      <c r="Z1822"/>
      <c r="AA1822"/>
    </row>
    <row r="1823" spans="1:27" x14ac:dyDescent="0.25">
      <c r="A1823"/>
      <c r="B1823" s="36"/>
      <c r="C1823" s="36"/>
      <c r="D1823"/>
      <c r="E1823"/>
      <c r="F1823"/>
      <c r="G1823"/>
      <c r="H1823"/>
      <c r="I1823"/>
      <c r="J1823"/>
      <c r="K1823"/>
      <c r="L1823"/>
      <c r="M1823"/>
      <c r="N1823"/>
      <c r="O1823"/>
      <c r="P1823" s="36"/>
      <c r="Q1823" s="37"/>
      <c r="R1823"/>
      <c r="S1823"/>
      <c r="T1823"/>
      <c r="U1823"/>
      <c r="V1823" s="39"/>
      <c r="W1823"/>
      <c r="X1823"/>
      <c r="Y1823"/>
      <c r="Z1823"/>
      <c r="AA1823"/>
    </row>
    <row r="1824" spans="1:27" x14ac:dyDescent="0.25">
      <c r="A1824"/>
      <c r="B1824" s="36"/>
      <c r="C1824" s="36"/>
      <c r="D1824"/>
      <c r="E1824"/>
      <c r="F1824"/>
      <c r="G1824"/>
      <c r="H1824"/>
      <c r="I1824"/>
      <c r="J1824"/>
      <c r="K1824"/>
      <c r="L1824"/>
      <c r="M1824"/>
      <c r="N1824"/>
      <c r="O1824"/>
      <c r="P1824" s="36"/>
      <c r="Q1824" s="37"/>
      <c r="R1824"/>
      <c r="S1824"/>
      <c r="T1824"/>
      <c r="U1824"/>
      <c r="V1824" s="39"/>
      <c r="W1824"/>
      <c r="X1824"/>
      <c r="Y1824"/>
      <c r="Z1824"/>
      <c r="AA1824"/>
    </row>
    <row r="1825" spans="1:27" x14ac:dyDescent="0.25">
      <c r="A1825"/>
      <c r="B1825" s="36"/>
      <c r="C1825" s="36"/>
      <c r="D1825"/>
      <c r="E1825"/>
      <c r="F1825"/>
      <c r="G1825"/>
      <c r="H1825"/>
      <c r="I1825"/>
      <c r="J1825"/>
      <c r="K1825"/>
      <c r="L1825"/>
      <c r="M1825"/>
      <c r="N1825"/>
      <c r="O1825"/>
      <c r="P1825" s="36"/>
      <c r="Q1825" s="37"/>
      <c r="R1825"/>
      <c r="S1825"/>
      <c r="T1825"/>
      <c r="U1825"/>
      <c r="V1825" s="39"/>
      <c r="W1825"/>
      <c r="X1825"/>
      <c r="Y1825"/>
      <c r="Z1825"/>
      <c r="AA1825"/>
    </row>
    <row r="1826" spans="1:27" x14ac:dyDescent="0.25">
      <c r="A1826"/>
      <c r="B1826" s="36"/>
      <c r="C1826" s="36"/>
      <c r="D1826"/>
      <c r="E1826"/>
      <c r="F1826"/>
      <c r="G1826"/>
      <c r="H1826"/>
      <c r="I1826"/>
      <c r="J1826"/>
      <c r="K1826"/>
      <c r="L1826"/>
      <c r="M1826"/>
      <c r="N1826"/>
      <c r="O1826"/>
      <c r="P1826" s="36"/>
      <c r="Q1826" s="37"/>
      <c r="R1826"/>
      <c r="S1826"/>
      <c r="T1826"/>
      <c r="U1826"/>
      <c r="V1826" s="39"/>
      <c r="W1826"/>
      <c r="X1826"/>
      <c r="Y1826"/>
      <c r="Z1826"/>
      <c r="AA1826"/>
    </row>
    <row r="1827" spans="1:27" x14ac:dyDescent="0.25">
      <c r="A1827"/>
      <c r="B1827" s="36"/>
      <c r="C1827" s="36"/>
      <c r="D1827"/>
      <c r="E1827"/>
      <c r="F1827"/>
      <c r="G1827"/>
      <c r="H1827"/>
      <c r="I1827"/>
      <c r="J1827"/>
      <c r="K1827"/>
      <c r="L1827"/>
      <c r="M1827"/>
      <c r="N1827"/>
      <c r="O1827"/>
      <c r="P1827" s="36"/>
      <c r="Q1827" s="37"/>
      <c r="R1827"/>
      <c r="S1827"/>
      <c r="T1827"/>
      <c r="U1827"/>
      <c r="V1827" s="39"/>
      <c r="W1827"/>
      <c r="X1827"/>
      <c r="Y1827"/>
      <c r="Z1827"/>
      <c r="AA1827"/>
    </row>
    <row r="1828" spans="1:27" x14ac:dyDescent="0.25">
      <c r="A1828"/>
      <c r="B1828" s="36"/>
      <c r="C1828" s="36"/>
      <c r="D1828"/>
      <c r="E1828"/>
      <c r="F1828"/>
      <c r="G1828"/>
      <c r="H1828"/>
      <c r="I1828"/>
      <c r="J1828"/>
      <c r="K1828"/>
      <c r="L1828"/>
      <c r="M1828"/>
      <c r="N1828"/>
      <c r="O1828"/>
      <c r="P1828" s="36"/>
      <c r="Q1828" s="37"/>
      <c r="R1828"/>
      <c r="S1828"/>
      <c r="T1828"/>
      <c r="U1828"/>
      <c r="V1828" s="39"/>
      <c r="W1828"/>
      <c r="X1828"/>
      <c r="Y1828"/>
      <c r="Z1828"/>
      <c r="AA1828"/>
    </row>
    <row r="1829" spans="1:27" x14ac:dyDescent="0.25">
      <c r="A1829"/>
      <c r="B1829" s="36"/>
      <c r="C1829" s="36"/>
      <c r="D1829"/>
      <c r="E1829"/>
      <c r="F1829"/>
      <c r="G1829"/>
      <c r="H1829"/>
      <c r="I1829"/>
      <c r="J1829"/>
      <c r="K1829"/>
      <c r="L1829"/>
      <c r="M1829"/>
      <c r="N1829"/>
      <c r="O1829"/>
      <c r="P1829" s="36"/>
      <c r="Q1829" s="37"/>
      <c r="R1829"/>
      <c r="S1829"/>
      <c r="T1829"/>
      <c r="U1829"/>
      <c r="V1829" s="39"/>
      <c r="W1829"/>
      <c r="X1829"/>
      <c r="Y1829"/>
      <c r="Z1829"/>
      <c r="AA1829"/>
    </row>
    <row r="1830" spans="1:27" x14ac:dyDescent="0.25">
      <c r="A1830"/>
      <c r="B1830" s="36"/>
      <c r="C1830" s="36"/>
      <c r="D1830"/>
      <c r="E1830"/>
      <c r="F1830"/>
      <c r="G1830"/>
      <c r="H1830"/>
      <c r="I1830"/>
      <c r="J1830"/>
      <c r="K1830"/>
      <c r="L1830"/>
      <c r="M1830"/>
      <c r="N1830"/>
      <c r="O1830"/>
      <c r="P1830" s="36"/>
      <c r="Q1830" s="37"/>
      <c r="R1830"/>
      <c r="S1830"/>
      <c r="T1830"/>
      <c r="U1830"/>
      <c r="V1830" s="39"/>
      <c r="W1830"/>
      <c r="X1830"/>
      <c r="Y1830"/>
      <c r="Z1830"/>
      <c r="AA1830"/>
    </row>
    <row r="1831" spans="1:27" x14ac:dyDescent="0.25">
      <c r="A1831"/>
      <c r="B1831" s="36"/>
      <c r="C1831" s="36"/>
      <c r="D1831"/>
      <c r="E1831"/>
      <c r="F1831"/>
      <c r="G1831"/>
      <c r="H1831"/>
      <c r="I1831"/>
      <c r="J1831"/>
      <c r="K1831"/>
      <c r="L1831"/>
      <c r="M1831"/>
      <c r="N1831"/>
      <c r="O1831"/>
      <c r="P1831" s="36"/>
      <c r="Q1831" s="37"/>
      <c r="R1831"/>
      <c r="S1831"/>
      <c r="T1831"/>
      <c r="U1831"/>
      <c r="V1831" s="39"/>
      <c r="W1831"/>
      <c r="X1831"/>
      <c r="Y1831"/>
      <c r="Z1831"/>
      <c r="AA1831"/>
    </row>
    <row r="1832" spans="1:27" x14ac:dyDescent="0.25">
      <c r="A1832"/>
      <c r="B1832" s="36"/>
      <c r="C1832" s="36"/>
      <c r="D1832"/>
      <c r="E1832"/>
      <c r="F1832"/>
      <c r="G1832"/>
      <c r="H1832"/>
      <c r="I1832"/>
      <c r="J1832"/>
      <c r="K1832"/>
      <c r="L1832"/>
      <c r="M1832"/>
      <c r="N1832"/>
      <c r="O1832"/>
      <c r="P1832" s="36"/>
      <c r="Q1832" s="37"/>
      <c r="R1832"/>
      <c r="S1832"/>
      <c r="T1832"/>
      <c r="U1832"/>
      <c r="V1832" s="39"/>
      <c r="W1832"/>
      <c r="X1832"/>
      <c r="Y1832"/>
      <c r="Z1832"/>
      <c r="AA1832"/>
    </row>
    <row r="1833" spans="1:27" x14ac:dyDescent="0.25">
      <c r="A1833"/>
      <c r="B1833" s="36"/>
      <c r="C1833" s="36"/>
      <c r="D1833"/>
      <c r="E1833"/>
      <c r="F1833"/>
      <c r="G1833"/>
      <c r="H1833"/>
      <c r="I1833"/>
      <c r="J1833"/>
      <c r="K1833"/>
      <c r="L1833"/>
      <c r="M1833"/>
      <c r="N1833"/>
      <c r="O1833"/>
      <c r="P1833" s="36"/>
      <c r="Q1833" s="37"/>
      <c r="R1833"/>
      <c r="S1833"/>
      <c r="T1833"/>
      <c r="U1833"/>
      <c r="V1833" s="39"/>
      <c r="W1833"/>
      <c r="X1833"/>
      <c r="Y1833"/>
      <c r="Z1833"/>
      <c r="AA1833"/>
    </row>
    <row r="1834" spans="1:27" x14ac:dyDescent="0.25">
      <c r="A1834"/>
      <c r="B1834" s="36"/>
      <c r="C1834" s="36"/>
      <c r="D1834"/>
      <c r="E1834"/>
      <c r="F1834"/>
      <c r="G1834"/>
      <c r="H1834"/>
      <c r="I1834"/>
      <c r="J1834"/>
      <c r="K1834"/>
      <c r="L1834"/>
      <c r="M1834"/>
      <c r="N1834"/>
      <c r="O1834"/>
      <c r="P1834" s="36"/>
      <c r="Q1834" s="37"/>
      <c r="R1834"/>
      <c r="S1834"/>
      <c r="T1834"/>
      <c r="U1834"/>
      <c r="V1834" s="39"/>
      <c r="W1834"/>
      <c r="X1834"/>
      <c r="Y1834"/>
      <c r="Z1834"/>
      <c r="AA1834"/>
    </row>
    <row r="1835" spans="1:27" x14ac:dyDescent="0.25">
      <c r="A1835"/>
      <c r="B1835" s="36"/>
      <c r="C1835" s="36"/>
      <c r="D1835"/>
      <c r="E1835"/>
      <c r="F1835"/>
      <c r="G1835"/>
      <c r="H1835"/>
      <c r="I1835"/>
      <c r="J1835"/>
      <c r="K1835"/>
      <c r="L1835"/>
      <c r="M1835"/>
      <c r="N1835"/>
      <c r="O1835"/>
      <c r="P1835" s="36"/>
      <c r="Q1835" s="37"/>
      <c r="R1835"/>
      <c r="S1835"/>
      <c r="T1835"/>
      <c r="U1835"/>
      <c r="V1835" s="39"/>
      <c r="W1835"/>
      <c r="X1835"/>
      <c r="Y1835"/>
      <c r="Z1835"/>
      <c r="AA1835"/>
    </row>
    <row r="1836" spans="1:27" x14ac:dyDescent="0.25">
      <c r="A1836"/>
      <c r="B1836" s="36"/>
      <c r="C1836" s="36"/>
      <c r="D1836"/>
      <c r="E1836"/>
      <c r="F1836"/>
      <c r="G1836"/>
      <c r="H1836"/>
      <c r="I1836"/>
      <c r="J1836"/>
      <c r="K1836"/>
      <c r="L1836"/>
      <c r="M1836"/>
      <c r="N1836"/>
      <c r="O1836"/>
      <c r="P1836" s="36"/>
      <c r="Q1836" s="37"/>
      <c r="R1836"/>
      <c r="S1836"/>
      <c r="T1836"/>
      <c r="U1836"/>
      <c r="V1836" s="39"/>
      <c r="W1836"/>
      <c r="X1836"/>
      <c r="Y1836"/>
      <c r="Z1836"/>
      <c r="AA1836"/>
    </row>
    <row r="1837" spans="1:27" x14ac:dyDescent="0.25">
      <c r="A1837"/>
      <c r="B1837" s="36"/>
      <c r="C1837" s="36"/>
      <c r="D1837"/>
      <c r="E1837"/>
      <c r="F1837"/>
      <c r="G1837"/>
      <c r="H1837"/>
      <c r="I1837"/>
      <c r="J1837"/>
      <c r="K1837"/>
      <c r="L1837"/>
      <c r="M1837"/>
      <c r="N1837"/>
      <c r="O1837"/>
      <c r="P1837" s="36"/>
      <c r="Q1837" s="37"/>
      <c r="R1837"/>
      <c r="S1837"/>
      <c r="T1837"/>
      <c r="U1837"/>
      <c r="V1837" s="39"/>
      <c r="W1837"/>
      <c r="X1837"/>
      <c r="Y1837"/>
      <c r="Z1837"/>
      <c r="AA1837"/>
    </row>
    <row r="1838" spans="1:27" x14ac:dyDescent="0.25">
      <c r="A1838"/>
      <c r="B1838" s="36"/>
      <c r="C1838" s="36"/>
      <c r="D1838"/>
      <c r="E1838"/>
      <c r="F1838"/>
      <c r="G1838"/>
      <c r="H1838"/>
      <c r="I1838"/>
      <c r="J1838"/>
      <c r="K1838"/>
      <c r="L1838"/>
      <c r="M1838"/>
      <c r="N1838"/>
      <c r="O1838"/>
      <c r="P1838" s="36"/>
      <c r="Q1838" s="37"/>
      <c r="R1838"/>
      <c r="S1838"/>
      <c r="T1838"/>
      <c r="U1838"/>
      <c r="V1838" s="39"/>
      <c r="W1838"/>
      <c r="X1838"/>
      <c r="Y1838"/>
      <c r="Z1838"/>
      <c r="AA1838"/>
    </row>
    <row r="1839" spans="1:27" x14ac:dyDescent="0.25">
      <c r="A1839"/>
      <c r="B1839" s="36"/>
      <c r="C1839" s="36"/>
      <c r="D1839"/>
      <c r="E1839"/>
      <c r="F1839"/>
      <c r="G1839"/>
      <c r="H1839"/>
      <c r="I1839"/>
      <c r="J1839"/>
      <c r="K1839"/>
      <c r="L1839"/>
      <c r="M1839"/>
      <c r="N1839"/>
      <c r="O1839"/>
      <c r="P1839" s="36"/>
      <c r="Q1839" s="37"/>
      <c r="R1839"/>
      <c r="S1839"/>
      <c r="T1839"/>
      <c r="U1839"/>
      <c r="V1839" s="39"/>
      <c r="W1839"/>
      <c r="X1839"/>
      <c r="Y1839"/>
      <c r="Z1839"/>
      <c r="AA1839"/>
    </row>
    <row r="1840" spans="1:27" x14ac:dyDescent="0.25">
      <c r="A1840"/>
      <c r="B1840" s="36"/>
      <c r="C1840" s="36"/>
      <c r="D1840"/>
      <c r="E1840"/>
      <c r="F1840"/>
      <c r="G1840"/>
      <c r="H1840"/>
      <c r="I1840"/>
      <c r="J1840"/>
      <c r="K1840"/>
      <c r="L1840"/>
      <c r="M1840"/>
      <c r="N1840"/>
      <c r="O1840"/>
      <c r="P1840" s="36"/>
      <c r="Q1840" s="37"/>
      <c r="R1840"/>
      <c r="S1840"/>
      <c r="T1840"/>
      <c r="U1840"/>
      <c r="V1840" s="39"/>
      <c r="W1840"/>
      <c r="X1840"/>
      <c r="Y1840"/>
      <c r="Z1840"/>
      <c r="AA1840"/>
    </row>
    <row r="1841" spans="1:27" x14ac:dyDescent="0.25">
      <c r="A1841"/>
      <c r="B1841" s="36"/>
      <c r="C1841" s="36"/>
      <c r="D1841"/>
      <c r="E1841"/>
      <c r="F1841"/>
      <c r="G1841"/>
      <c r="H1841"/>
      <c r="I1841"/>
      <c r="J1841"/>
      <c r="K1841"/>
      <c r="L1841"/>
      <c r="M1841"/>
      <c r="N1841"/>
      <c r="O1841"/>
      <c r="P1841" s="36"/>
      <c r="Q1841" s="37"/>
      <c r="R1841"/>
      <c r="S1841"/>
      <c r="T1841"/>
      <c r="U1841"/>
      <c r="V1841" s="39"/>
      <c r="W1841"/>
      <c r="X1841"/>
      <c r="Y1841"/>
      <c r="Z1841"/>
      <c r="AA1841"/>
    </row>
    <row r="1842" spans="1:27" x14ac:dyDescent="0.25">
      <c r="A1842"/>
      <c r="B1842" s="36"/>
      <c r="C1842" s="36"/>
      <c r="D1842"/>
      <c r="E1842"/>
      <c r="F1842"/>
      <c r="G1842"/>
      <c r="H1842"/>
      <c r="I1842"/>
      <c r="J1842"/>
      <c r="K1842"/>
      <c r="L1842"/>
      <c r="M1842"/>
      <c r="N1842"/>
      <c r="O1842"/>
      <c r="P1842" s="36"/>
      <c r="Q1842" s="37"/>
      <c r="R1842"/>
      <c r="S1842"/>
      <c r="T1842"/>
      <c r="U1842"/>
      <c r="V1842" s="39"/>
      <c r="W1842"/>
      <c r="X1842"/>
      <c r="Y1842"/>
      <c r="Z1842"/>
      <c r="AA1842"/>
    </row>
    <row r="1843" spans="1:27" x14ac:dyDescent="0.25">
      <c r="A1843"/>
      <c r="B1843" s="36"/>
      <c r="C1843" s="36"/>
      <c r="D1843"/>
      <c r="E1843"/>
      <c r="F1843"/>
      <c r="G1843"/>
      <c r="H1843"/>
      <c r="I1843"/>
      <c r="J1843"/>
      <c r="K1843"/>
      <c r="L1843"/>
      <c r="M1843"/>
      <c r="N1843"/>
      <c r="O1843"/>
      <c r="P1843" s="36"/>
      <c r="Q1843" s="37"/>
      <c r="R1843"/>
      <c r="S1843"/>
      <c r="T1843"/>
      <c r="U1843"/>
      <c r="V1843" s="39"/>
      <c r="W1843"/>
      <c r="X1843"/>
      <c r="Y1843"/>
      <c r="Z1843"/>
      <c r="AA1843"/>
    </row>
    <row r="1844" spans="1:27" x14ac:dyDescent="0.25">
      <c r="A1844"/>
      <c r="B1844" s="36"/>
      <c r="C1844" s="36"/>
      <c r="D1844"/>
      <c r="E1844"/>
      <c r="F1844"/>
      <c r="G1844"/>
      <c r="H1844"/>
      <c r="I1844"/>
      <c r="J1844"/>
      <c r="K1844"/>
      <c r="L1844"/>
      <c r="M1844"/>
      <c r="N1844"/>
      <c r="O1844"/>
      <c r="P1844" s="36"/>
      <c r="Q1844" s="37"/>
      <c r="R1844"/>
      <c r="S1844"/>
      <c r="T1844"/>
      <c r="U1844"/>
      <c r="V1844" s="39"/>
      <c r="W1844"/>
      <c r="X1844"/>
      <c r="Y1844"/>
      <c r="Z1844"/>
      <c r="AA1844"/>
    </row>
    <row r="1845" spans="1:27" x14ac:dyDescent="0.25">
      <c r="A1845"/>
      <c r="B1845" s="36"/>
      <c r="C1845" s="36"/>
      <c r="D1845"/>
      <c r="E1845"/>
      <c r="F1845"/>
      <c r="G1845"/>
      <c r="H1845"/>
      <c r="I1845"/>
      <c r="J1845"/>
      <c r="K1845"/>
      <c r="L1845"/>
      <c r="M1845"/>
      <c r="N1845"/>
      <c r="O1845"/>
      <c r="P1845" s="36"/>
      <c r="Q1845" s="37"/>
      <c r="R1845"/>
      <c r="S1845"/>
      <c r="T1845"/>
      <c r="U1845"/>
      <c r="V1845" s="39"/>
      <c r="W1845"/>
      <c r="X1845"/>
      <c r="Y1845"/>
      <c r="Z1845"/>
      <c r="AA1845"/>
    </row>
    <row r="1846" spans="1:27" x14ac:dyDescent="0.25">
      <c r="A1846"/>
      <c r="B1846" s="36"/>
      <c r="C1846" s="36"/>
      <c r="D1846"/>
      <c r="E1846"/>
      <c r="F1846"/>
      <c r="G1846"/>
      <c r="H1846"/>
      <c r="I1846"/>
      <c r="J1846"/>
      <c r="K1846"/>
      <c r="L1846"/>
      <c r="M1846"/>
      <c r="N1846"/>
      <c r="O1846"/>
      <c r="P1846" s="36"/>
      <c r="Q1846" s="37"/>
      <c r="R1846"/>
      <c r="S1846"/>
      <c r="T1846"/>
      <c r="U1846"/>
      <c r="V1846" s="39"/>
      <c r="W1846"/>
      <c r="X1846"/>
      <c r="Y1846"/>
      <c r="Z1846"/>
      <c r="AA1846"/>
    </row>
    <row r="1847" spans="1:27" x14ac:dyDescent="0.25">
      <c r="A1847"/>
      <c r="B1847" s="36"/>
      <c r="C1847" s="36"/>
      <c r="D1847"/>
      <c r="E1847"/>
      <c r="F1847"/>
      <c r="G1847"/>
      <c r="H1847"/>
      <c r="I1847"/>
      <c r="J1847"/>
      <c r="K1847"/>
      <c r="L1847"/>
      <c r="M1847"/>
      <c r="N1847"/>
      <c r="O1847"/>
      <c r="P1847" s="36"/>
      <c r="Q1847" s="37"/>
      <c r="R1847"/>
      <c r="S1847"/>
      <c r="T1847"/>
      <c r="U1847"/>
      <c r="V1847" s="39"/>
      <c r="W1847"/>
      <c r="X1847"/>
      <c r="Y1847"/>
      <c r="Z1847"/>
      <c r="AA1847"/>
    </row>
    <row r="1848" spans="1:27" x14ac:dyDescent="0.25">
      <c r="A1848"/>
      <c r="B1848" s="36"/>
      <c r="C1848" s="36"/>
      <c r="D1848"/>
      <c r="E1848"/>
      <c r="F1848"/>
      <c r="G1848"/>
      <c r="H1848"/>
      <c r="I1848"/>
      <c r="J1848"/>
      <c r="K1848"/>
      <c r="L1848"/>
      <c r="M1848"/>
      <c r="N1848"/>
      <c r="O1848"/>
      <c r="P1848" s="36"/>
      <c r="Q1848" s="37"/>
      <c r="R1848"/>
      <c r="S1848"/>
      <c r="T1848"/>
      <c r="U1848"/>
      <c r="V1848" s="39"/>
      <c r="W1848"/>
      <c r="X1848"/>
      <c r="Y1848"/>
      <c r="Z1848"/>
      <c r="AA1848"/>
    </row>
    <row r="1849" spans="1:27" x14ac:dyDescent="0.25">
      <c r="A1849"/>
      <c r="B1849" s="36"/>
      <c r="C1849" s="36"/>
      <c r="D1849"/>
      <c r="E1849"/>
      <c r="F1849"/>
      <c r="G1849"/>
      <c r="H1849"/>
      <c r="I1849"/>
      <c r="J1849"/>
      <c r="K1849"/>
      <c r="L1849"/>
      <c r="M1849"/>
      <c r="N1849"/>
      <c r="O1849"/>
      <c r="P1849" s="36"/>
      <c r="Q1849" s="37"/>
      <c r="R1849"/>
      <c r="S1849"/>
      <c r="T1849"/>
      <c r="U1849"/>
      <c r="V1849" s="39"/>
      <c r="W1849"/>
      <c r="X1849"/>
      <c r="Y1849"/>
      <c r="Z1849"/>
      <c r="AA1849"/>
    </row>
    <row r="1850" spans="1:27" x14ac:dyDescent="0.25">
      <c r="A1850"/>
      <c r="B1850" s="36"/>
      <c r="C1850" s="36"/>
      <c r="D1850"/>
      <c r="E1850"/>
      <c r="F1850"/>
      <c r="G1850"/>
      <c r="H1850"/>
      <c r="I1850"/>
      <c r="J1850"/>
      <c r="K1850"/>
      <c r="L1850"/>
      <c r="M1850"/>
      <c r="N1850"/>
      <c r="O1850"/>
      <c r="P1850" s="36"/>
      <c r="Q1850" s="37"/>
      <c r="R1850"/>
      <c r="S1850"/>
      <c r="T1850"/>
      <c r="U1850"/>
      <c r="V1850" s="39"/>
      <c r="W1850"/>
      <c r="X1850"/>
      <c r="Y1850"/>
      <c r="Z1850"/>
      <c r="AA1850"/>
    </row>
    <row r="1851" spans="1:27" x14ac:dyDescent="0.25">
      <c r="A1851"/>
      <c r="B1851" s="36"/>
      <c r="C1851" s="36"/>
      <c r="D1851"/>
      <c r="E1851"/>
      <c r="F1851"/>
      <c r="G1851"/>
      <c r="H1851"/>
      <c r="I1851"/>
      <c r="J1851"/>
      <c r="K1851"/>
      <c r="L1851"/>
      <c r="M1851"/>
      <c r="N1851"/>
      <c r="O1851"/>
      <c r="P1851" s="36"/>
      <c r="Q1851" s="37"/>
      <c r="R1851"/>
      <c r="S1851"/>
      <c r="T1851"/>
      <c r="U1851"/>
      <c r="V1851" s="39"/>
      <c r="W1851"/>
      <c r="X1851"/>
      <c r="Y1851"/>
      <c r="Z1851"/>
      <c r="AA1851"/>
    </row>
    <row r="1852" spans="1:27" x14ac:dyDescent="0.25">
      <c r="A1852"/>
      <c r="B1852" s="36"/>
      <c r="C1852" s="36"/>
      <c r="D1852"/>
      <c r="E1852"/>
      <c r="F1852"/>
      <c r="G1852"/>
      <c r="H1852"/>
      <c r="I1852"/>
      <c r="J1852"/>
      <c r="K1852"/>
      <c r="L1852"/>
      <c r="M1852"/>
      <c r="N1852"/>
      <c r="O1852"/>
      <c r="P1852" s="36"/>
      <c r="Q1852" s="37"/>
      <c r="R1852"/>
      <c r="S1852"/>
      <c r="T1852"/>
      <c r="U1852"/>
      <c r="V1852" s="39"/>
      <c r="W1852"/>
      <c r="X1852"/>
      <c r="Y1852"/>
      <c r="Z1852"/>
      <c r="AA1852"/>
    </row>
    <row r="1853" spans="1:27" x14ac:dyDescent="0.25">
      <c r="A1853"/>
      <c r="B1853" s="36"/>
      <c r="C1853" s="36"/>
      <c r="D1853"/>
      <c r="E1853"/>
      <c r="F1853"/>
      <c r="G1853"/>
      <c r="H1853"/>
      <c r="I1853"/>
      <c r="J1853"/>
      <c r="K1853"/>
      <c r="L1853"/>
      <c r="M1853"/>
      <c r="N1853"/>
      <c r="O1853"/>
      <c r="P1853" s="36"/>
      <c r="Q1853" s="37"/>
      <c r="R1853"/>
      <c r="S1853"/>
      <c r="T1853"/>
      <c r="U1853"/>
      <c r="V1853" s="39"/>
      <c r="W1853"/>
      <c r="X1853"/>
      <c r="Y1853"/>
      <c r="Z1853"/>
      <c r="AA1853"/>
    </row>
    <row r="1854" spans="1:27" x14ac:dyDescent="0.25">
      <c r="A1854"/>
      <c r="B1854" s="36"/>
      <c r="C1854" s="36"/>
      <c r="D1854"/>
      <c r="E1854"/>
      <c r="F1854"/>
      <c r="G1854"/>
      <c r="H1854"/>
      <c r="I1854"/>
      <c r="J1854"/>
      <c r="K1854"/>
      <c r="L1854"/>
      <c r="M1854"/>
      <c r="N1854"/>
      <c r="O1854"/>
      <c r="P1854" s="36"/>
      <c r="Q1854" s="37"/>
      <c r="R1854"/>
      <c r="S1854"/>
      <c r="T1854"/>
      <c r="U1854"/>
      <c r="V1854" s="39"/>
      <c r="W1854"/>
      <c r="X1854"/>
      <c r="Y1854"/>
      <c r="Z1854"/>
      <c r="AA1854"/>
    </row>
    <row r="1855" spans="1:27" x14ac:dyDescent="0.25">
      <c r="A1855"/>
      <c r="B1855" s="36"/>
      <c r="C1855" s="36"/>
      <c r="D1855"/>
      <c r="E1855"/>
      <c r="F1855"/>
      <c r="G1855"/>
      <c r="H1855"/>
      <c r="I1855"/>
      <c r="J1855"/>
      <c r="K1855"/>
      <c r="L1855"/>
      <c r="M1855"/>
      <c r="N1855"/>
      <c r="O1855"/>
      <c r="P1855" s="36"/>
      <c r="Q1855" s="37"/>
      <c r="R1855"/>
      <c r="S1855"/>
      <c r="T1855"/>
      <c r="U1855"/>
      <c r="V1855" s="39"/>
      <c r="W1855"/>
      <c r="X1855"/>
      <c r="Y1855"/>
      <c r="Z1855"/>
      <c r="AA1855"/>
    </row>
    <row r="1856" spans="1:27" x14ac:dyDescent="0.25">
      <c r="A1856"/>
      <c r="B1856" s="36"/>
      <c r="C1856" s="36"/>
      <c r="D1856"/>
      <c r="E1856"/>
      <c r="F1856"/>
      <c r="G1856"/>
      <c r="H1856"/>
      <c r="I1856"/>
      <c r="J1856"/>
      <c r="K1856"/>
      <c r="L1856"/>
      <c r="M1856"/>
      <c r="N1856"/>
      <c r="O1856"/>
      <c r="P1856" s="36"/>
      <c r="Q1856" s="37"/>
      <c r="R1856"/>
      <c r="S1856"/>
      <c r="T1856"/>
      <c r="U1856"/>
      <c r="V1856" s="39"/>
      <c r="W1856"/>
      <c r="X1856"/>
      <c r="Y1856"/>
      <c r="Z1856"/>
      <c r="AA1856"/>
    </row>
    <row r="1857" spans="1:27" x14ac:dyDescent="0.25">
      <c r="A1857"/>
      <c r="B1857" s="36"/>
      <c r="C1857" s="36"/>
      <c r="D1857"/>
      <c r="E1857"/>
      <c r="F1857"/>
      <c r="G1857"/>
      <c r="H1857"/>
      <c r="I1857"/>
      <c r="J1857"/>
      <c r="K1857"/>
      <c r="L1857"/>
      <c r="M1857"/>
      <c r="N1857"/>
      <c r="O1857"/>
      <c r="P1857" s="36"/>
      <c r="Q1857" s="37"/>
      <c r="R1857"/>
      <c r="S1857"/>
      <c r="T1857"/>
      <c r="U1857"/>
      <c r="V1857" s="39"/>
      <c r="W1857"/>
      <c r="X1857"/>
      <c r="Y1857"/>
      <c r="Z1857"/>
      <c r="AA1857"/>
    </row>
    <row r="1858" spans="1:27" x14ac:dyDescent="0.25">
      <c r="A1858"/>
      <c r="B1858" s="36"/>
      <c r="C1858" s="36"/>
      <c r="D1858"/>
      <c r="E1858"/>
      <c r="F1858"/>
      <c r="G1858"/>
      <c r="H1858"/>
      <c r="I1858"/>
      <c r="J1858"/>
      <c r="K1858"/>
      <c r="L1858"/>
      <c r="M1858"/>
      <c r="N1858"/>
      <c r="O1858"/>
      <c r="P1858" s="36"/>
      <c r="Q1858" s="37"/>
      <c r="R1858"/>
      <c r="S1858"/>
      <c r="T1858"/>
      <c r="U1858"/>
      <c r="V1858" s="39"/>
      <c r="W1858"/>
      <c r="X1858"/>
      <c r="Y1858"/>
      <c r="Z1858"/>
      <c r="AA1858"/>
    </row>
    <row r="1859" spans="1:27" x14ac:dyDescent="0.25">
      <c r="A1859"/>
      <c r="B1859" s="36"/>
      <c r="C1859" s="36"/>
      <c r="D1859"/>
      <c r="E1859"/>
      <c r="F1859"/>
      <c r="G1859"/>
      <c r="H1859"/>
      <c r="I1859"/>
      <c r="J1859"/>
      <c r="K1859"/>
      <c r="L1859"/>
      <c r="M1859"/>
      <c r="N1859"/>
      <c r="O1859"/>
      <c r="P1859" s="36"/>
      <c r="Q1859" s="37"/>
      <c r="R1859"/>
      <c r="S1859"/>
      <c r="T1859"/>
      <c r="U1859"/>
      <c r="V1859" s="39"/>
      <c r="W1859"/>
      <c r="X1859"/>
      <c r="Y1859"/>
      <c r="Z1859"/>
      <c r="AA1859"/>
    </row>
    <row r="1860" spans="1:27" x14ac:dyDescent="0.25">
      <c r="A1860"/>
      <c r="B1860" s="36"/>
      <c r="C1860" s="36"/>
      <c r="D1860"/>
      <c r="E1860"/>
      <c r="F1860"/>
      <c r="G1860"/>
      <c r="H1860"/>
      <c r="I1860"/>
      <c r="J1860"/>
      <c r="K1860"/>
      <c r="L1860"/>
      <c r="M1860"/>
      <c r="N1860"/>
      <c r="O1860"/>
      <c r="P1860" s="36"/>
      <c r="Q1860" s="37"/>
      <c r="R1860"/>
      <c r="S1860"/>
      <c r="T1860"/>
      <c r="U1860"/>
      <c r="V1860" s="39"/>
      <c r="W1860"/>
      <c r="X1860"/>
      <c r="Y1860"/>
      <c r="Z1860"/>
      <c r="AA1860"/>
    </row>
    <row r="1861" spans="1:27" x14ac:dyDescent="0.25">
      <c r="A1861"/>
      <c r="B1861" s="36"/>
      <c r="C1861" s="36"/>
      <c r="D1861"/>
      <c r="E1861"/>
      <c r="F1861"/>
      <c r="G1861"/>
      <c r="H1861"/>
      <c r="I1861"/>
      <c r="J1861"/>
      <c r="K1861"/>
      <c r="L1861"/>
      <c r="M1861"/>
      <c r="N1861"/>
      <c r="O1861"/>
      <c r="P1861" s="36"/>
      <c r="Q1861" s="37"/>
      <c r="R1861"/>
      <c r="S1861"/>
      <c r="T1861"/>
      <c r="U1861"/>
      <c r="V1861" s="39"/>
      <c r="W1861"/>
      <c r="X1861"/>
      <c r="Y1861"/>
      <c r="Z1861"/>
      <c r="AA1861"/>
    </row>
    <row r="1862" spans="1:27" x14ac:dyDescent="0.25">
      <c r="A1862"/>
      <c r="B1862" s="36"/>
      <c r="C1862" s="36"/>
      <c r="D1862"/>
      <c r="E1862"/>
      <c r="F1862"/>
      <c r="G1862"/>
      <c r="H1862"/>
      <c r="I1862"/>
      <c r="J1862"/>
      <c r="K1862"/>
      <c r="L1862"/>
      <c r="M1862"/>
      <c r="N1862"/>
      <c r="O1862"/>
      <c r="P1862" s="36"/>
      <c r="Q1862" s="37"/>
      <c r="R1862"/>
      <c r="S1862"/>
      <c r="T1862"/>
      <c r="U1862"/>
      <c r="V1862" s="39"/>
      <c r="W1862"/>
      <c r="X1862"/>
      <c r="Y1862"/>
      <c r="Z1862"/>
      <c r="AA1862"/>
    </row>
    <row r="1863" spans="1:27" x14ac:dyDescent="0.25">
      <c r="A1863"/>
      <c r="B1863" s="36"/>
      <c r="C1863" s="36"/>
      <c r="D1863"/>
      <c r="E1863"/>
      <c r="F1863"/>
      <c r="G1863"/>
      <c r="H1863"/>
      <c r="I1863"/>
      <c r="J1863"/>
      <c r="K1863"/>
      <c r="L1863"/>
      <c r="M1863"/>
      <c r="N1863"/>
      <c r="O1863"/>
      <c r="P1863" s="36"/>
      <c r="Q1863" s="37"/>
      <c r="R1863"/>
      <c r="S1863"/>
      <c r="T1863"/>
      <c r="U1863"/>
      <c r="V1863" s="39"/>
      <c r="W1863"/>
      <c r="X1863"/>
      <c r="Y1863"/>
      <c r="Z1863"/>
      <c r="AA1863"/>
    </row>
    <row r="1864" spans="1:27" x14ac:dyDescent="0.25">
      <c r="A1864"/>
      <c r="B1864" s="36"/>
      <c r="C1864" s="36"/>
      <c r="D1864"/>
      <c r="E1864"/>
      <c r="F1864"/>
      <c r="G1864"/>
      <c r="H1864"/>
      <c r="I1864"/>
      <c r="J1864"/>
      <c r="K1864"/>
      <c r="L1864"/>
      <c r="M1864"/>
      <c r="N1864"/>
      <c r="O1864"/>
      <c r="P1864" s="36"/>
      <c r="Q1864" s="37"/>
      <c r="R1864"/>
      <c r="S1864"/>
      <c r="T1864"/>
      <c r="U1864"/>
      <c r="V1864" s="39"/>
      <c r="W1864"/>
      <c r="X1864"/>
      <c r="Y1864"/>
      <c r="Z1864"/>
      <c r="AA1864"/>
    </row>
    <row r="1865" spans="1:27" x14ac:dyDescent="0.25">
      <c r="A1865"/>
      <c r="B1865" s="36"/>
      <c r="C1865" s="36"/>
      <c r="D1865"/>
      <c r="E1865"/>
      <c r="F1865"/>
      <c r="G1865"/>
      <c r="H1865"/>
      <c r="I1865"/>
      <c r="J1865"/>
      <c r="K1865"/>
      <c r="L1865"/>
      <c r="M1865"/>
      <c r="N1865"/>
      <c r="O1865"/>
      <c r="P1865" s="36"/>
      <c r="Q1865" s="37"/>
      <c r="R1865"/>
      <c r="S1865"/>
      <c r="T1865"/>
      <c r="U1865"/>
      <c r="V1865" s="39"/>
      <c r="W1865"/>
      <c r="X1865"/>
      <c r="Y1865"/>
      <c r="Z1865"/>
      <c r="AA1865"/>
    </row>
    <row r="1866" spans="1:27" x14ac:dyDescent="0.25">
      <c r="A1866"/>
      <c r="B1866" s="36"/>
      <c r="C1866" s="36"/>
      <c r="D1866"/>
      <c r="E1866"/>
      <c r="F1866"/>
      <c r="G1866"/>
      <c r="H1866"/>
      <c r="I1866"/>
      <c r="J1866"/>
      <c r="K1866"/>
      <c r="L1866"/>
      <c r="M1866"/>
      <c r="N1866"/>
      <c r="O1866"/>
      <c r="P1866" s="36"/>
      <c r="Q1866" s="37"/>
      <c r="R1866"/>
      <c r="S1866"/>
      <c r="T1866"/>
      <c r="U1866"/>
      <c r="V1866" s="39"/>
      <c r="W1866"/>
      <c r="X1866"/>
      <c r="Y1866"/>
      <c r="Z1866"/>
      <c r="AA1866"/>
    </row>
    <row r="1867" spans="1:27" x14ac:dyDescent="0.25">
      <c r="A1867"/>
      <c r="B1867" s="36"/>
      <c r="C1867" s="36"/>
      <c r="D1867"/>
      <c r="E1867"/>
      <c r="F1867"/>
      <c r="G1867"/>
      <c r="H1867"/>
      <c r="I1867"/>
      <c r="J1867"/>
      <c r="K1867"/>
      <c r="L1867"/>
      <c r="M1867"/>
      <c r="N1867"/>
      <c r="O1867"/>
      <c r="P1867" s="36"/>
      <c r="Q1867" s="37"/>
      <c r="R1867"/>
      <c r="S1867"/>
      <c r="T1867"/>
      <c r="U1867"/>
      <c r="V1867" s="39"/>
      <c r="W1867"/>
      <c r="X1867"/>
      <c r="Y1867"/>
      <c r="Z1867"/>
      <c r="AA1867"/>
    </row>
    <row r="1868" spans="1:27" x14ac:dyDescent="0.25">
      <c r="A1868"/>
      <c r="B1868" s="36"/>
      <c r="C1868" s="36"/>
      <c r="D1868"/>
      <c r="E1868"/>
      <c r="F1868"/>
      <c r="G1868"/>
      <c r="H1868"/>
      <c r="I1868"/>
      <c r="J1868"/>
      <c r="K1868"/>
      <c r="L1868"/>
      <c r="M1868"/>
      <c r="N1868"/>
      <c r="O1868"/>
      <c r="P1868" s="36"/>
      <c r="Q1868" s="37"/>
      <c r="R1868"/>
      <c r="S1868"/>
      <c r="T1868"/>
      <c r="U1868"/>
      <c r="V1868" s="39"/>
      <c r="W1868"/>
      <c r="X1868"/>
      <c r="Y1868"/>
      <c r="Z1868"/>
      <c r="AA1868"/>
    </row>
    <row r="1869" spans="1:27" x14ac:dyDescent="0.25">
      <c r="A1869"/>
      <c r="B1869" s="36"/>
      <c r="C1869" s="36"/>
      <c r="D1869"/>
      <c r="E1869"/>
      <c r="F1869"/>
      <c r="G1869"/>
      <c r="H1869"/>
      <c r="I1869"/>
      <c r="J1869"/>
      <c r="K1869"/>
      <c r="L1869"/>
      <c r="M1869"/>
      <c r="N1869"/>
      <c r="O1869"/>
      <c r="P1869" s="36"/>
      <c r="Q1869" s="37"/>
      <c r="R1869"/>
      <c r="S1869"/>
      <c r="T1869"/>
      <c r="U1869"/>
      <c r="V1869" s="39"/>
      <c r="W1869"/>
      <c r="X1869"/>
      <c r="Y1869"/>
      <c r="Z1869"/>
      <c r="AA1869"/>
    </row>
    <row r="1870" spans="1:27" x14ac:dyDescent="0.25">
      <c r="A1870"/>
      <c r="B1870" s="36"/>
      <c r="C1870" s="36"/>
      <c r="D1870"/>
      <c r="E1870"/>
      <c r="F1870"/>
      <c r="G1870"/>
      <c r="H1870"/>
      <c r="I1870"/>
      <c r="J1870"/>
      <c r="K1870"/>
      <c r="L1870"/>
      <c r="M1870"/>
      <c r="N1870"/>
      <c r="O1870"/>
      <c r="P1870" s="36"/>
      <c r="Q1870" s="37"/>
      <c r="R1870"/>
      <c r="S1870"/>
      <c r="T1870"/>
      <c r="U1870"/>
      <c r="V1870" s="39"/>
      <c r="W1870"/>
      <c r="X1870"/>
      <c r="Y1870"/>
      <c r="Z1870"/>
      <c r="AA1870"/>
    </row>
    <row r="1871" spans="1:27" x14ac:dyDescent="0.25">
      <c r="A1871"/>
      <c r="B1871" s="36"/>
      <c r="C1871" s="36"/>
      <c r="D1871"/>
      <c r="E1871"/>
      <c r="F1871"/>
      <c r="G1871"/>
      <c r="H1871"/>
      <c r="I1871"/>
      <c r="J1871"/>
      <c r="K1871"/>
      <c r="L1871"/>
      <c r="M1871"/>
      <c r="N1871"/>
      <c r="O1871"/>
      <c r="P1871" s="36"/>
      <c r="Q1871" s="37"/>
      <c r="R1871"/>
      <c r="S1871"/>
      <c r="T1871"/>
      <c r="U1871"/>
      <c r="V1871" s="39"/>
      <c r="W1871"/>
      <c r="X1871"/>
      <c r="Y1871"/>
      <c r="Z1871"/>
      <c r="AA1871"/>
    </row>
    <row r="1872" spans="1:27" x14ac:dyDescent="0.25">
      <c r="A1872"/>
      <c r="B1872" s="36"/>
      <c r="C1872" s="36"/>
      <c r="D1872"/>
      <c r="E1872"/>
      <c r="F1872"/>
      <c r="G1872"/>
      <c r="H1872"/>
      <c r="I1872"/>
      <c r="J1872"/>
      <c r="K1872"/>
      <c r="L1872"/>
      <c r="M1872"/>
      <c r="N1872"/>
      <c r="O1872"/>
      <c r="P1872" s="36"/>
      <c r="Q1872" s="37"/>
      <c r="R1872"/>
      <c r="S1872"/>
      <c r="T1872"/>
      <c r="U1872"/>
      <c r="V1872" s="39"/>
      <c r="W1872"/>
      <c r="X1872"/>
      <c r="Y1872"/>
      <c r="Z1872"/>
      <c r="AA1872"/>
    </row>
    <row r="1873" spans="1:27" x14ac:dyDescent="0.25">
      <c r="A1873"/>
      <c r="B1873" s="36"/>
      <c r="C1873" s="36"/>
      <c r="D1873"/>
      <c r="E1873"/>
      <c r="F1873"/>
      <c r="G1873"/>
      <c r="H1873"/>
      <c r="I1873"/>
      <c r="J1873"/>
      <c r="K1873"/>
      <c r="L1873"/>
      <c r="M1873"/>
      <c r="N1873"/>
      <c r="O1873"/>
      <c r="P1873" s="36"/>
      <c r="Q1873" s="37"/>
      <c r="R1873"/>
      <c r="S1873"/>
      <c r="T1873"/>
      <c r="U1873"/>
      <c r="V1873" s="39"/>
      <c r="W1873"/>
      <c r="X1873"/>
      <c r="Y1873"/>
      <c r="Z1873"/>
      <c r="AA1873"/>
    </row>
    <row r="1874" spans="1:27" x14ac:dyDescent="0.25">
      <c r="A1874"/>
      <c r="B1874" s="36"/>
      <c r="C1874" s="36"/>
      <c r="D1874"/>
      <c r="E1874"/>
      <c r="F1874"/>
      <c r="G1874"/>
      <c r="H1874"/>
      <c r="I1874"/>
      <c r="J1874"/>
      <c r="K1874"/>
      <c r="L1874"/>
      <c r="M1874"/>
      <c r="N1874"/>
      <c r="O1874"/>
      <c r="P1874" s="36"/>
      <c r="Q1874" s="37"/>
      <c r="R1874"/>
      <c r="S1874"/>
      <c r="T1874"/>
      <c r="U1874"/>
      <c r="V1874" s="39"/>
      <c r="W1874"/>
      <c r="X1874"/>
      <c r="Y1874"/>
      <c r="Z1874"/>
      <c r="AA1874"/>
    </row>
    <row r="1875" spans="1:27" x14ac:dyDescent="0.25">
      <c r="A1875"/>
      <c r="B1875" s="36"/>
      <c r="C1875" s="36"/>
      <c r="D1875"/>
      <c r="E1875"/>
      <c r="F1875"/>
      <c r="G1875"/>
      <c r="H1875"/>
      <c r="I1875"/>
      <c r="J1875"/>
      <c r="K1875"/>
      <c r="L1875"/>
      <c r="M1875"/>
      <c r="N1875"/>
      <c r="O1875"/>
      <c r="P1875" s="36"/>
      <c r="Q1875" s="37"/>
      <c r="R1875"/>
      <c r="S1875"/>
      <c r="T1875"/>
      <c r="U1875"/>
      <c r="V1875" s="39"/>
      <c r="W1875"/>
      <c r="X1875"/>
      <c r="Y1875"/>
      <c r="Z1875"/>
      <c r="AA1875"/>
    </row>
    <row r="1876" spans="1:27" x14ac:dyDescent="0.25">
      <c r="A1876"/>
      <c r="B1876" s="36"/>
      <c r="C1876" s="36"/>
      <c r="D1876"/>
      <c r="E1876"/>
      <c r="F1876"/>
      <c r="G1876"/>
      <c r="H1876"/>
      <c r="I1876"/>
      <c r="J1876"/>
      <c r="K1876"/>
      <c r="L1876"/>
      <c r="M1876"/>
      <c r="N1876"/>
      <c r="O1876"/>
      <c r="P1876" s="36"/>
      <c r="Q1876" s="37"/>
      <c r="R1876"/>
      <c r="S1876"/>
      <c r="T1876"/>
      <c r="U1876"/>
      <c r="V1876" s="39"/>
      <c r="W1876"/>
      <c r="X1876"/>
      <c r="Y1876"/>
      <c r="Z1876"/>
      <c r="AA1876"/>
    </row>
    <row r="1877" spans="1:27" x14ac:dyDescent="0.25">
      <c r="A1877"/>
      <c r="B1877" s="36"/>
      <c r="C1877" s="36"/>
      <c r="D1877"/>
      <c r="E1877"/>
      <c r="F1877"/>
      <c r="G1877"/>
      <c r="H1877"/>
      <c r="I1877"/>
      <c r="J1877"/>
      <c r="K1877"/>
      <c r="L1877"/>
      <c r="M1877"/>
      <c r="N1877"/>
      <c r="O1877"/>
      <c r="P1877" s="36"/>
      <c r="Q1877" s="37"/>
      <c r="R1877"/>
      <c r="S1877"/>
      <c r="T1877"/>
      <c r="U1877"/>
      <c r="V1877" s="39"/>
      <c r="W1877"/>
      <c r="X1877"/>
      <c r="Y1877"/>
      <c r="Z1877"/>
      <c r="AA1877"/>
    </row>
    <row r="1878" spans="1:27" x14ac:dyDescent="0.25">
      <c r="A1878"/>
      <c r="B1878" s="36"/>
      <c r="C1878" s="36"/>
      <c r="D1878"/>
      <c r="E1878"/>
      <c r="F1878"/>
      <c r="G1878"/>
      <c r="H1878"/>
      <c r="I1878"/>
      <c r="J1878"/>
      <c r="K1878"/>
      <c r="L1878"/>
      <c r="M1878"/>
      <c r="N1878"/>
      <c r="O1878"/>
      <c r="P1878" s="36"/>
      <c r="Q1878" s="37"/>
      <c r="R1878"/>
      <c r="S1878"/>
      <c r="T1878"/>
      <c r="U1878"/>
      <c r="V1878" s="39"/>
      <c r="W1878"/>
      <c r="X1878"/>
      <c r="Y1878"/>
      <c r="Z1878"/>
      <c r="AA1878"/>
    </row>
    <row r="1879" spans="1:27" x14ac:dyDescent="0.25">
      <c r="A1879"/>
      <c r="B1879" s="36"/>
      <c r="C1879" s="36"/>
      <c r="D1879"/>
      <c r="E1879"/>
      <c r="F1879"/>
      <c r="G1879"/>
      <c r="H1879"/>
      <c r="I1879"/>
      <c r="J1879"/>
      <c r="K1879"/>
      <c r="L1879"/>
      <c r="M1879"/>
      <c r="N1879"/>
      <c r="O1879"/>
      <c r="P1879" s="36"/>
      <c r="Q1879" s="37"/>
      <c r="R1879"/>
      <c r="S1879"/>
      <c r="T1879"/>
      <c r="U1879"/>
      <c r="V1879" s="39"/>
      <c r="W1879"/>
      <c r="X1879"/>
      <c r="Y1879"/>
      <c r="Z1879"/>
      <c r="AA1879"/>
    </row>
    <row r="1880" spans="1:27" x14ac:dyDescent="0.25">
      <c r="A1880"/>
      <c r="B1880" s="36"/>
      <c r="C1880" s="36"/>
      <c r="D1880"/>
      <c r="E1880"/>
      <c r="F1880"/>
      <c r="G1880"/>
      <c r="H1880"/>
      <c r="I1880"/>
      <c r="J1880"/>
      <c r="K1880"/>
      <c r="L1880"/>
      <c r="M1880"/>
      <c r="N1880"/>
      <c r="O1880"/>
      <c r="P1880" s="36"/>
      <c r="Q1880" s="37"/>
      <c r="R1880"/>
      <c r="S1880"/>
      <c r="T1880"/>
      <c r="U1880"/>
      <c r="V1880" s="39"/>
      <c r="W1880"/>
      <c r="X1880"/>
      <c r="Y1880"/>
      <c r="Z1880"/>
      <c r="AA1880"/>
    </row>
    <row r="1881" spans="1:27" x14ac:dyDescent="0.25">
      <c r="A1881"/>
      <c r="B1881" s="36"/>
      <c r="C1881" s="36"/>
      <c r="D1881"/>
      <c r="E1881"/>
      <c r="F1881"/>
      <c r="G1881"/>
      <c r="H1881"/>
      <c r="I1881"/>
      <c r="J1881"/>
      <c r="K1881"/>
      <c r="L1881"/>
      <c r="M1881"/>
      <c r="N1881"/>
      <c r="O1881"/>
      <c r="P1881" s="36"/>
      <c r="Q1881" s="37"/>
      <c r="R1881"/>
      <c r="S1881"/>
      <c r="T1881"/>
      <c r="U1881"/>
      <c r="V1881" s="39"/>
      <c r="W1881"/>
      <c r="X1881"/>
      <c r="Y1881"/>
      <c r="Z1881"/>
      <c r="AA1881"/>
    </row>
    <row r="1882" spans="1:27" x14ac:dyDescent="0.25">
      <c r="A1882"/>
      <c r="B1882" s="36"/>
      <c r="C1882" s="36"/>
      <c r="D1882"/>
      <c r="E1882"/>
      <c r="F1882"/>
      <c r="G1882"/>
      <c r="H1882"/>
      <c r="I1882"/>
      <c r="J1882"/>
      <c r="K1882"/>
      <c r="L1882"/>
      <c r="M1882"/>
      <c r="N1882"/>
      <c r="O1882"/>
      <c r="P1882" s="36"/>
      <c r="Q1882" s="37"/>
      <c r="R1882"/>
      <c r="S1882"/>
      <c r="T1882"/>
      <c r="U1882"/>
      <c r="V1882" s="39"/>
      <c r="W1882"/>
      <c r="X1882"/>
      <c r="Y1882"/>
      <c r="Z1882"/>
      <c r="AA1882"/>
    </row>
    <row r="1883" spans="1:27" x14ac:dyDescent="0.25">
      <c r="A1883"/>
      <c r="B1883" s="36"/>
      <c r="C1883" s="36"/>
      <c r="D1883"/>
      <c r="E1883"/>
      <c r="F1883"/>
      <c r="G1883"/>
      <c r="H1883"/>
      <c r="I1883"/>
      <c r="J1883"/>
      <c r="K1883"/>
      <c r="L1883"/>
      <c r="M1883"/>
      <c r="N1883"/>
      <c r="O1883"/>
      <c r="P1883" s="36"/>
      <c r="Q1883" s="37"/>
      <c r="R1883"/>
      <c r="S1883"/>
      <c r="T1883"/>
      <c r="U1883"/>
      <c r="V1883" s="39"/>
      <c r="W1883"/>
      <c r="X1883"/>
      <c r="Y1883"/>
      <c r="Z1883"/>
      <c r="AA1883"/>
    </row>
    <row r="1884" spans="1:27" x14ac:dyDescent="0.25">
      <c r="A1884"/>
      <c r="B1884" s="36"/>
      <c r="C1884" s="36"/>
      <c r="D1884"/>
      <c r="E1884"/>
      <c r="F1884"/>
      <c r="G1884"/>
      <c r="H1884"/>
      <c r="I1884"/>
      <c r="J1884"/>
      <c r="K1884"/>
      <c r="L1884"/>
      <c r="M1884"/>
      <c r="N1884"/>
      <c r="O1884"/>
      <c r="P1884" s="36"/>
      <c r="Q1884" s="37"/>
      <c r="R1884"/>
      <c r="S1884"/>
      <c r="T1884"/>
      <c r="U1884"/>
      <c r="V1884" s="39"/>
      <c r="W1884"/>
      <c r="X1884"/>
      <c r="Y1884"/>
      <c r="Z1884"/>
      <c r="AA1884"/>
    </row>
    <row r="1885" spans="1:27" x14ac:dyDescent="0.25">
      <c r="A1885"/>
      <c r="B1885" s="36"/>
      <c r="C1885" s="36"/>
      <c r="D1885"/>
      <c r="E1885"/>
      <c r="F1885"/>
      <c r="G1885"/>
      <c r="H1885"/>
      <c r="I1885"/>
      <c r="J1885"/>
      <c r="K1885"/>
      <c r="L1885"/>
      <c r="M1885"/>
      <c r="N1885"/>
      <c r="O1885"/>
      <c r="P1885" s="36"/>
      <c r="Q1885" s="37"/>
      <c r="R1885"/>
      <c r="S1885"/>
      <c r="T1885"/>
      <c r="U1885"/>
      <c r="V1885" s="39"/>
      <c r="W1885"/>
      <c r="X1885"/>
      <c r="Y1885"/>
      <c r="Z1885"/>
      <c r="AA1885"/>
    </row>
    <row r="1886" spans="1:27" x14ac:dyDescent="0.25">
      <c r="A1886"/>
      <c r="B1886" s="36"/>
      <c r="C1886" s="36"/>
      <c r="D1886"/>
      <c r="E1886"/>
      <c r="F1886"/>
      <c r="G1886"/>
      <c r="H1886"/>
      <c r="I1886"/>
      <c r="J1886"/>
      <c r="K1886"/>
      <c r="L1886"/>
      <c r="M1886"/>
      <c r="N1886"/>
      <c r="O1886"/>
      <c r="P1886" s="36"/>
      <c r="Q1886" s="37"/>
      <c r="R1886"/>
      <c r="S1886"/>
      <c r="T1886"/>
      <c r="U1886"/>
      <c r="V1886" s="39"/>
      <c r="W1886"/>
      <c r="X1886"/>
      <c r="Y1886"/>
      <c r="Z1886"/>
      <c r="AA1886"/>
    </row>
    <row r="1887" spans="1:27" x14ac:dyDescent="0.25">
      <c r="A1887"/>
      <c r="B1887" s="36"/>
      <c r="C1887" s="36"/>
      <c r="D1887"/>
      <c r="E1887"/>
      <c r="F1887"/>
      <c r="G1887"/>
      <c r="H1887"/>
      <c r="I1887"/>
      <c r="J1887"/>
      <c r="K1887"/>
      <c r="L1887"/>
      <c r="M1887"/>
      <c r="N1887"/>
      <c r="O1887"/>
      <c r="P1887" s="36"/>
      <c r="Q1887" s="37"/>
      <c r="R1887"/>
      <c r="S1887"/>
      <c r="T1887"/>
      <c r="U1887"/>
      <c r="V1887" s="39"/>
      <c r="W1887"/>
      <c r="X1887"/>
      <c r="Y1887"/>
      <c r="Z1887"/>
      <c r="AA1887"/>
    </row>
    <row r="1888" spans="1:27" x14ac:dyDescent="0.25">
      <c r="A1888"/>
      <c r="B1888" s="36"/>
      <c r="C1888" s="36"/>
      <c r="D1888"/>
      <c r="E1888"/>
      <c r="F1888"/>
      <c r="G1888"/>
      <c r="H1888"/>
      <c r="I1888"/>
      <c r="J1888"/>
      <c r="K1888"/>
      <c r="L1888"/>
      <c r="M1888"/>
      <c r="N1888"/>
      <c r="O1888"/>
      <c r="P1888" s="36"/>
      <c r="Q1888" s="37"/>
      <c r="R1888"/>
      <c r="S1888"/>
      <c r="T1888"/>
      <c r="U1888"/>
      <c r="V1888" s="39"/>
      <c r="W1888"/>
      <c r="X1888"/>
      <c r="Y1888"/>
      <c r="Z1888"/>
      <c r="AA1888"/>
    </row>
    <row r="1889" spans="1:27" x14ac:dyDescent="0.25">
      <c r="A1889"/>
      <c r="B1889" s="36"/>
      <c r="C1889" s="36"/>
      <c r="D1889"/>
      <c r="E1889"/>
      <c r="F1889"/>
      <c r="G1889"/>
      <c r="H1889"/>
      <c r="I1889"/>
      <c r="J1889"/>
      <c r="K1889"/>
      <c r="L1889"/>
      <c r="M1889"/>
      <c r="N1889"/>
      <c r="O1889"/>
      <c r="P1889" s="36"/>
      <c r="Q1889" s="37"/>
      <c r="R1889"/>
      <c r="S1889"/>
      <c r="T1889"/>
      <c r="U1889"/>
      <c r="V1889" s="39"/>
      <c r="W1889"/>
      <c r="X1889"/>
      <c r="Y1889"/>
      <c r="Z1889"/>
      <c r="AA1889"/>
    </row>
    <row r="1890" spans="1:27" x14ac:dyDescent="0.25">
      <c r="A1890"/>
      <c r="B1890" s="36"/>
      <c r="C1890" s="36"/>
      <c r="D1890"/>
      <c r="E1890"/>
      <c r="F1890"/>
      <c r="G1890"/>
      <c r="H1890"/>
      <c r="I1890"/>
      <c r="J1890"/>
      <c r="K1890"/>
      <c r="L1890"/>
      <c r="M1890"/>
      <c r="N1890"/>
      <c r="O1890"/>
      <c r="P1890" s="36"/>
      <c r="Q1890" s="37"/>
      <c r="R1890"/>
      <c r="S1890"/>
      <c r="T1890"/>
      <c r="U1890"/>
      <c r="V1890" s="39"/>
      <c r="W1890"/>
      <c r="X1890"/>
      <c r="Y1890"/>
      <c r="Z1890"/>
      <c r="AA1890"/>
    </row>
    <row r="1891" spans="1:27" x14ac:dyDescent="0.25">
      <c r="A1891"/>
      <c r="B1891" s="36"/>
      <c r="C1891" s="36"/>
      <c r="D1891"/>
      <c r="E1891"/>
      <c r="F1891"/>
      <c r="G1891"/>
      <c r="H1891"/>
      <c r="I1891"/>
      <c r="J1891"/>
      <c r="K1891"/>
      <c r="L1891"/>
      <c r="M1891"/>
      <c r="N1891"/>
      <c r="O1891"/>
      <c r="P1891" s="36"/>
      <c r="Q1891" s="37"/>
      <c r="R1891"/>
      <c r="S1891"/>
      <c r="T1891"/>
      <c r="U1891"/>
      <c r="V1891" s="39"/>
      <c r="W1891"/>
      <c r="X1891"/>
      <c r="Y1891"/>
      <c r="Z1891"/>
      <c r="AA1891"/>
    </row>
    <row r="1892" spans="1:27" x14ac:dyDescent="0.25">
      <c r="A1892"/>
      <c r="B1892" s="36"/>
      <c r="C1892" s="36"/>
      <c r="D1892"/>
      <c r="E1892"/>
      <c r="F1892"/>
      <c r="G1892"/>
      <c r="H1892"/>
      <c r="I1892"/>
      <c r="J1892"/>
      <c r="K1892"/>
      <c r="L1892"/>
      <c r="M1892"/>
      <c r="N1892"/>
      <c r="O1892"/>
      <c r="P1892" s="36"/>
      <c r="Q1892" s="37"/>
      <c r="R1892"/>
      <c r="S1892"/>
      <c r="T1892"/>
      <c r="U1892"/>
      <c r="V1892" s="39"/>
      <c r="W1892"/>
      <c r="X1892"/>
      <c r="Y1892"/>
      <c r="Z1892"/>
      <c r="AA1892"/>
    </row>
    <row r="1893" spans="1:27" x14ac:dyDescent="0.25">
      <c r="A1893"/>
      <c r="B1893" s="36"/>
      <c r="C1893" s="36"/>
      <c r="D1893"/>
      <c r="E1893"/>
      <c r="F1893"/>
      <c r="G1893"/>
      <c r="H1893"/>
      <c r="I1893"/>
      <c r="J1893"/>
      <c r="K1893"/>
      <c r="L1893"/>
      <c r="M1893"/>
      <c r="N1893"/>
      <c r="O1893"/>
      <c r="P1893" s="36"/>
      <c r="Q1893" s="37"/>
      <c r="R1893"/>
      <c r="S1893"/>
      <c r="T1893"/>
      <c r="U1893"/>
      <c r="V1893" s="39"/>
      <c r="W1893"/>
      <c r="X1893"/>
      <c r="Y1893"/>
      <c r="Z1893"/>
      <c r="AA1893"/>
    </row>
    <row r="1894" spans="1:27" x14ac:dyDescent="0.25">
      <c r="A1894"/>
      <c r="B1894" s="36"/>
      <c r="C1894" s="36"/>
      <c r="D1894"/>
      <c r="E1894"/>
      <c r="F1894"/>
      <c r="G1894"/>
      <c r="H1894"/>
      <c r="I1894"/>
      <c r="J1894"/>
      <c r="K1894"/>
      <c r="L1894"/>
      <c r="M1894"/>
      <c r="N1894"/>
      <c r="O1894"/>
      <c r="P1894" s="36"/>
      <c r="Q1894" s="37"/>
      <c r="R1894"/>
      <c r="S1894"/>
      <c r="T1894"/>
      <c r="U1894"/>
      <c r="V1894" s="39"/>
      <c r="W1894"/>
      <c r="X1894"/>
      <c r="Y1894"/>
      <c r="Z1894"/>
      <c r="AA1894"/>
    </row>
    <row r="1895" spans="1:27" x14ac:dyDescent="0.25">
      <c r="A1895"/>
      <c r="B1895" s="36"/>
      <c r="C1895" s="36"/>
      <c r="D1895"/>
      <c r="E1895"/>
      <c r="F1895"/>
      <c r="G1895"/>
      <c r="H1895"/>
      <c r="I1895"/>
      <c r="J1895"/>
      <c r="K1895"/>
      <c r="L1895"/>
      <c r="M1895"/>
      <c r="N1895"/>
      <c r="O1895"/>
      <c r="P1895" s="36"/>
      <c r="Q1895" s="37"/>
      <c r="R1895"/>
      <c r="S1895"/>
      <c r="T1895"/>
      <c r="U1895"/>
      <c r="V1895" s="39"/>
      <c r="W1895"/>
      <c r="X1895"/>
      <c r="Y1895"/>
      <c r="Z1895"/>
      <c r="AA1895"/>
    </row>
    <row r="1896" spans="1:27" x14ac:dyDescent="0.25">
      <c r="A1896"/>
      <c r="B1896" s="36"/>
      <c r="C1896" s="36"/>
      <c r="D1896"/>
      <c r="E1896"/>
      <c r="F1896"/>
      <c r="G1896"/>
      <c r="H1896"/>
      <c r="I1896"/>
      <c r="J1896"/>
      <c r="K1896"/>
      <c r="L1896"/>
      <c r="M1896"/>
      <c r="N1896"/>
      <c r="O1896"/>
      <c r="P1896" s="36"/>
      <c r="Q1896" s="37"/>
      <c r="R1896"/>
      <c r="S1896"/>
      <c r="T1896"/>
      <c r="U1896"/>
      <c r="V1896" s="39"/>
      <c r="W1896"/>
      <c r="X1896"/>
      <c r="Y1896"/>
      <c r="Z1896"/>
      <c r="AA1896"/>
    </row>
    <row r="1897" spans="1:27" x14ac:dyDescent="0.25">
      <c r="A1897"/>
      <c r="B1897" s="36"/>
      <c r="C1897" s="36"/>
      <c r="D1897"/>
      <c r="E1897"/>
      <c r="F1897"/>
      <c r="G1897"/>
      <c r="H1897"/>
      <c r="I1897"/>
      <c r="J1897"/>
      <c r="K1897"/>
      <c r="L1897"/>
      <c r="M1897"/>
      <c r="N1897"/>
      <c r="O1897"/>
      <c r="P1897" s="36"/>
      <c r="Q1897" s="37"/>
      <c r="R1897"/>
      <c r="S1897"/>
      <c r="T1897"/>
      <c r="U1897"/>
      <c r="V1897" s="39"/>
      <c r="W1897"/>
      <c r="X1897"/>
      <c r="Y1897"/>
      <c r="Z1897"/>
      <c r="AA1897"/>
    </row>
    <row r="1898" spans="1:27" x14ac:dyDescent="0.25">
      <c r="A1898"/>
      <c r="B1898" s="36"/>
      <c r="C1898" s="36"/>
      <c r="D1898"/>
      <c r="E1898"/>
      <c r="F1898"/>
      <c r="G1898"/>
      <c r="H1898"/>
      <c r="I1898"/>
      <c r="J1898"/>
      <c r="K1898"/>
      <c r="L1898"/>
      <c r="M1898"/>
      <c r="N1898"/>
      <c r="O1898"/>
      <c r="P1898" s="36"/>
      <c r="Q1898" s="37"/>
      <c r="R1898"/>
      <c r="S1898"/>
      <c r="T1898"/>
      <c r="U1898"/>
      <c r="V1898" s="39"/>
      <c r="W1898"/>
      <c r="X1898"/>
      <c r="Y1898"/>
      <c r="Z1898"/>
      <c r="AA1898"/>
    </row>
    <row r="1899" spans="1:27" x14ac:dyDescent="0.25">
      <c r="A1899"/>
      <c r="B1899" s="36"/>
      <c r="C1899" s="36"/>
      <c r="D1899"/>
      <c r="E1899"/>
      <c r="F1899"/>
      <c r="G1899"/>
      <c r="H1899"/>
      <c r="I1899"/>
      <c r="J1899"/>
      <c r="K1899"/>
      <c r="L1899"/>
      <c r="M1899"/>
      <c r="N1899"/>
      <c r="O1899"/>
      <c r="P1899" s="36"/>
      <c r="Q1899" s="37"/>
      <c r="R1899"/>
      <c r="S1899"/>
      <c r="T1899"/>
      <c r="U1899"/>
      <c r="V1899" s="39"/>
      <c r="W1899"/>
      <c r="X1899"/>
      <c r="Y1899"/>
      <c r="Z1899"/>
      <c r="AA1899"/>
    </row>
    <row r="1900" spans="1:27" x14ac:dyDescent="0.25">
      <c r="A1900"/>
      <c r="B1900" s="36"/>
      <c r="C1900" s="36"/>
      <c r="D1900"/>
      <c r="E1900"/>
      <c r="F1900"/>
      <c r="G1900"/>
      <c r="H1900"/>
      <c r="I1900"/>
      <c r="J1900"/>
      <c r="K1900"/>
      <c r="L1900"/>
      <c r="M1900"/>
      <c r="N1900"/>
      <c r="O1900"/>
      <c r="P1900" s="36"/>
      <c r="Q1900" s="37"/>
      <c r="R1900"/>
      <c r="S1900"/>
      <c r="T1900"/>
      <c r="U1900"/>
      <c r="V1900" s="39"/>
      <c r="W1900"/>
      <c r="X1900"/>
      <c r="Y1900"/>
      <c r="Z1900"/>
      <c r="AA1900"/>
    </row>
    <row r="1901" spans="1:27" x14ac:dyDescent="0.25">
      <c r="A1901"/>
      <c r="B1901" s="36"/>
      <c r="C1901" s="36"/>
      <c r="D1901"/>
      <c r="E1901"/>
      <c r="F1901"/>
      <c r="G1901"/>
      <c r="H1901"/>
      <c r="I1901"/>
      <c r="J1901"/>
      <c r="K1901"/>
      <c r="L1901"/>
      <c r="M1901"/>
      <c r="N1901"/>
      <c r="O1901"/>
      <c r="P1901" s="36"/>
      <c r="Q1901" s="37"/>
      <c r="R1901"/>
      <c r="S1901"/>
      <c r="T1901"/>
      <c r="U1901"/>
      <c r="V1901" s="39"/>
      <c r="W1901"/>
      <c r="X1901"/>
      <c r="Y1901"/>
      <c r="Z1901"/>
      <c r="AA1901"/>
    </row>
    <row r="1902" spans="1:27" x14ac:dyDescent="0.25">
      <c r="A1902"/>
      <c r="B1902" s="36"/>
      <c r="C1902" s="36"/>
      <c r="D1902"/>
      <c r="E1902"/>
      <c r="F1902"/>
      <c r="G1902"/>
      <c r="H1902"/>
      <c r="I1902"/>
      <c r="J1902"/>
      <c r="K1902"/>
      <c r="L1902"/>
      <c r="M1902"/>
      <c r="N1902"/>
      <c r="O1902"/>
      <c r="P1902" s="36"/>
      <c r="Q1902" s="37"/>
      <c r="R1902"/>
      <c r="S1902"/>
      <c r="T1902"/>
      <c r="U1902"/>
      <c r="V1902" s="39"/>
      <c r="W1902"/>
      <c r="X1902"/>
      <c r="Y1902"/>
      <c r="Z1902"/>
      <c r="AA1902"/>
    </row>
    <row r="1903" spans="1:27" x14ac:dyDescent="0.25">
      <c r="A1903"/>
      <c r="B1903" s="36"/>
      <c r="C1903" s="36"/>
      <c r="D1903"/>
      <c r="E1903"/>
      <c r="F1903"/>
      <c r="G1903"/>
      <c r="H1903"/>
      <c r="I1903"/>
      <c r="J1903"/>
      <c r="K1903"/>
      <c r="L1903"/>
      <c r="M1903"/>
      <c r="N1903"/>
      <c r="O1903"/>
      <c r="P1903" s="36"/>
      <c r="Q1903" s="37"/>
      <c r="R1903"/>
      <c r="S1903"/>
      <c r="T1903"/>
      <c r="U1903"/>
      <c r="V1903" s="39"/>
      <c r="W1903"/>
      <c r="X1903"/>
      <c r="Y1903"/>
      <c r="Z1903"/>
      <c r="AA1903"/>
    </row>
    <row r="1904" spans="1:27" x14ac:dyDescent="0.25">
      <c r="A1904"/>
      <c r="B1904" s="36"/>
      <c r="C1904" s="36"/>
      <c r="D1904"/>
      <c r="E1904"/>
      <c r="F1904"/>
      <c r="G1904"/>
      <c r="H1904"/>
      <c r="I1904"/>
      <c r="J1904"/>
      <c r="K1904"/>
      <c r="L1904"/>
      <c r="M1904"/>
      <c r="N1904"/>
      <c r="O1904"/>
      <c r="P1904" s="36"/>
      <c r="Q1904" s="37"/>
      <c r="R1904"/>
      <c r="S1904"/>
      <c r="T1904"/>
      <c r="U1904"/>
      <c r="V1904" s="39"/>
      <c r="W1904"/>
      <c r="X1904"/>
      <c r="Y1904"/>
      <c r="Z1904"/>
      <c r="AA1904"/>
    </row>
    <row r="1905" spans="1:27" x14ac:dyDescent="0.25">
      <c r="A1905"/>
      <c r="B1905" s="36"/>
      <c r="C1905" s="36"/>
      <c r="D1905"/>
      <c r="E1905"/>
      <c r="F1905"/>
      <c r="G1905"/>
      <c r="H1905"/>
      <c r="I1905"/>
      <c r="J1905"/>
      <c r="K1905"/>
      <c r="L1905"/>
      <c r="M1905"/>
      <c r="N1905"/>
      <c r="O1905"/>
      <c r="P1905" s="36"/>
      <c r="Q1905" s="37"/>
      <c r="R1905"/>
      <c r="S1905"/>
      <c r="T1905"/>
      <c r="U1905"/>
      <c r="V1905" s="39"/>
      <c r="W1905"/>
      <c r="X1905"/>
      <c r="Y1905"/>
      <c r="Z1905"/>
      <c r="AA1905"/>
    </row>
    <row r="1906" spans="1:27" x14ac:dyDescent="0.25">
      <c r="A1906"/>
      <c r="B1906" s="36"/>
      <c r="C1906" s="36"/>
      <c r="D1906"/>
      <c r="E1906"/>
      <c r="F1906"/>
      <c r="G1906"/>
      <c r="H1906"/>
      <c r="I1906"/>
      <c r="J1906"/>
      <c r="K1906"/>
      <c r="L1906"/>
      <c r="M1906"/>
      <c r="N1906"/>
      <c r="O1906"/>
      <c r="P1906" s="36"/>
      <c r="Q1906" s="37"/>
      <c r="R1906"/>
      <c r="S1906"/>
      <c r="T1906"/>
      <c r="U1906"/>
      <c r="V1906" s="39"/>
      <c r="W1906"/>
      <c r="X1906"/>
      <c r="Y1906"/>
      <c r="Z1906"/>
      <c r="AA1906"/>
    </row>
    <row r="1907" spans="1:27" x14ac:dyDescent="0.25">
      <c r="A1907"/>
      <c r="B1907" s="36"/>
      <c r="C1907" s="36"/>
      <c r="D1907"/>
      <c r="E1907"/>
      <c r="F1907"/>
      <c r="G1907"/>
      <c r="H1907"/>
      <c r="I1907"/>
      <c r="J1907"/>
      <c r="K1907"/>
      <c r="L1907"/>
      <c r="M1907"/>
      <c r="N1907"/>
      <c r="O1907"/>
      <c r="P1907" s="36"/>
      <c r="Q1907" s="37"/>
      <c r="R1907"/>
      <c r="S1907"/>
      <c r="T1907"/>
      <c r="U1907"/>
      <c r="V1907" s="39"/>
      <c r="W1907"/>
      <c r="X1907"/>
      <c r="Y1907"/>
      <c r="Z1907"/>
      <c r="AA1907"/>
    </row>
    <row r="1908" spans="1:27" x14ac:dyDescent="0.25">
      <c r="A1908"/>
      <c r="B1908" s="36"/>
      <c r="C1908" s="36"/>
      <c r="D1908"/>
      <c r="E1908"/>
      <c r="F1908"/>
      <c r="G1908"/>
      <c r="H1908"/>
      <c r="I1908"/>
      <c r="J1908"/>
      <c r="K1908"/>
      <c r="L1908"/>
      <c r="M1908"/>
      <c r="N1908"/>
      <c r="O1908"/>
      <c r="P1908" s="36"/>
      <c r="Q1908" s="37"/>
      <c r="R1908"/>
      <c r="S1908"/>
      <c r="T1908"/>
      <c r="U1908"/>
      <c r="V1908" s="39"/>
      <c r="W1908"/>
      <c r="X1908"/>
      <c r="Y1908"/>
      <c r="Z1908"/>
      <c r="AA1908"/>
    </row>
    <row r="1909" spans="1:27" x14ac:dyDescent="0.25">
      <c r="A1909"/>
      <c r="B1909" s="36"/>
      <c r="C1909" s="36"/>
      <c r="D1909"/>
      <c r="E1909"/>
      <c r="F1909"/>
      <c r="G1909"/>
      <c r="H1909"/>
      <c r="I1909"/>
      <c r="J1909"/>
      <c r="K1909"/>
      <c r="L1909"/>
      <c r="M1909"/>
      <c r="N1909"/>
      <c r="O1909"/>
      <c r="P1909" s="36"/>
      <c r="Q1909" s="37"/>
      <c r="R1909"/>
      <c r="S1909"/>
      <c r="T1909"/>
      <c r="U1909"/>
      <c r="V1909" s="39"/>
      <c r="W1909"/>
      <c r="X1909"/>
      <c r="Y1909"/>
      <c r="Z1909"/>
      <c r="AA1909"/>
    </row>
    <row r="1910" spans="1:27" x14ac:dyDescent="0.25">
      <c r="A1910"/>
      <c r="B1910" s="36"/>
      <c r="C1910" s="36"/>
      <c r="D1910"/>
      <c r="E1910"/>
      <c r="F1910"/>
      <c r="G1910"/>
      <c r="H1910"/>
      <c r="I1910"/>
      <c r="J1910"/>
      <c r="K1910"/>
      <c r="L1910"/>
      <c r="M1910"/>
      <c r="N1910"/>
      <c r="O1910"/>
      <c r="P1910" s="36"/>
      <c r="Q1910" s="37"/>
      <c r="R1910"/>
      <c r="S1910"/>
      <c r="T1910"/>
      <c r="U1910"/>
      <c r="V1910" s="39"/>
      <c r="W1910"/>
      <c r="X1910"/>
      <c r="Y1910"/>
      <c r="Z1910"/>
      <c r="AA1910"/>
    </row>
    <row r="1911" spans="1:27" x14ac:dyDescent="0.25">
      <c r="A1911"/>
      <c r="B1911" s="36"/>
      <c r="C1911" s="36"/>
      <c r="D1911"/>
      <c r="E1911"/>
      <c r="F1911"/>
      <c r="G1911"/>
      <c r="H1911"/>
      <c r="I1911"/>
      <c r="J1911"/>
      <c r="K1911"/>
      <c r="L1911"/>
      <c r="M1911"/>
      <c r="N1911"/>
      <c r="O1911"/>
      <c r="P1911" s="36"/>
      <c r="Q1911" s="37"/>
      <c r="R1911"/>
      <c r="S1911"/>
      <c r="T1911"/>
      <c r="U1911"/>
      <c r="V1911" s="39"/>
      <c r="W1911"/>
      <c r="X1911"/>
      <c r="Y1911"/>
      <c r="Z1911"/>
      <c r="AA1911"/>
    </row>
    <row r="1912" spans="1:27" x14ac:dyDescent="0.25">
      <c r="A1912"/>
      <c r="B1912" s="36"/>
      <c r="C1912" s="36"/>
      <c r="D1912"/>
      <c r="E1912"/>
      <c r="F1912"/>
      <c r="G1912"/>
      <c r="H1912"/>
      <c r="I1912"/>
      <c r="J1912"/>
      <c r="K1912"/>
      <c r="L1912"/>
      <c r="M1912"/>
      <c r="N1912"/>
      <c r="O1912"/>
      <c r="P1912" s="36"/>
      <c r="Q1912" s="37"/>
      <c r="R1912"/>
      <c r="S1912"/>
      <c r="T1912"/>
      <c r="U1912"/>
      <c r="V1912" s="39"/>
      <c r="W1912"/>
      <c r="X1912"/>
      <c r="Y1912"/>
      <c r="Z1912"/>
      <c r="AA1912"/>
    </row>
    <row r="1913" spans="1:27" x14ac:dyDescent="0.25">
      <c r="A1913"/>
      <c r="B1913" s="36"/>
      <c r="C1913" s="36"/>
      <c r="D1913"/>
      <c r="E1913"/>
      <c r="F1913"/>
      <c r="G1913"/>
      <c r="H1913"/>
      <c r="I1913"/>
      <c r="J1913"/>
      <c r="K1913"/>
      <c r="L1913"/>
      <c r="M1913"/>
      <c r="N1913"/>
      <c r="O1913"/>
      <c r="P1913" s="36"/>
      <c r="Q1913" s="37"/>
      <c r="R1913"/>
      <c r="S1913"/>
      <c r="T1913"/>
      <c r="U1913"/>
      <c r="V1913" s="39"/>
      <c r="W1913"/>
      <c r="X1913"/>
      <c r="Y1913"/>
      <c r="Z1913"/>
      <c r="AA1913"/>
    </row>
    <row r="1914" spans="1:27" x14ac:dyDescent="0.25">
      <c r="A1914"/>
      <c r="B1914" s="36"/>
      <c r="C1914" s="36"/>
      <c r="D1914"/>
      <c r="E1914"/>
      <c r="F1914"/>
      <c r="G1914"/>
      <c r="H1914"/>
      <c r="I1914"/>
      <c r="J1914"/>
      <c r="K1914"/>
      <c r="L1914"/>
      <c r="M1914"/>
      <c r="N1914"/>
      <c r="O1914"/>
      <c r="P1914" s="36"/>
      <c r="Q1914" s="37"/>
      <c r="R1914"/>
      <c r="S1914"/>
      <c r="T1914"/>
      <c r="U1914"/>
      <c r="V1914" s="39"/>
      <c r="W1914"/>
      <c r="X1914"/>
      <c r="Y1914"/>
      <c r="Z1914"/>
      <c r="AA1914"/>
    </row>
    <row r="1915" spans="1:27" x14ac:dyDescent="0.25">
      <c r="A1915"/>
      <c r="B1915" s="36"/>
      <c r="C1915" s="36"/>
      <c r="D1915"/>
      <c r="E1915"/>
      <c r="F1915"/>
      <c r="G1915"/>
      <c r="H1915"/>
      <c r="I1915"/>
      <c r="J1915"/>
      <c r="K1915"/>
      <c r="L1915"/>
      <c r="M1915"/>
      <c r="N1915"/>
      <c r="O1915"/>
      <c r="P1915" s="36"/>
      <c r="Q1915" s="37"/>
      <c r="R1915"/>
      <c r="S1915"/>
      <c r="T1915"/>
      <c r="U1915"/>
      <c r="V1915" s="39"/>
      <c r="W1915"/>
      <c r="X1915"/>
      <c r="Y1915"/>
      <c r="Z1915"/>
      <c r="AA1915"/>
    </row>
    <row r="1916" spans="1:27" x14ac:dyDescent="0.25">
      <c r="A1916"/>
      <c r="B1916" s="36"/>
      <c r="C1916" s="36"/>
      <c r="D1916"/>
      <c r="E1916"/>
      <c r="F1916"/>
      <c r="G1916"/>
      <c r="H1916"/>
      <c r="I1916"/>
      <c r="J1916"/>
      <c r="K1916"/>
      <c r="L1916"/>
      <c r="M1916"/>
      <c r="N1916"/>
      <c r="O1916"/>
      <c r="P1916" s="36"/>
      <c r="Q1916" s="37"/>
      <c r="R1916"/>
      <c r="S1916"/>
      <c r="T1916"/>
      <c r="U1916"/>
      <c r="V1916" s="39"/>
      <c r="W1916"/>
      <c r="X1916"/>
      <c r="Y1916"/>
      <c r="Z1916"/>
      <c r="AA1916"/>
    </row>
    <row r="1917" spans="1:27" x14ac:dyDescent="0.25">
      <c r="A1917"/>
      <c r="B1917" s="36"/>
      <c r="C1917" s="36"/>
      <c r="D1917"/>
      <c r="E1917"/>
      <c r="F1917"/>
      <c r="G1917"/>
      <c r="H1917"/>
      <c r="I1917"/>
      <c r="J1917"/>
      <c r="K1917"/>
      <c r="L1917"/>
      <c r="M1917"/>
      <c r="N1917"/>
      <c r="O1917"/>
      <c r="P1917" s="36"/>
      <c r="Q1917" s="37"/>
      <c r="R1917"/>
      <c r="S1917"/>
      <c r="T1917"/>
      <c r="U1917"/>
      <c r="V1917" s="39"/>
      <c r="W1917"/>
      <c r="X1917"/>
      <c r="Y1917"/>
      <c r="Z1917"/>
      <c r="AA1917"/>
    </row>
    <row r="1918" spans="1:27" x14ac:dyDescent="0.25">
      <c r="A1918"/>
      <c r="B1918" s="36"/>
      <c r="C1918" s="36"/>
      <c r="D1918"/>
      <c r="E1918"/>
      <c r="F1918"/>
      <c r="G1918"/>
      <c r="H1918"/>
      <c r="I1918"/>
      <c r="J1918"/>
      <c r="K1918"/>
      <c r="L1918"/>
      <c r="M1918"/>
      <c r="N1918"/>
      <c r="O1918"/>
      <c r="P1918" s="36"/>
      <c r="Q1918" s="37"/>
      <c r="R1918"/>
      <c r="S1918"/>
      <c r="T1918"/>
      <c r="U1918"/>
      <c r="V1918" s="39"/>
      <c r="W1918"/>
      <c r="X1918"/>
      <c r="Y1918"/>
      <c r="Z1918"/>
      <c r="AA1918"/>
    </row>
    <row r="1919" spans="1:27" x14ac:dyDescent="0.25">
      <c r="A1919"/>
      <c r="B1919" s="36"/>
      <c r="C1919" s="36"/>
      <c r="D1919"/>
      <c r="E1919"/>
      <c r="F1919"/>
      <c r="G1919"/>
      <c r="H1919"/>
      <c r="I1919"/>
      <c r="J1919"/>
      <c r="K1919"/>
      <c r="L1919"/>
      <c r="M1919"/>
      <c r="N1919"/>
      <c r="O1919"/>
      <c r="P1919" s="36"/>
      <c r="Q1919" s="37"/>
      <c r="R1919"/>
      <c r="S1919"/>
      <c r="T1919"/>
      <c r="U1919"/>
      <c r="V1919" s="39"/>
      <c r="W1919"/>
      <c r="X1919"/>
      <c r="Y1919"/>
      <c r="Z1919"/>
      <c r="AA1919"/>
    </row>
    <row r="1920" spans="1:27" x14ac:dyDescent="0.25">
      <c r="A1920"/>
      <c r="B1920" s="36"/>
      <c r="C1920" s="36"/>
      <c r="D1920"/>
      <c r="E1920"/>
      <c r="F1920"/>
      <c r="G1920"/>
      <c r="H1920"/>
      <c r="I1920"/>
      <c r="J1920"/>
      <c r="K1920"/>
      <c r="L1920"/>
      <c r="M1920"/>
      <c r="N1920"/>
      <c r="O1920"/>
      <c r="P1920" s="36"/>
      <c r="Q1920" s="37"/>
      <c r="R1920"/>
      <c r="S1920"/>
      <c r="T1920"/>
      <c r="U1920"/>
      <c r="V1920" s="39"/>
      <c r="W1920"/>
      <c r="X1920"/>
      <c r="Y1920"/>
      <c r="Z1920"/>
      <c r="AA1920"/>
    </row>
    <row r="1921" spans="1:27" x14ac:dyDescent="0.25">
      <c r="A1921"/>
      <c r="B1921" s="36"/>
      <c r="C1921" s="36"/>
      <c r="D1921"/>
      <c r="E1921"/>
      <c r="F1921"/>
      <c r="G1921"/>
      <c r="H1921"/>
      <c r="I1921"/>
      <c r="J1921"/>
      <c r="K1921"/>
      <c r="L1921"/>
      <c r="M1921"/>
      <c r="N1921"/>
      <c r="O1921"/>
      <c r="P1921" s="36"/>
      <c r="Q1921" s="37"/>
      <c r="R1921"/>
      <c r="S1921"/>
      <c r="T1921"/>
      <c r="U1921"/>
      <c r="V1921" s="39"/>
      <c r="W1921"/>
      <c r="X1921"/>
      <c r="Y1921"/>
      <c r="Z1921"/>
      <c r="AA1921"/>
    </row>
    <row r="1922" spans="1:27" x14ac:dyDescent="0.25">
      <c r="A1922"/>
      <c r="B1922" s="36"/>
      <c r="C1922" s="36"/>
      <c r="D1922"/>
      <c r="E1922"/>
      <c r="F1922"/>
      <c r="G1922"/>
      <c r="H1922"/>
      <c r="I1922"/>
      <c r="J1922"/>
      <c r="K1922"/>
      <c r="L1922"/>
      <c r="M1922"/>
      <c r="N1922"/>
      <c r="O1922"/>
      <c r="P1922" s="36"/>
      <c r="Q1922" s="37"/>
      <c r="R1922"/>
      <c r="S1922"/>
      <c r="T1922"/>
      <c r="U1922"/>
      <c r="V1922" s="39"/>
      <c r="W1922"/>
      <c r="X1922"/>
      <c r="Y1922"/>
      <c r="Z1922"/>
      <c r="AA1922"/>
    </row>
    <row r="1923" spans="1:27" x14ac:dyDescent="0.25">
      <c r="A1923"/>
      <c r="B1923" s="36"/>
      <c r="C1923" s="36"/>
      <c r="D1923"/>
      <c r="E1923"/>
      <c r="F1923"/>
      <c r="G1923"/>
      <c r="H1923"/>
      <c r="I1923"/>
      <c r="J1923"/>
      <c r="K1923"/>
      <c r="L1923"/>
      <c r="M1923"/>
      <c r="N1923"/>
      <c r="O1923"/>
      <c r="P1923" s="36"/>
      <c r="Q1923" s="37"/>
      <c r="R1923"/>
      <c r="S1923"/>
      <c r="T1923"/>
      <c r="U1923"/>
      <c r="V1923" s="39"/>
      <c r="W1923"/>
      <c r="X1923"/>
      <c r="Y1923"/>
      <c r="Z1923"/>
      <c r="AA1923"/>
    </row>
    <row r="1924" spans="1:27" x14ac:dyDescent="0.25">
      <c r="A1924"/>
      <c r="B1924" s="36"/>
      <c r="C1924" s="36"/>
      <c r="D1924"/>
      <c r="E1924"/>
      <c r="F1924"/>
      <c r="G1924"/>
      <c r="H1924"/>
      <c r="I1924"/>
      <c r="J1924"/>
      <c r="K1924"/>
      <c r="L1924"/>
      <c r="M1924"/>
      <c r="N1924"/>
      <c r="O1924"/>
      <c r="P1924" s="36"/>
      <c r="Q1924" s="37"/>
      <c r="R1924"/>
      <c r="S1924"/>
      <c r="T1924"/>
      <c r="U1924"/>
      <c r="V1924" s="39"/>
      <c r="W1924"/>
      <c r="X1924"/>
      <c r="Y1924"/>
      <c r="Z1924"/>
      <c r="AA1924"/>
    </row>
    <row r="1925" spans="1:27" x14ac:dyDescent="0.25">
      <c r="A1925"/>
      <c r="B1925" s="36"/>
      <c r="C1925" s="36"/>
      <c r="D1925"/>
      <c r="E1925"/>
      <c r="F1925"/>
      <c r="G1925"/>
      <c r="H1925"/>
      <c r="I1925"/>
      <c r="J1925"/>
      <c r="K1925"/>
      <c r="L1925"/>
      <c r="M1925"/>
      <c r="N1925"/>
      <c r="O1925"/>
      <c r="P1925" s="36"/>
      <c r="Q1925" s="37"/>
      <c r="R1925"/>
      <c r="S1925"/>
      <c r="T1925"/>
      <c r="U1925"/>
      <c r="V1925" s="39"/>
      <c r="W1925"/>
      <c r="X1925"/>
      <c r="Y1925"/>
      <c r="Z1925"/>
      <c r="AA1925"/>
    </row>
    <row r="1926" spans="1:27" x14ac:dyDescent="0.25">
      <c r="A1926"/>
      <c r="B1926" s="36"/>
      <c r="C1926" s="36"/>
      <c r="D1926"/>
      <c r="E1926"/>
      <c r="F1926"/>
      <c r="G1926"/>
      <c r="H1926"/>
      <c r="I1926"/>
      <c r="J1926"/>
      <c r="K1926"/>
      <c r="L1926"/>
      <c r="M1926"/>
      <c r="N1926"/>
      <c r="O1926"/>
      <c r="P1926" s="36"/>
      <c r="Q1926" s="37"/>
      <c r="R1926"/>
      <c r="S1926"/>
      <c r="T1926"/>
      <c r="U1926"/>
      <c r="V1926" s="39"/>
      <c r="W1926"/>
      <c r="X1926"/>
      <c r="Y1926"/>
      <c r="Z1926"/>
      <c r="AA1926"/>
    </row>
    <row r="1927" spans="1:27" x14ac:dyDescent="0.25">
      <c r="A1927"/>
      <c r="B1927" s="36"/>
      <c r="C1927" s="36"/>
      <c r="D1927"/>
      <c r="E1927"/>
      <c r="F1927"/>
      <c r="G1927"/>
      <c r="H1927"/>
      <c r="I1927"/>
      <c r="J1927"/>
      <c r="K1927"/>
      <c r="L1927"/>
      <c r="M1927"/>
      <c r="N1927"/>
      <c r="O1927"/>
      <c r="P1927" s="36"/>
      <c r="Q1927" s="37"/>
      <c r="R1927"/>
      <c r="S1927"/>
      <c r="T1927"/>
      <c r="U1927"/>
      <c r="V1927" s="39"/>
      <c r="W1927"/>
      <c r="X1927"/>
      <c r="Y1927"/>
      <c r="Z1927"/>
      <c r="AA1927"/>
    </row>
    <row r="1928" spans="1:27" x14ac:dyDescent="0.25">
      <c r="A1928"/>
      <c r="B1928" s="36"/>
      <c r="C1928" s="36"/>
      <c r="D1928"/>
      <c r="E1928"/>
      <c r="F1928"/>
      <c r="G1928"/>
      <c r="H1928"/>
      <c r="I1928"/>
      <c r="J1928"/>
      <c r="K1928"/>
      <c r="L1928"/>
      <c r="M1928"/>
      <c r="N1928"/>
      <c r="O1928"/>
      <c r="P1928" s="36"/>
      <c r="Q1928" s="37"/>
      <c r="R1928"/>
      <c r="S1928"/>
      <c r="T1928"/>
      <c r="U1928"/>
      <c r="V1928" s="39"/>
      <c r="W1928"/>
      <c r="X1928"/>
      <c r="Y1928"/>
      <c r="Z1928"/>
      <c r="AA1928"/>
    </row>
    <row r="1929" spans="1:27" x14ac:dyDescent="0.25">
      <c r="A1929"/>
      <c r="B1929" s="36"/>
      <c r="C1929" s="36"/>
      <c r="D1929"/>
      <c r="E1929"/>
      <c r="F1929"/>
      <c r="G1929"/>
      <c r="H1929"/>
      <c r="I1929"/>
      <c r="J1929"/>
      <c r="K1929"/>
      <c r="L1929"/>
      <c r="M1929"/>
      <c r="N1929"/>
      <c r="O1929"/>
      <c r="P1929" s="36"/>
      <c r="Q1929" s="37"/>
      <c r="R1929"/>
      <c r="S1929"/>
      <c r="T1929"/>
      <c r="U1929"/>
      <c r="V1929" s="39"/>
      <c r="W1929"/>
      <c r="X1929"/>
      <c r="Y1929"/>
      <c r="Z1929"/>
      <c r="AA1929"/>
    </row>
    <row r="1930" spans="1:27" x14ac:dyDescent="0.25">
      <c r="A1930"/>
      <c r="B1930" s="36"/>
      <c r="C1930" s="36"/>
      <c r="D1930"/>
      <c r="E1930"/>
      <c r="F1930"/>
      <c r="G1930"/>
      <c r="H1930"/>
      <c r="I1930"/>
      <c r="J1930"/>
      <c r="K1930"/>
      <c r="L1930"/>
      <c r="M1930"/>
      <c r="N1930"/>
      <c r="O1930"/>
      <c r="P1930" s="36"/>
      <c r="Q1930" s="37"/>
      <c r="R1930"/>
      <c r="S1930"/>
      <c r="T1930"/>
      <c r="U1930"/>
      <c r="V1930" s="39"/>
      <c r="W1930"/>
      <c r="X1930"/>
      <c r="Y1930"/>
      <c r="Z1930"/>
      <c r="AA1930"/>
    </row>
    <row r="1931" spans="1:27" x14ac:dyDescent="0.25">
      <c r="A1931"/>
      <c r="B1931" s="36"/>
      <c r="C1931" s="36"/>
      <c r="D1931"/>
      <c r="E1931"/>
      <c r="F1931"/>
      <c r="G1931"/>
      <c r="H1931"/>
      <c r="I1931"/>
      <c r="J1931"/>
      <c r="K1931"/>
      <c r="L1931"/>
      <c r="M1931"/>
      <c r="N1931"/>
      <c r="O1931"/>
      <c r="P1931" s="36"/>
      <c r="Q1931" s="37"/>
      <c r="R1931"/>
      <c r="S1931"/>
      <c r="T1931"/>
      <c r="U1931"/>
      <c r="V1931" s="39"/>
      <c r="W1931"/>
      <c r="X1931"/>
      <c r="Y1931"/>
      <c r="Z1931"/>
      <c r="AA1931"/>
    </row>
    <row r="1932" spans="1:27" x14ac:dyDescent="0.25">
      <c r="A1932"/>
      <c r="B1932" s="36"/>
      <c r="C1932" s="36"/>
      <c r="D1932"/>
      <c r="E1932"/>
      <c r="F1932"/>
      <c r="G1932"/>
      <c r="H1932"/>
      <c r="I1932"/>
      <c r="J1932"/>
      <c r="K1932"/>
      <c r="L1932"/>
      <c r="M1932"/>
      <c r="N1932"/>
      <c r="O1932"/>
      <c r="P1932" s="36"/>
      <c r="Q1932" s="37"/>
      <c r="R1932"/>
      <c r="S1932"/>
      <c r="T1932"/>
      <c r="U1932"/>
      <c r="V1932" s="39"/>
      <c r="W1932"/>
      <c r="X1932"/>
      <c r="Y1932"/>
      <c r="Z1932"/>
      <c r="AA1932"/>
    </row>
    <row r="1933" spans="1:27" x14ac:dyDescent="0.25">
      <c r="A1933"/>
      <c r="B1933" s="36"/>
      <c r="C1933" s="36"/>
      <c r="D1933"/>
      <c r="E1933"/>
      <c r="F1933"/>
      <c r="G1933"/>
      <c r="H1933"/>
      <c r="I1933"/>
      <c r="J1933"/>
      <c r="K1933"/>
      <c r="L1933"/>
      <c r="M1933"/>
      <c r="N1933"/>
      <c r="O1933"/>
      <c r="P1933" s="36"/>
      <c r="Q1933" s="37"/>
      <c r="R1933"/>
      <c r="S1933"/>
      <c r="T1933"/>
      <c r="U1933"/>
      <c r="V1933" s="39"/>
      <c r="W1933"/>
      <c r="X1933"/>
      <c r="Y1933"/>
      <c r="Z1933"/>
      <c r="AA1933"/>
    </row>
    <row r="1934" spans="1:27" x14ac:dyDescent="0.25">
      <c r="A1934"/>
      <c r="B1934" s="36"/>
      <c r="C1934" s="36"/>
      <c r="D1934"/>
      <c r="E1934"/>
      <c r="F1934"/>
      <c r="G1934"/>
      <c r="H1934"/>
      <c r="I1934"/>
      <c r="J1934"/>
      <c r="K1934"/>
      <c r="L1934"/>
      <c r="M1934"/>
      <c r="N1934"/>
      <c r="O1934"/>
      <c r="P1934" s="36"/>
      <c r="Q1934" s="37"/>
      <c r="R1934"/>
      <c r="S1934"/>
      <c r="T1934"/>
      <c r="U1934"/>
      <c r="V1934" s="39"/>
      <c r="W1934"/>
      <c r="X1934"/>
      <c r="Y1934"/>
      <c r="Z1934"/>
      <c r="AA1934"/>
    </row>
    <row r="1935" spans="1:27" x14ac:dyDescent="0.25">
      <c r="A1935"/>
      <c r="B1935" s="36"/>
      <c r="C1935" s="36"/>
      <c r="D1935"/>
      <c r="E1935"/>
      <c r="F1935"/>
      <c r="G1935"/>
      <c r="H1935"/>
      <c r="I1935"/>
      <c r="J1935"/>
      <c r="K1935"/>
      <c r="L1935"/>
      <c r="M1935"/>
      <c r="N1935"/>
      <c r="O1935"/>
      <c r="P1935" s="36"/>
      <c r="Q1935" s="37"/>
      <c r="R1935"/>
      <c r="S1935"/>
      <c r="T1935"/>
      <c r="U1935"/>
      <c r="V1935" s="39"/>
      <c r="W1935"/>
      <c r="X1935"/>
      <c r="Y1935"/>
      <c r="Z1935"/>
      <c r="AA1935"/>
    </row>
    <row r="1936" spans="1:27" x14ac:dyDescent="0.25">
      <c r="A1936"/>
      <c r="B1936" s="36"/>
      <c r="C1936" s="36"/>
      <c r="D1936"/>
      <c r="E1936"/>
      <c r="F1936"/>
      <c r="G1936"/>
      <c r="H1936"/>
      <c r="I1936"/>
      <c r="J1936"/>
      <c r="K1936"/>
      <c r="L1936"/>
      <c r="M1936"/>
      <c r="N1936"/>
      <c r="O1936"/>
      <c r="P1936" s="36"/>
      <c r="Q1936" s="37"/>
      <c r="R1936" s="44"/>
      <c r="S1936"/>
      <c r="T1936"/>
      <c r="U1936"/>
      <c r="V1936" s="39"/>
      <c r="W1936"/>
      <c r="X1936"/>
      <c r="Y1936"/>
      <c r="Z1936"/>
      <c r="AA1936"/>
    </row>
    <row r="1937" spans="1:27" x14ac:dyDescent="0.25">
      <c r="A1937"/>
      <c r="B1937" s="36"/>
      <c r="C1937" s="36"/>
      <c r="D1937"/>
      <c r="E1937"/>
      <c r="F1937"/>
      <c r="G1937"/>
      <c r="H1937"/>
      <c r="I1937"/>
      <c r="J1937"/>
      <c r="K1937"/>
      <c r="L1937"/>
      <c r="M1937"/>
      <c r="N1937"/>
      <c r="O1937"/>
      <c r="P1937" s="36"/>
      <c r="Q1937" s="37"/>
      <c r="R1937"/>
      <c r="S1937"/>
      <c r="T1937"/>
      <c r="U1937"/>
      <c r="V1937" s="39"/>
      <c r="W1937"/>
      <c r="X1937"/>
      <c r="Y1937"/>
      <c r="Z1937"/>
      <c r="AA1937"/>
    </row>
    <row r="1938" spans="1:27" x14ac:dyDescent="0.25">
      <c r="A1938"/>
      <c r="B1938" s="36"/>
      <c r="C1938" s="36"/>
      <c r="D1938"/>
      <c r="E1938"/>
      <c r="F1938"/>
      <c r="G1938"/>
      <c r="H1938"/>
      <c r="I1938"/>
      <c r="J1938"/>
      <c r="K1938"/>
      <c r="L1938"/>
      <c r="M1938"/>
      <c r="N1938"/>
      <c r="O1938"/>
      <c r="P1938" s="36"/>
      <c r="Q1938" s="37"/>
      <c r="R1938"/>
      <c r="S1938"/>
      <c r="T1938"/>
      <c r="U1938"/>
      <c r="V1938" s="39"/>
      <c r="W1938"/>
      <c r="X1938"/>
      <c r="Y1938"/>
      <c r="Z1938"/>
      <c r="AA1938"/>
    </row>
    <row r="1939" spans="1:27" x14ac:dyDescent="0.25">
      <c r="A1939"/>
      <c r="B1939" s="36"/>
      <c r="C1939" s="36"/>
      <c r="D1939"/>
      <c r="E1939"/>
      <c r="F1939"/>
      <c r="G1939"/>
      <c r="H1939"/>
      <c r="I1939"/>
      <c r="J1939"/>
      <c r="K1939"/>
      <c r="L1939"/>
      <c r="M1939"/>
      <c r="N1939"/>
      <c r="O1939"/>
      <c r="P1939" s="36"/>
      <c r="Q1939" s="37"/>
      <c r="R1939"/>
      <c r="S1939"/>
      <c r="T1939"/>
      <c r="U1939"/>
      <c r="V1939" s="39"/>
      <c r="W1939"/>
      <c r="X1939"/>
      <c r="Y1939"/>
      <c r="Z1939"/>
      <c r="AA1939"/>
    </row>
    <row r="1940" spans="1:27" x14ac:dyDescent="0.25">
      <c r="A1940"/>
      <c r="B1940" s="36"/>
      <c r="C1940" s="36"/>
      <c r="D1940"/>
      <c r="E1940"/>
      <c r="F1940"/>
      <c r="G1940"/>
      <c r="H1940"/>
      <c r="I1940"/>
      <c r="J1940"/>
      <c r="K1940"/>
      <c r="L1940"/>
      <c r="M1940"/>
      <c r="N1940"/>
      <c r="O1940"/>
      <c r="P1940" s="36"/>
      <c r="Q1940" s="37"/>
      <c r="R1940"/>
      <c r="S1940"/>
      <c r="T1940"/>
      <c r="U1940"/>
      <c r="V1940" s="39"/>
      <c r="W1940"/>
      <c r="X1940"/>
      <c r="Y1940"/>
      <c r="Z1940"/>
      <c r="AA1940"/>
    </row>
    <row r="1941" spans="1:27" x14ac:dyDescent="0.25">
      <c r="A1941"/>
      <c r="B1941" s="36"/>
      <c r="C1941" s="36"/>
      <c r="D1941"/>
      <c r="E1941"/>
      <c r="F1941"/>
      <c r="G1941"/>
      <c r="H1941"/>
      <c r="I1941"/>
      <c r="J1941"/>
      <c r="K1941"/>
      <c r="L1941"/>
      <c r="M1941"/>
      <c r="N1941"/>
      <c r="O1941"/>
      <c r="P1941" s="36"/>
      <c r="Q1941" s="37"/>
      <c r="R1941"/>
      <c r="S1941"/>
      <c r="T1941"/>
      <c r="U1941"/>
      <c r="V1941" s="39"/>
      <c r="W1941"/>
      <c r="X1941"/>
      <c r="Y1941"/>
      <c r="Z1941"/>
      <c r="AA1941"/>
    </row>
    <row r="1942" spans="1:27" x14ac:dyDescent="0.25">
      <c r="A1942"/>
      <c r="B1942" s="36"/>
      <c r="C1942" s="36"/>
      <c r="D1942"/>
      <c r="E1942"/>
      <c r="F1942"/>
      <c r="G1942"/>
      <c r="H1942"/>
      <c r="I1942"/>
      <c r="J1942"/>
      <c r="K1942"/>
      <c r="L1942"/>
      <c r="M1942"/>
      <c r="N1942"/>
      <c r="O1942"/>
      <c r="P1942" s="36"/>
      <c r="Q1942" s="37"/>
      <c r="R1942"/>
      <c r="S1942"/>
      <c r="T1942"/>
      <c r="U1942"/>
      <c r="V1942" s="39"/>
      <c r="W1942"/>
      <c r="X1942"/>
      <c r="Y1942"/>
      <c r="Z1942"/>
      <c r="AA1942"/>
    </row>
    <row r="1943" spans="1:27" x14ac:dyDescent="0.25">
      <c r="A1943"/>
      <c r="B1943" s="36"/>
      <c r="C1943" s="36"/>
      <c r="D1943"/>
      <c r="E1943"/>
      <c r="F1943"/>
      <c r="G1943"/>
      <c r="H1943"/>
      <c r="I1943"/>
      <c r="J1943"/>
      <c r="K1943"/>
      <c r="L1943"/>
      <c r="M1943"/>
      <c r="N1943"/>
      <c r="O1943"/>
      <c r="P1943" s="36"/>
      <c r="Q1943" s="37"/>
      <c r="R1943"/>
      <c r="S1943"/>
      <c r="T1943"/>
      <c r="U1943"/>
      <c r="V1943" s="39"/>
      <c r="W1943"/>
      <c r="X1943"/>
      <c r="Y1943"/>
      <c r="Z1943"/>
      <c r="AA1943"/>
    </row>
    <row r="1944" spans="1:27" x14ac:dyDescent="0.25">
      <c r="A1944"/>
      <c r="B1944" s="36"/>
      <c r="C1944" s="36"/>
      <c r="D1944"/>
      <c r="E1944"/>
      <c r="F1944"/>
      <c r="G1944"/>
      <c r="H1944"/>
      <c r="I1944"/>
      <c r="J1944"/>
      <c r="K1944"/>
      <c r="L1944"/>
      <c r="M1944"/>
      <c r="N1944"/>
      <c r="O1944"/>
      <c r="P1944" s="36"/>
      <c r="Q1944" s="37"/>
      <c r="R1944"/>
      <c r="S1944"/>
      <c r="T1944"/>
      <c r="U1944"/>
      <c r="V1944" s="39"/>
      <c r="W1944"/>
      <c r="X1944"/>
      <c r="Y1944"/>
      <c r="Z1944"/>
      <c r="AA1944"/>
    </row>
    <row r="1945" spans="1:27" x14ac:dyDescent="0.25">
      <c r="A1945"/>
      <c r="B1945" s="36"/>
      <c r="C1945" s="36"/>
      <c r="D1945"/>
      <c r="E1945"/>
      <c r="F1945"/>
      <c r="G1945"/>
      <c r="H1945"/>
      <c r="I1945"/>
      <c r="J1945"/>
      <c r="K1945"/>
      <c r="L1945"/>
      <c r="M1945"/>
      <c r="N1945"/>
      <c r="O1945"/>
      <c r="P1945" s="36"/>
      <c r="Q1945" s="37"/>
      <c r="R1945"/>
      <c r="S1945"/>
      <c r="T1945"/>
      <c r="U1945"/>
      <c r="V1945" s="39"/>
      <c r="W1945"/>
      <c r="X1945"/>
      <c r="Y1945"/>
      <c r="Z1945"/>
      <c r="AA1945"/>
    </row>
    <row r="1946" spans="1:27" x14ac:dyDescent="0.25">
      <c r="A1946"/>
      <c r="B1946" s="36"/>
      <c r="C1946" s="36"/>
      <c r="D1946"/>
      <c r="E1946"/>
      <c r="F1946"/>
      <c r="G1946"/>
      <c r="H1946"/>
      <c r="I1946"/>
      <c r="J1946"/>
      <c r="K1946"/>
      <c r="L1946"/>
      <c r="M1946"/>
      <c r="N1946"/>
      <c r="O1946"/>
      <c r="P1946" s="36"/>
      <c r="Q1946" s="37"/>
      <c r="R1946"/>
      <c r="S1946"/>
      <c r="T1946"/>
      <c r="U1946"/>
      <c r="V1946" s="39"/>
      <c r="W1946"/>
      <c r="X1946"/>
      <c r="Y1946"/>
      <c r="Z1946"/>
      <c r="AA1946"/>
    </row>
    <row r="1947" spans="1:27" x14ac:dyDescent="0.25">
      <c r="A1947"/>
      <c r="B1947" s="36"/>
      <c r="C1947" s="36"/>
      <c r="D1947"/>
      <c r="E1947"/>
      <c r="F1947"/>
      <c r="G1947"/>
      <c r="H1947"/>
      <c r="I1947"/>
      <c r="J1947"/>
      <c r="K1947"/>
      <c r="L1947"/>
      <c r="M1947"/>
      <c r="N1947"/>
      <c r="O1947"/>
      <c r="P1947" s="36"/>
      <c r="Q1947" s="37"/>
      <c r="R1947"/>
      <c r="S1947"/>
      <c r="T1947"/>
      <c r="U1947"/>
      <c r="V1947" s="39"/>
      <c r="W1947"/>
      <c r="X1947"/>
      <c r="Y1947"/>
      <c r="Z1947"/>
      <c r="AA1947"/>
    </row>
    <row r="1948" spans="1:27" x14ac:dyDescent="0.25">
      <c r="A1948"/>
      <c r="B1948" s="36"/>
      <c r="C1948" s="36"/>
      <c r="D1948"/>
      <c r="E1948"/>
      <c r="F1948"/>
      <c r="G1948"/>
      <c r="H1948"/>
      <c r="I1948"/>
      <c r="J1948"/>
      <c r="K1948"/>
      <c r="L1948"/>
      <c r="M1948"/>
      <c r="N1948"/>
      <c r="O1948"/>
      <c r="P1948" s="36"/>
      <c r="Q1948" s="37"/>
      <c r="R1948"/>
      <c r="S1948"/>
      <c r="T1948"/>
      <c r="U1948"/>
      <c r="V1948" s="39"/>
      <c r="W1948"/>
      <c r="X1948"/>
      <c r="Y1948"/>
      <c r="Z1948"/>
      <c r="AA1948"/>
    </row>
    <row r="1949" spans="1:27" x14ac:dyDescent="0.25">
      <c r="A1949"/>
      <c r="B1949" s="36"/>
      <c r="C1949" s="36"/>
      <c r="D1949"/>
      <c r="E1949"/>
      <c r="F1949"/>
      <c r="G1949"/>
      <c r="H1949"/>
      <c r="I1949"/>
      <c r="J1949"/>
      <c r="K1949"/>
      <c r="L1949"/>
      <c r="M1949"/>
      <c r="N1949"/>
      <c r="O1949"/>
      <c r="P1949" s="36"/>
      <c r="Q1949" s="37"/>
      <c r="R1949"/>
      <c r="S1949"/>
      <c r="T1949"/>
      <c r="U1949"/>
      <c r="V1949" s="39"/>
      <c r="W1949"/>
      <c r="X1949"/>
      <c r="Y1949"/>
      <c r="Z1949"/>
      <c r="AA1949"/>
    </row>
    <row r="1950" spans="1:27" x14ac:dyDescent="0.25">
      <c r="A1950"/>
      <c r="B1950" s="36"/>
      <c r="C1950" s="36"/>
      <c r="D1950"/>
      <c r="E1950"/>
      <c r="F1950"/>
      <c r="G1950"/>
      <c r="H1950"/>
      <c r="I1950"/>
      <c r="J1950"/>
      <c r="K1950"/>
      <c r="L1950"/>
      <c r="M1950"/>
      <c r="N1950"/>
      <c r="O1950"/>
      <c r="P1950" s="36"/>
      <c r="Q1950" s="37"/>
      <c r="R1950"/>
      <c r="S1950"/>
      <c r="T1950"/>
      <c r="U1950"/>
      <c r="V1950" s="39"/>
      <c r="W1950"/>
      <c r="X1950"/>
      <c r="Y1950"/>
      <c r="Z1950"/>
      <c r="AA1950"/>
    </row>
    <row r="1951" spans="1:27" x14ac:dyDescent="0.25">
      <c r="A1951"/>
      <c r="B1951" s="36"/>
      <c r="C1951" s="36"/>
      <c r="D1951"/>
      <c r="E1951"/>
      <c r="F1951"/>
      <c r="G1951"/>
      <c r="H1951"/>
      <c r="I1951"/>
      <c r="J1951"/>
      <c r="K1951"/>
      <c r="L1951"/>
      <c r="M1951"/>
      <c r="N1951"/>
      <c r="O1951"/>
      <c r="P1951" s="36"/>
      <c r="Q1951" s="37"/>
      <c r="R1951"/>
      <c r="S1951"/>
      <c r="T1951"/>
      <c r="U1951"/>
      <c r="V1951" s="39"/>
      <c r="W1951"/>
      <c r="X1951"/>
      <c r="Y1951"/>
      <c r="Z1951"/>
      <c r="AA1951"/>
    </row>
    <row r="1952" spans="1:27" x14ac:dyDescent="0.25">
      <c r="A1952"/>
      <c r="B1952" s="36"/>
      <c r="C1952" s="36"/>
      <c r="D1952"/>
      <c r="E1952"/>
      <c r="F1952"/>
      <c r="G1952"/>
      <c r="H1952"/>
      <c r="I1952"/>
      <c r="J1952"/>
      <c r="K1952"/>
      <c r="L1952"/>
      <c r="M1952"/>
      <c r="N1952"/>
      <c r="O1952"/>
      <c r="P1952" s="36"/>
      <c r="Q1952" s="37"/>
      <c r="R1952"/>
      <c r="S1952"/>
      <c r="T1952"/>
      <c r="U1952"/>
      <c r="V1952" s="39"/>
      <c r="W1952"/>
      <c r="X1952"/>
      <c r="Y1952"/>
      <c r="Z1952"/>
      <c r="AA1952"/>
    </row>
    <row r="1953" spans="1:27" x14ac:dyDescent="0.25">
      <c r="A1953"/>
      <c r="B1953" s="36"/>
      <c r="C1953" s="36"/>
      <c r="D1953"/>
      <c r="E1953"/>
      <c r="F1953"/>
      <c r="G1953"/>
      <c r="H1953"/>
      <c r="I1953"/>
      <c r="J1953"/>
      <c r="K1953"/>
      <c r="L1953"/>
      <c r="M1953"/>
      <c r="N1953"/>
      <c r="O1953"/>
      <c r="P1953" s="36"/>
      <c r="Q1953" s="37"/>
      <c r="R1953"/>
      <c r="S1953"/>
      <c r="T1953"/>
      <c r="U1953"/>
      <c r="V1953" s="39"/>
      <c r="W1953"/>
      <c r="X1953"/>
      <c r="Y1953"/>
      <c r="Z1953"/>
      <c r="AA1953"/>
    </row>
    <row r="1954" spans="1:27" x14ac:dyDescent="0.25">
      <c r="A1954"/>
      <c r="B1954" s="36"/>
      <c r="C1954" s="36"/>
      <c r="D1954"/>
      <c r="E1954"/>
      <c r="F1954"/>
      <c r="G1954"/>
      <c r="H1954"/>
      <c r="I1954"/>
      <c r="J1954"/>
      <c r="K1954"/>
      <c r="L1954"/>
      <c r="M1954"/>
      <c r="N1954"/>
      <c r="O1954"/>
      <c r="P1954" s="36"/>
      <c r="Q1954" s="37"/>
      <c r="R1954" s="44"/>
      <c r="S1954"/>
      <c r="T1954"/>
      <c r="U1954"/>
      <c r="V1954" s="39"/>
      <c r="W1954"/>
      <c r="X1954"/>
      <c r="Y1954"/>
      <c r="Z1954"/>
      <c r="AA1954"/>
    </row>
    <row r="1955" spans="1:27" x14ac:dyDescent="0.25">
      <c r="A1955"/>
      <c r="B1955" s="36"/>
      <c r="C1955" s="36"/>
      <c r="D1955"/>
      <c r="E1955"/>
      <c r="F1955"/>
      <c r="G1955"/>
      <c r="H1955"/>
      <c r="I1955"/>
      <c r="J1955"/>
      <c r="K1955"/>
      <c r="L1955"/>
      <c r="M1955"/>
      <c r="N1955"/>
      <c r="O1955"/>
      <c r="P1955" s="36"/>
      <c r="Q1955" s="37"/>
      <c r="R1955"/>
      <c r="S1955"/>
      <c r="T1955"/>
      <c r="U1955"/>
      <c r="V1955" s="39"/>
      <c r="W1955"/>
      <c r="X1955"/>
      <c r="Y1955"/>
      <c r="Z1955"/>
      <c r="AA1955"/>
    </row>
    <row r="1956" spans="1:27" x14ac:dyDescent="0.25">
      <c r="A1956"/>
      <c r="B1956" s="36"/>
      <c r="C1956" s="36"/>
      <c r="D1956"/>
      <c r="E1956"/>
      <c r="F1956"/>
      <c r="G1956"/>
      <c r="H1956"/>
      <c r="I1956"/>
      <c r="J1956"/>
      <c r="K1956"/>
      <c r="L1956"/>
      <c r="M1956"/>
      <c r="N1956"/>
      <c r="O1956"/>
      <c r="P1956" s="36"/>
      <c r="Q1956" s="37"/>
      <c r="R1956"/>
      <c r="S1956"/>
      <c r="T1956"/>
      <c r="U1956"/>
      <c r="V1956" s="39"/>
      <c r="W1956"/>
      <c r="X1956"/>
      <c r="Y1956"/>
      <c r="Z1956"/>
      <c r="AA1956"/>
    </row>
    <row r="1957" spans="1:27" x14ac:dyDescent="0.25">
      <c r="A1957"/>
      <c r="B1957" s="36"/>
      <c r="C1957" s="36"/>
      <c r="D1957"/>
      <c r="E1957"/>
      <c r="F1957"/>
      <c r="G1957"/>
      <c r="H1957"/>
      <c r="I1957"/>
      <c r="J1957"/>
      <c r="K1957"/>
      <c r="L1957"/>
      <c r="M1957"/>
      <c r="N1957"/>
      <c r="O1957"/>
      <c r="P1957" s="36"/>
      <c r="Q1957" s="37"/>
      <c r="R1957"/>
      <c r="S1957"/>
      <c r="T1957"/>
      <c r="U1957"/>
      <c r="V1957" s="39"/>
      <c r="W1957"/>
      <c r="X1957"/>
      <c r="Y1957"/>
      <c r="Z1957"/>
      <c r="AA1957"/>
    </row>
    <row r="1958" spans="1:27" x14ac:dyDescent="0.25">
      <c r="A1958"/>
      <c r="B1958" s="36"/>
      <c r="C1958" s="36"/>
      <c r="D1958"/>
      <c r="E1958"/>
      <c r="F1958"/>
      <c r="G1958"/>
      <c r="H1958"/>
      <c r="I1958"/>
      <c r="J1958"/>
      <c r="K1958"/>
      <c r="L1958"/>
      <c r="M1958"/>
      <c r="N1958"/>
      <c r="O1958"/>
      <c r="P1958" s="36"/>
      <c r="Q1958" s="37"/>
      <c r="R1958"/>
      <c r="S1958"/>
      <c r="T1958"/>
      <c r="U1958"/>
      <c r="V1958" s="39"/>
      <c r="W1958"/>
      <c r="X1958"/>
      <c r="Y1958"/>
      <c r="Z1958"/>
      <c r="AA1958"/>
    </row>
    <row r="1959" spans="1:27" x14ac:dyDescent="0.25">
      <c r="A1959"/>
      <c r="B1959" s="36"/>
      <c r="C1959" s="36"/>
      <c r="D1959"/>
      <c r="E1959"/>
      <c r="F1959"/>
      <c r="G1959"/>
      <c r="H1959"/>
      <c r="I1959"/>
      <c r="J1959"/>
      <c r="K1959"/>
      <c r="L1959"/>
      <c r="M1959"/>
      <c r="N1959"/>
      <c r="O1959"/>
      <c r="P1959" s="36"/>
      <c r="Q1959" s="37"/>
      <c r="R1959"/>
      <c r="S1959"/>
      <c r="T1959"/>
      <c r="U1959"/>
      <c r="V1959" s="39"/>
      <c r="W1959"/>
      <c r="X1959"/>
      <c r="Y1959"/>
      <c r="Z1959"/>
      <c r="AA1959"/>
    </row>
    <row r="1960" spans="1:27" x14ac:dyDescent="0.25">
      <c r="A1960"/>
      <c r="B1960" s="36"/>
      <c r="C1960" s="36"/>
      <c r="D1960"/>
      <c r="E1960"/>
      <c r="F1960"/>
      <c r="G1960"/>
      <c r="H1960"/>
      <c r="I1960"/>
      <c r="J1960"/>
      <c r="K1960"/>
      <c r="L1960"/>
      <c r="M1960"/>
      <c r="N1960"/>
      <c r="O1960"/>
      <c r="P1960" s="36"/>
      <c r="Q1960" s="37"/>
      <c r="R1960"/>
      <c r="S1960"/>
      <c r="T1960"/>
      <c r="U1960"/>
      <c r="V1960" s="39"/>
      <c r="W1960"/>
      <c r="X1960"/>
      <c r="Y1960"/>
      <c r="Z1960"/>
      <c r="AA1960"/>
    </row>
    <row r="1961" spans="1:27" x14ac:dyDescent="0.25">
      <c r="A1961"/>
      <c r="B1961" s="36"/>
      <c r="C1961" s="36"/>
      <c r="D1961"/>
      <c r="E1961"/>
      <c r="F1961"/>
      <c r="G1961"/>
      <c r="H1961"/>
      <c r="I1961"/>
      <c r="J1961"/>
      <c r="K1961"/>
      <c r="L1961"/>
      <c r="M1961"/>
      <c r="N1961"/>
      <c r="O1961"/>
      <c r="P1961" s="36"/>
      <c r="Q1961" s="37"/>
      <c r="R1961"/>
      <c r="S1961"/>
      <c r="T1961"/>
      <c r="U1961"/>
      <c r="V1961" s="39"/>
      <c r="W1961"/>
      <c r="X1961"/>
      <c r="Y1961"/>
      <c r="Z1961"/>
      <c r="AA1961"/>
    </row>
    <row r="1962" spans="1:27" x14ac:dyDescent="0.25">
      <c r="A1962"/>
      <c r="B1962" s="36"/>
      <c r="C1962" s="36"/>
      <c r="D1962"/>
      <c r="E1962"/>
      <c r="F1962"/>
      <c r="G1962"/>
      <c r="H1962"/>
      <c r="I1962"/>
      <c r="J1962"/>
      <c r="K1962"/>
      <c r="L1962"/>
      <c r="M1962"/>
      <c r="N1962"/>
      <c r="O1962"/>
      <c r="P1962" s="36"/>
      <c r="Q1962" s="37"/>
      <c r="R1962"/>
      <c r="S1962"/>
      <c r="T1962"/>
      <c r="U1962"/>
      <c r="V1962" s="39"/>
      <c r="W1962"/>
      <c r="X1962"/>
      <c r="Y1962"/>
      <c r="Z1962"/>
      <c r="AA1962"/>
    </row>
    <row r="1963" spans="1:27" x14ac:dyDescent="0.25">
      <c r="A1963"/>
      <c r="B1963" s="36"/>
      <c r="C1963" s="36"/>
      <c r="D1963"/>
      <c r="E1963"/>
      <c r="F1963"/>
      <c r="G1963"/>
      <c r="H1963"/>
      <c r="I1963"/>
      <c r="J1963"/>
      <c r="K1963"/>
      <c r="L1963"/>
      <c r="M1963"/>
      <c r="N1963"/>
      <c r="O1963"/>
      <c r="P1963" s="36"/>
      <c r="Q1963" s="37"/>
      <c r="R1963"/>
      <c r="S1963"/>
      <c r="T1963"/>
      <c r="U1963"/>
      <c r="V1963" s="39"/>
      <c r="W1963"/>
      <c r="X1963"/>
      <c r="Y1963"/>
      <c r="Z1963"/>
      <c r="AA1963"/>
    </row>
    <row r="1964" spans="1:27" x14ac:dyDescent="0.25">
      <c r="A1964"/>
      <c r="B1964" s="36"/>
      <c r="C1964" s="36"/>
      <c r="D1964"/>
      <c r="E1964"/>
      <c r="F1964"/>
      <c r="G1964"/>
      <c r="H1964"/>
      <c r="I1964"/>
      <c r="J1964"/>
      <c r="K1964"/>
      <c r="L1964"/>
      <c r="M1964"/>
      <c r="N1964"/>
      <c r="O1964"/>
      <c r="P1964" s="36"/>
      <c r="Q1964" s="37"/>
      <c r="R1964"/>
      <c r="S1964"/>
      <c r="T1964"/>
      <c r="U1964"/>
      <c r="V1964" s="39"/>
      <c r="W1964"/>
      <c r="X1964"/>
      <c r="Y1964"/>
      <c r="Z1964"/>
      <c r="AA1964"/>
    </row>
    <row r="1965" spans="1:27" x14ac:dyDescent="0.25">
      <c r="A1965"/>
      <c r="B1965" s="36"/>
      <c r="C1965" s="36"/>
      <c r="D1965"/>
      <c r="E1965"/>
      <c r="F1965"/>
      <c r="G1965"/>
      <c r="H1965"/>
      <c r="I1965"/>
      <c r="J1965"/>
      <c r="K1965"/>
      <c r="L1965"/>
      <c r="M1965"/>
      <c r="N1965"/>
      <c r="O1965"/>
      <c r="P1965" s="36"/>
      <c r="Q1965" s="37"/>
      <c r="R1965"/>
      <c r="S1965"/>
      <c r="T1965"/>
      <c r="U1965"/>
      <c r="V1965" s="39"/>
      <c r="W1965"/>
      <c r="X1965"/>
      <c r="Y1965"/>
      <c r="Z1965"/>
      <c r="AA1965"/>
    </row>
    <row r="1966" spans="1:27" x14ac:dyDescent="0.25">
      <c r="A1966"/>
      <c r="B1966" s="36"/>
      <c r="C1966" s="36"/>
      <c r="D1966"/>
      <c r="E1966"/>
      <c r="F1966"/>
      <c r="G1966"/>
      <c r="H1966"/>
      <c r="I1966"/>
      <c r="J1966"/>
      <c r="K1966"/>
      <c r="L1966"/>
      <c r="M1966"/>
      <c r="N1966"/>
      <c r="O1966"/>
      <c r="P1966" s="36"/>
      <c r="Q1966" s="37"/>
      <c r="R1966"/>
      <c r="S1966"/>
      <c r="T1966"/>
      <c r="U1966"/>
      <c r="V1966" s="39"/>
      <c r="W1966"/>
      <c r="X1966"/>
      <c r="Y1966"/>
      <c r="Z1966"/>
      <c r="AA1966"/>
    </row>
    <row r="1967" spans="1:27" x14ac:dyDescent="0.25">
      <c r="A1967"/>
      <c r="B1967" s="36"/>
      <c r="C1967" s="36"/>
      <c r="D1967"/>
      <c r="E1967"/>
      <c r="F1967"/>
      <c r="G1967"/>
      <c r="H1967"/>
      <c r="I1967"/>
      <c r="J1967"/>
      <c r="K1967"/>
      <c r="L1967"/>
      <c r="M1967"/>
      <c r="N1967"/>
      <c r="O1967"/>
      <c r="P1967" s="36"/>
      <c r="Q1967" s="37"/>
      <c r="R1967"/>
      <c r="S1967"/>
      <c r="T1967"/>
      <c r="U1967"/>
      <c r="V1967" s="39"/>
      <c r="W1967"/>
      <c r="X1967"/>
      <c r="Y1967"/>
      <c r="Z1967"/>
      <c r="AA1967"/>
    </row>
    <row r="1968" spans="1:27" x14ac:dyDescent="0.25">
      <c r="A1968"/>
      <c r="B1968" s="36"/>
      <c r="C1968" s="36"/>
      <c r="D1968"/>
      <c r="E1968"/>
      <c r="F1968"/>
      <c r="G1968"/>
      <c r="H1968"/>
      <c r="I1968"/>
      <c r="J1968"/>
      <c r="K1968"/>
      <c r="L1968"/>
      <c r="M1968"/>
      <c r="N1968"/>
      <c r="O1968"/>
      <c r="P1968" s="36"/>
      <c r="Q1968" s="37"/>
      <c r="R1968"/>
      <c r="S1968"/>
      <c r="T1968"/>
      <c r="U1968"/>
      <c r="V1968" s="39"/>
      <c r="W1968"/>
      <c r="X1968"/>
      <c r="Y1968"/>
      <c r="Z1968"/>
      <c r="AA1968"/>
    </row>
    <row r="1969" spans="1:27" x14ac:dyDescent="0.25">
      <c r="A1969"/>
      <c r="B1969" s="36"/>
      <c r="C1969" s="36"/>
      <c r="D1969"/>
      <c r="E1969"/>
      <c r="F1969"/>
      <c r="G1969"/>
      <c r="H1969"/>
      <c r="I1969"/>
      <c r="J1969"/>
      <c r="K1969"/>
      <c r="L1969"/>
      <c r="M1969"/>
      <c r="N1969"/>
      <c r="O1969"/>
      <c r="P1969" s="36"/>
      <c r="Q1969" s="37"/>
      <c r="R1969"/>
      <c r="S1969"/>
      <c r="T1969"/>
      <c r="U1969"/>
      <c r="V1969" s="39"/>
      <c r="W1969"/>
      <c r="X1969"/>
      <c r="Y1969"/>
      <c r="Z1969"/>
      <c r="AA1969"/>
    </row>
    <row r="1970" spans="1:27" x14ac:dyDescent="0.25">
      <c r="A1970"/>
      <c r="B1970" s="36"/>
      <c r="C1970" s="36"/>
      <c r="D1970"/>
      <c r="E1970"/>
      <c r="F1970"/>
      <c r="G1970"/>
      <c r="H1970"/>
      <c r="I1970"/>
      <c r="J1970"/>
      <c r="K1970"/>
      <c r="L1970"/>
      <c r="M1970"/>
      <c r="N1970"/>
      <c r="O1970"/>
      <c r="P1970" s="36"/>
      <c r="Q1970" s="37"/>
      <c r="R1970"/>
      <c r="S1970"/>
      <c r="T1970"/>
      <c r="U1970"/>
      <c r="V1970" s="39"/>
      <c r="W1970"/>
      <c r="X1970"/>
      <c r="Y1970"/>
      <c r="Z1970"/>
      <c r="AA1970"/>
    </row>
    <row r="1971" spans="1:27" x14ac:dyDescent="0.25">
      <c r="A1971"/>
      <c r="B1971" s="36"/>
      <c r="C1971" s="36"/>
      <c r="D1971"/>
      <c r="E1971"/>
      <c r="F1971"/>
      <c r="G1971"/>
      <c r="H1971"/>
      <c r="I1971"/>
      <c r="J1971"/>
      <c r="K1971"/>
      <c r="L1971"/>
      <c r="M1971"/>
      <c r="N1971"/>
      <c r="O1971"/>
      <c r="P1971" s="36"/>
      <c r="Q1971" s="37"/>
      <c r="R1971"/>
      <c r="S1971"/>
      <c r="T1971"/>
      <c r="U1971"/>
      <c r="V1971" s="39"/>
      <c r="W1971"/>
      <c r="X1971"/>
      <c r="Y1971"/>
      <c r="Z1971"/>
      <c r="AA1971"/>
    </row>
    <row r="1972" spans="1:27" x14ac:dyDescent="0.25">
      <c r="A1972"/>
      <c r="B1972" s="36"/>
      <c r="C1972" s="36"/>
      <c r="D1972"/>
      <c r="E1972"/>
      <c r="F1972"/>
      <c r="G1972"/>
      <c r="H1972"/>
      <c r="I1972"/>
      <c r="J1972"/>
      <c r="K1972"/>
      <c r="L1972"/>
      <c r="M1972"/>
      <c r="N1972"/>
      <c r="O1972"/>
      <c r="P1972" s="36"/>
      <c r="Q1972" s="37"/>
      <c r="R1972"/>
      <c r="S1972"/>
      <c r="T1972"/>
      <c r="U1972"/>
      <c r="V1972" s="39"/>
      <c r="W1972"/>
      <c r="X1972"/>
      <c r="Y1972"/>
      <c r="Z1972"/>
      <c r="AA1972"/>
    </row>
    <row r="1973" spans="1:27" x14ac:dyDescent="0.25">
      <c r="A1973"/>
      <c r="B1973" s="36"/>
      <c r="C1973" s="36"/>
      <c r="D1973"/>
      <c r="E1973"/>
      <c r="F1973"/>
      <c r="G1973"/>
      <c r="H1973"/>
      <c r="I1973"/>
      <c r="J1973"/>
      <c r="K1973"/>
      <c r="L1973"/>
      <c r="M1973"/>
      <c r="N1973"/>
      <c r="O1973"/>
      <c r="P1973" s="36"/>
      <c r="Q1973" s="37"/>
      <c r="R1973"/>
      <c r="S1973"/>
      <c r="T1973"/>
      <c r="U1973"/>
      <c r="V1973" s="39"/>
      <c r="W1973"/>
      <c r="X1973"/>
      <c r="Y1973"/>
      <c r="Z1973"/>
      <c r="AA1973"/>
    </row>
    <row r="1974" spans="1:27" x14ac:dyDescent="0.25">
      <c r="A1974"/>
      <c r="B1974" s="36"/>
      <c r="C1974" s="36"/>
      <c r="D1974"/>
      <c r="E1974"/>
      <c r="F1974"/>
      <c r="G1974"/>
      <c r="H1974"/>
      <c r="I1974"/>
      <c r="J1974"/>
      <c r="K1974"/>
      <c r="L1974"/>
      <c r="M1974"/>
      <c r="N1974"/>
      <c r="O1974"/>
      <c r="P1974" s="36"/>
      <c r="Q1974" s="37"/>
      <c r="R1974"/>
      <c r="S1974"/>
      <c r="T1974"/>
      <c r="U1974"/>
      <c r="V1974" s="39"/>
      <c r="W1974"/>
      <c r="X1974"/>
      <c r="Y1974"/>
      <c r="Z1974"/>
      <c r="AA1974"/>
    </row>
    <row r="1975" spans="1:27" x14ac:dyDescent="0.25">
      <c r="A1975"/>
      <c r="B1975" s="36"/>
      <c r="C1975" s="36"/>
      <c r="D1975"/>
      <c r="E1975"/>
      <c r="F1975"/>
      <c r="G1975"/>
      <c r="H1975"/>
      <c r="I1975"/>
      <c r="J1975"/>
      <c r="K1975"/>
      <c r="L1975"/>
      <c r="M1975"/>
      <c r="N1975"/>
      <c r="O1975"/>
      <c r="P1975" s="36"/>
      <c r="Q1975" s="37"/>
      <c r="R1975"/>
      <c r="S1975"/>
      <c r="T1975"/>
      <c r="U1975"/>
      <c r="V1975" s="39"/>
      <c r="W1975"/>
      <c r="X1975"/>
      <c r="Y1975"/>
      <c r="Z1975"/>
      <c r="AA1975"/>
    </row>
    <row r="1976" spans="1:27" x14ac:dyDescent="0.25">
      <c r="A1976"/>
      <c r="B1976" s="36"/>
      <c r="C1976" s="36"/>
      <c r="D1976"/>
      <c r="E1976"/>
      <c r="F1976"/>
      <c r="G1976"/>
      <c r="H1976"/>
      <c r="I1976"/>
      <c r="J1976"/>
      <c r="K1976"/>
      <c r="L1976"/>
      <c r="M1976"/>
      <c r="N1976"/>
      <c r="O1976"/>
      <c r="P1976" s="36"/>
      <c r="Q1976" s="37"/>
      <c r="R1976"/>
      <c r="S1976"/>
      <c r="T1976"/>
      <c r="U1976"/>
      <c r="V1976" s="39"/>
      <c r="W1976"/>
      <c r="X1976"/>
      <c r="Y1976"/>
      <c r="Z1976"/>
      <c r="AA1976"/>
    </row>
    <row r="1977" spans="1:27" x14ac:dyDescent="0.25">
      <c r="A1977"/>
      <c r="B1977" s="36"/>
      <c r="C1977" s="36"/>
      <c r="D1977"/>
      <c r="E1977"/>
      <c r="F1977"/>
      <c r="G1977"/>
      <c r="H1977"/>
      <c r="I1977"/>
      <c r="J1977"/>
      <c r="K1977"/>
      <c r="L1977"/>
      <c r="M1977"/>
      <c r="N1977"/>
      <c r="O1977"/>
      <c r="P1977" s="36"/>
      <c r="Q1977" s="37"/>
      <c r="R1977"/>
      <c r="S1977"/>
      <c r="T1977"/>
      <c r="U1977"/>
      <c r="V1977" s="39"/>
      <c r="W1977"/>
      <c r="X1977"/>
      <c r="Y1977"/>
      <c r="Z1977"/>
      <c r="AA1977"/>
    </row>
    <row r="1978" spans="1:27" x14ac:dyDescent="0.25">
      <c r="A1978"/>
      <c r="B1978" s="36"/>
      <c r="C1978" s="36"/>
      <c r="D1978"/>
      <c r="E1978"/>
      <c r="F1978"/>
      <c r="G1978"/>
      <c r="H1978"/>
      <c r="I1978"/>
      <c r="J1978"/>
      <c r="K1978"/>
      <c r="L1978"/>
      <c r="M1978"/>
      <c r="N1978"/>
      <c r="O1978"/>
      <c r="P1978" s="36"/>
      <c r="Q1978" s="37"/>
      <c r="R1978"/>
      <c r="S1978"/>
      <c r="T1978"/>
      <c r="U1978"/>
      <c r="V1978" s="39"/>
      <c r="W1978"/>
      <c r="X1978"/>
      <c r="Y1978"/>
      <c r="Z1978"/>
      <c r="AA1978"/>
    </row>
    <row r="1979" spans="1:27" x14ac:dyDescent="0.25">
      <c r="A1979"/>
      <c r="B1979" s="36"/>
      <c r="C1979" s="36"/>
      <c r="D1979"/>
      <c r="E1979"/>
      <c r="F1979"/>
      <c r="G1979"/>
      <c r="H1979"/>
      <c r="I1979"/>
      <c r="J1979"/>
      <c r="K1979"/>
      <c r="L1979"/>
      <c r="M1979"/>
      <c r="N1979"/>
      <c r="O1979"/>
      <c r="P1979" s="36"/>
      <c r="Q1979" s="37"/>
      <c r="R1979"/>
      <c r="S1979"/>
      <c r="T1979"/>
      <c r="U1979"/>
      <c r="V1979" s="39"/>
      <c r="W1979"/>
      <c r="X1979"/>
      <c r="Y1979"/>
      <c r="Z1979"/>
      <c r="AA1979"/>
    </row>
    <row r="1980" spans="1:27" x14ac:dyDescent="0.25">
      <c r="A1980"/>
      <c r="B1980" s="36"/>
      <c r="C1980" s="36"/>
      <c r="D1980"/>
      <c r="E1980"/>
      <c r="F1980"/>
      <c r="G1980"/>
      <c r="H1980"/>
      <c r="I1980"/>
      <c r="J1980"/>
      <c r="K1980"/>
      <c r="L1980"/>
      <c r="M1980"/>
      <c r="N1980"/>
      <c r="O1980"/>
      <c r="P1980" s="36"/>
      <c r="Q1980" s="37"/>
      <c r="R1980"/>
      <c r="S1980"/>
      <c r="T1980"/>
      <c r="U1980"/>
      <c r="V1980" s="39"/>
      <c r="W1980"/>
      <c r="X1980"/>
      <c r="Y1980"/>
      <c r="Z1980"/>
      <c r="AA1980"/>
    </row>
    <row r="1981" spans="1:27" x14ac:dyDescent="0.25">
      <c r="A1981"/>
      <c r="B1981" s="36"/>
      <c r="C1981" s="36"/>
      <c r="D1981"/>
      <c r="E1981"/>
      <c r="F1981"/>
      <c r="G1981"/>
      <c r="H1981"/>
      <c r="I1981"/>
      <c r="J1981"/>
      <c r="K1981"/>
      <c r="L1981"/>
      <c r="M1981"/>
      <c r="N1981"/>
      <c r="O1981"/>
      <c r="P1981" s="36"/>
      <c r="Q1981" s="37"/>
      <c r="R1981"/>
      <c r="S1981"/>
      <c r="T1981"/>
      <c r="U1981"/>
      <c r="V1981" s="39"/>
      <c r="W1981"/>
      <c r="X1981"/>
      <c r="Y1981"/>
      <c r="Z1981"/>
      <c r="AA1981"/>
    </row>
    <row r="1982" spans="1:27" x14ac:dyDescent="0.25">
      <c r="A1982"/>
      <c r="B1982" s="36"/>
      <c r="C1982" s="36"/>
      <c r="D1982"/>
      <c r="E1982"/>
      <c r="F1982"/>
      <c r="G1982"/>
      <c r="H1982"/>
      <c r="I1982"/>
      <c r="J1982"/>
      <c r="K1982"/>
      <c r="L1982"/>
      <c r="M1982"/>
      <c r="N1982"/>
      <c r="O1982"/>
      <c r="P1982" s="36"/>
      <c r="Q1982" s="37"/>
      <c r="R1982"/>
      <c r="S1982"/>
      <c r="T1982"/>
      <c r="U1982"/>
      <c r="V1982" s="39"/>
      <c r="W1982"/>
      <c r="X1982"/>
      <c r="Y1982"/>
      <c r="Z1982"/>
      <c r="AA1982"/>
    </row>
    <row r="1983" spans="1:27" x14ac:dyDescent="0.25">
      <c r="A1983"/>
      <c r="B1983" s="36"/>
      <c r="C1983" s="36"/>
      <c r="D1983"/>
      <c r="E1983"/>
      <c r="F1983"/>
      <c r="G1983"/>
      <c r="H1983"/>
      <c r="I1983"/>
      <c r="J1983"/>
      <c r="K1983"/>
      <c r="L1983"/>
      <c r="M1983"/>
      <c r="N1983"/>
      <c r="O1983"/>
      <c r="P1983" s="36"/>
      <c r="Q1983" s="37"/>
      <c r="R1983"/>
      <c r="S1983"/>
      <c r="T1983"/>
      <c r="U1983"/>
      <c r="V1983" s="39"/>
      <c r="W1983"/>
      <c r="X1983"/>
      <c r="Y1983"/>
      <c r="Z1983"/>
      <c r="AA1983"/>
    </row>
    <row r="1984" spans="1:27" x14ac:dyDescent="0.25">
      <c r="A1984"/>
      <c r="B1984" s="36"/>
      <c r="C1984" s="36"/>
      <c r="D1984"/>
      <c r="E1984"/>
      <c r="F1984"/>
      <c r="G1984"/>
      <c r="H1984"/>
      <c r="I1984"/>
      <c r="J1984"/>
      <c r="K1984"/>
      <c r="L1984"/>
      <c r="M1984"/>
      <c r="N1984"/>
      <c r="O1984"/>
      <c r="P1984" s="36"/>
      <c r="Q1984" s="37"/>
      <c r="R1984"/>
      <c r="S1984"/>
      <c r="T1984"/>
      <c r="U1984"/>
      <c r="V1984" s="39"/>
      <c r="W1984"/>
      <c r="X1984"/>
      <c r="Y1984"/>
      <c r="Z1984"/>
      <c r="AA1984"/>
    </row>
    <row r="1985" spans="1:27" x14ac:dyDescent="0.25">
      <c r="A1985"/>
      <c r="B1985" s="36"/>
      <c r="C1985" s="36"/>
      <c r="D1985"/>
      <c r="E1985"/>
      <c r="F1985"/>
      <c r="G1985"/>
      <c r="H1985"/>
      <c r="I1985"/>
      <c r="J1985"/>
      <c r="K1985"/>
      <c r="L1985"/>
      <c r="M1985"/>
      <c r="N1985"/>
      <c r="O1985"/>
      <c r="P1985" s="36"/>
      <c r="Q1985" s="37"/>
      <c r="R1985"/>
      <c r="S1985"/>
      <c r="T1985"/>
      <c r="U1985"/>
      <c r="V1985" s="39"/>
      <c r="W1985"/>
      <c r="X1985"/>
      <c r="Y1985"/>
      <c r="Z1985"/>
      <c r="AA1985"/>
    </row>
    <row r="1986" spans="1:27" x14ac:dyDescent="0.25">
      <c r="A1986"/>
      <c r="B1986" s="36"/>
      <c r="C1986" s="36"/>
      <c r="D1986"/>
      <c r="E1986"/>
      <c r="F1986"/>
      <c r="G1986"/>
      <c r="H1986"/>
      <c r="I1986"/>
      <c r="J1986"/>
      <c r="K1986"/>
      <c r="L1986"/>
      <c r="M1986"/>
      <c r="N1986"/>
      <c r="O1986"/>
      <c r="P1986" s="36"/>
      <c r="Q1986" s="37"/>
      <c r="R1986"/>
      <c r="S1986"/>
      <c r="T1986"/>
      <c r="U1986"/>
      <c r="V1986" s="39"/>
      <c r="W1986"/>
      <c r="X1986"/>
      <c r="Y1986"/>
      <c r="Z1986"/>
      <c r="AA1986"/>
    </row>
    <row r="1987" spans="1:27" x14ac:dyDescent="0.25">
      <c r="A1987"/>
      <c r="B1987" s="36"/>
      <c r="C1987" s="36"/>
      <c r="D1987"/>
      <c r="E1987"/>
      <c r="F1987"/>
      <c r="G1987"/>
      <c r="H1987"/>
      <c r="I1987"/>
      <c r="J1987"/>
      <c r="K1987"/>
      <c r="L1987"/>
      <c r="M1987"/>
      <c r="N1987"/>
      <c r="O1987"/>
      <c r="P1987" s="36"/>
      <c r="Q1987" s="37"/>
      <c r="R1987"/>
      <c r="S1987"/>
      <c r="T1987"/>
      <c r="U1987"/>
      <c r="V1987" s="39"/>
      <c r="W1987"/>
      <c r="X1987"/>
      <c r="Y1987"/>
      <c r="Z1987"/>
      <c r="AA1987"/>
    </row>
    <row r="1988" spans="1:27" x14ac:dyDescent="0.25">
      <c r="A1988"/>
      <c r="B1988" s="36"/>
      <c r="C1988" s="36"/>
      <c r="D1988"/>
      <c r="E1988"/>
      <c r="F1988"/>
      <c r="G1988"/>
      <c r="H1988"/>
      <c r="I1988"/>
      <c r="J1988"/>
      <c r="K1988"/>
      <c r="L1988"/>
      <c r="M1988"/>
      <c r="N1988"/>
      <c r="O1988"/>
      <c r="P1988" s="36"/>
      <c r="Q1988" s="37"/>
      <c r="R1988"/>
      <c r="S1988"/>
      <c r="T1988"/>
      <c r="U1988"/>
      <c r="V1988" s="39"/>
      <c r="W1988"/>
      <c r="X1988"/>
      <c r="Y1988"/>
      <c r="Z1988"/>
      <c r="AA1988"/>
    </row>
    <row r="1989" spans="1:27" x14ac:dyDescent="0.25">
      <c r="A1989"/>
      <c r="B1989" s="36"/>
      <c r="C1989" s="36"/>
      <c r="D1989"/>
      <c r="E1989"/>
      <c r="F1989"/>
      <c r="G1989"/>
      <c r="H1989"/>
      <c r="I1989"/>
      <c r="J1989"/>
      <c r="K1989"/>
      <c r="L1989"/>
      <c r="M1989"/>
      <c r="N1989"/>
      <c r="O1989"/>
      <c r="P1989" s="36"/>
      <c r="Q1989" s="37"/>
      <c r="R1989"/>
      <c r="S1989"/>
      <c r="T1989"/>
      <c r="U1989"/>
      <c r="V1989" s="39"/>
      <c r="W1989"/>
      <c r="X1989"/>
      <c r="Y1989"/>
      <c r="Z1989"/>
      <c r="AA1989"/>
    </row>
    <row r="1990" spans="1:27" x14ac:dyDescent="0.25">
      <c r="A1990"/>
      <c r="B1990" s="36"/>
      <c r="C1990" s="36"/>
      <c r="D1990"/>
      <c r="E1990"/>
      <c r="F1990"/>
      <c r="G1990"/>
      <c r="H1990"/>
      <c r="I1990"/>
      <c r="J1990"/>
      <c r="K1990"/>
      <c r="L1990"/>
      <c r="M1990"/>
      <c r="N1990"/>
      <c r="O1990"/>
      <c r="P1990" s="36"/>
      <c r="Q1990" s="37"/>
      <c r="R1990"/>
      <c r="S1990"/>
      <c r="T1990"/>
      <c r="U1990"/>
      <c r="V1990" s="39"/>
      <c r="W1990"/>
      <c r="X1990"/>
      <c r="Y1990"/>
      <c r="Z1990"/>
      <c r="AA1990"/>
    </row>
    <row r="1991" spans="1:27" x14ac:dyDescent="0.25">
      <c r="A1991"/>
      <c r="B1991" s="36"/>
      <c r="C1991" s="36"/>
      <c r="D1991"/>
      <c r="E1991"/>
      <c r="F1991"/>
      <c r="G1991"/>
      <c r="H1991"/>
      <c r="I1991"/>
      <c r="J1991"/>
      <c r="K1991"/>
      <c r="L1991"/>
      <c r="M1991"/>
      <c r="N1991"/>
      <c r="O1991"/>
      <c r="P1991" s="36"/>
      <c r="Q1991" s="37"/>
      <c r="R1991"/>
      <c r="S1991"/>
      <c r="T1991"/>
      <c r="U1991"/>
      <c r="V1991" s="39"/>
      <c r="W1991"/>
      <c r="X1991"/>
      <c r="Y1991"/>
      <c r="Z1991"/>
      <c r="AA1991"/>
    </row>
    <row r="1992" spans="1:27" x14ac:dyDescent="0.25">
      <c r="A1992"/>
      <c r="B1992" s="36"/>
      <c r="C1992" s="36"/>
      <c r="D1992"/>
      <c r="E1992"/>
      <c r="F1992"/>
      <c r="G1992"/>
      <c r="H1992"/>
      <c r="I1992"/>
      <c r="J1992"/>
      <c r="K1992"/>
      <c r="L1992"/>
      <c r="M1992"/>
      <c r="N1992"/>
      <c r="O1992"/>
      <c r="P1992" s="36"/>
      <c r="Q1992" s="37"/>
      <c r="R1992"/>
      <c r="S1992"/>
      <c r="T1992"/>
      <c r="U1992"/>
      <c r="V1992" s="39"/>
      <c r="W1992"/>
      <c r="X1992"/>
      <c r="Y1992"/>
      <c r="Z1992"/>
      <c r="AA1992"/>
    </row>
    <row r="1993" spans="1:27" x14ac:dyDescent="0.25">
      <c r="A1993"/>
      <c r="B1993" s="36"/>
      <c r="C1993" s="36"/>
      <c r="D1993"/>
      <c r="E1993"/>
      <c r="F1993"/>
      <c r="G1993"/>
      <c r="H1993"/>
      <c r="I1993"/>
      <c r="J1993"/>
      <c r="K1993"/>
      <c r="L1993"/>
      <c r="M1993"/>
      <c r="N1993"/>
      <c r="O1993"/>
      <c r="P1993" s="36"/>
      <c r="Q1993" s="37"/>
      <c r="R1993"/>
      <c r="S1993"/>
      <c r="T1993"/>
      <c r="U1993"/>
      <c r="V1993" s="39"/>
      <c r="W1993"/>
      <c r="X1993"/>
      <c r="Y1993"/>
      <c r="Z1993"/>
      <c r="AA1993"/>
    </row>
    <row r="1994" spans="1:27" x14ac:dyDescent="0.25">
      <c r="A1994"/>
      <c r="B1994" s="36"/>
      <c r="C1994" s="36"/>
      <c r="D1994"/>
      <c r="E1994"/>
      <c r="F1994"/>
      <c r="G1994"/>
      <c r="H1994"/>
      <c r="I1994"/>
      <c r="J1994"/>
      <c r="K1994"/>
      <c r="L1994"/>
      <c r="M1994"/>
      <c r="N1994"/>
      <c r="O1994"/>
      <c r="P1994" s="36"/>
      <c r="Q1994" s="37"/>
      <c r="R1994"/>
      <c r="S1994"/>
      <c r="T1994"/>
      <c r="U1994"/>
      <c r="V1994" s="39"/>
      <c r="W1994"/>
      <c r="X1994"/>
      <c r="Y1994"/>
      <c r="Z1994"/>
      <c r="AA1994"/>
    </row>
    <row r="1995" spans="1:27" x14ac:dyDescent="0.25">
      <c r="A1995"/>
      <c r="B1995" s="36"/>
      <c r="C1995" s="36"/>
      <c r="D1995"/>
      <c r="E1995"/>
      <c r="F1995"/>
      <c r="G1995"/>
      <c r="H1995"/>
      <c r="I1995"/>
      <c r="J1995"/>
      <c r="K1995"/>
      <c r="L1995"/>
      <c r="M1995"/>
      <c r="N1995"/>
      <c r="O1995"/>
      <c r="P1995" s="36"/>
      <c r="Q1995" s="37"/>
      <c r="R1995"/>
      <c r="S1995"/>
      <c r="T1995"/>
      <c r="U1995"/>
      <c r="V1995" s="39"/>
      <c r="W1995"/>
      <c r="X1995"/>
      <c r="Y1995"/>
      <c r="Z1995"/>
      <c r="AA1995"/>
    </row>
    <row r="1996" spans="1:27" x14ac:dyDescent="0.25">
      <c r="A1996"/>
      <c r="B1996" s="36"/>
      <c r="C1996" s="36"/>
      <c r="D1996"/>
      <c r="E1996"/>
      <c r="F1996"/>
      <c r="G1996"/>
      <c r="H1996"/>
      <c r="I1996"/>
      <c r="J1996"/>
      <c r="K1996"/>
      <c r="L1996"/>
      <c r="M1996"/>
      <c r="N1996"/>
      <c r="O1996"/>
      <c r="P1996" s="36"/>
      <c r="Q1996" s="37"/>
      <c r="R1996"/>
      <c r="S1996"/>
      <c r="T1996"/>
      <c r="U1996"/>
      <c r="V1996" s="39"/>
      <c r="W1996"/>
      <c r="X1996"/>
      <c r="Y1996"/>
      <c r="Z1996"/>
      <c r="AA1996"/>
    </row>
    <row r="1997" spans="1:27" x14ac:dyDescent="0.25">
      <c r="A1997"/>
      <c r="B1997" s="36"/>
      <c r="C1997" s="36"/>
      <c r="D1997"/>
      <c r="E1997"/>
      <c r="F1997"/>
      <c r="G1997"/>
      <c r="H1997"/>
      <c r="I1997"/>
      <c r="J1997"/>
      <c r="K1997"/>
      <c r="L1997"/>
      <c r="M1997"/>
      <c r="N1997"/>
      <c r="O1997"/>
      <c r="P1997" s="36"/>
      <c r="Q1997" s="37"/>
      <c r="R1997"/>
      <c r="S1997"/>
      <c r="T1997"/>
      <c r="U1997"/>
      <c r="V1997" s="39"/>
      <c r="W1997"/>
      <c r="X1997"/>
      <c r="Y1997"/>
      <c r="Z1997"/>
      <c r="AA1997"/>
    </row>
    <row r="1998" spans="1:27" x14ac:dyDescent="0.25">
      <c r="A1998"/>
      <c r="B1998" s="36"/>
      <c r="C1998" s="36"/>
      <c r="D1998"/>
      <c r="E1998"/>
      <c r="F1998"/>
      <c r="G1998"/>
      <c r="H1998"/>
      <c r="I1998"/>
      <c r="J1998"/>
      <c r="K1998"/>
      <c r="L1998"/>
      <c r="M1998"/>
      <c r="N1998"/>
      <c r="O1998"/>
      <c r="P1998" s="36"/>
      <c r="Q1998" s="37"/>
      <c r="R1998"/>
      <c r="S1998"/>
      <c r="T1998"/>
      <c r="U1998"/>
      <c r="V1998" s="39"/>
      <c r="W1998"/>
      <c r="X1998"/>
      <c r="Y1998"/>
      <c r="Z1998"/>
      <c r="AA1998"/>
    </row>
    <row r="1999" spans="1:27" x14ac:dyDescent="0.25">
      <c r="A1999"/>
      <c r="B1999" s="36"/>
      <c r="C1999" s="36"/>
      <c r="D1999"/>
      <c r="E1999"/>
      <c r="F1999"/>
      <c r="G1999"/>
      <c r="H1999"/>
      <c r="I1999"/>
      <c r="J1999"/>
      <c r="K1999"/>
      <c r="L1999"/>
      <c r="M1999"/>
      <c r="N1999"/>
      <c r="O1999"/>
      <c r="P1999" s="36"/>
      <c r="Q1999" s="37"/>
      <c r="R1999" s="44"/>
      <c r="S1999"/>
      <c r="T1999"/>
      <c r="U1999"/>
      <c r="V1999" s="39"/>
      <c r="W1999"/>
      <c r="X1999"/>
      <c r="Y1999"/>
      <c r="Z1999"/>
      <c r="AA1999"/>
    </row>
    <row r="2000" spans="1:27" x14ac:dyDescent="0.25">
      <c r="A2000"/>
      <c r="B2000" s="36"/>
      <c r="C2000" s="36"/>
      <c r="D2000"/>
      <c r="E2000"/>
      <c r="F2000"/>
      <c r="G2000"/>
      <c r="H2000"/>
      <c r="I2000"/>
      <c r="J2000"/>
      <c r="K2000"/>
      <c r="L2000"/>
      <c r="M2000"/>
      <c r="N2000"/>
      <c r="O2000"/>
      <c r="P2000" s="36"/>
      <c r="Q2000" s="37"/>
      <c r="R2000"/>
      <c r="S2000"/>
      <c r="T2000"/>
      <c r="U2000"/>
      <c r="V2000" s="39"/>
      <c r="W2000"/>
      <c r="X2000"/>
      <c r="Y2000"/>
      <c r="Z2000"/>
      <c r="AA2000"/>
    </row>
    <row r="2001" spans="1:27" x14ac:dyDescent="0.25">
      <c r="A2001"/>
      <c r="B2001" s="36"/>
      <c r="C2001" s="36"/>
      <c r="D2001"/>
      <c r="E2001"/>
      <c r="F2001"/>
      <c r="G2001"/>
      <c r="H2001"/>
      <c r="I2001"/>
      <c r="J2001"/>
      <c r="K2001"/>
      <c r="L2001"/>
      <c r="M2001"/>
      <c r="N2001"/>
      <c r="O2001"/>
      <c r="P2001" s="36"/>
      <c r="Q2001" s="37"/>
      <c r="R2001" s="44"/>
      <c r="S2001"/>
      <c r="T2001"/>
      <c r="U2001"/>
      <c r="V2001" s="39"/>
      <c r="W2001"/>
      <c r="X2001"/>
      <c r="Y2001"/>
      <c r="Z2001"/>
      <c r="AA2001"/>
    </row>
    <row r="2002" spans="1:27" x14ac:dyDescent="0.25">
      <c r="A2002"/>
      <c r="B2002" s="36"/>
      <c r="C2002" s="36"/>
      <c r="D2002"/>
      <c r="E2002"/>
      <c r="F2002"/>
      <c r="G2002"/>
      <c r="H2002"/>
      <c r="I2002"/>
      <c r="J2002"/>
      <c r="K2002"/>
      <c r="L2002"/>
      <c r="M2002"/>
      <c r="N2002"/>
      <c r="O2002"/>
      <c r="P2002" s="36"/>
      <c r="Q2002" s="37"/>
      <c r="R2002"/>
      <c r="S2002"/>
      <c r="T2002"/>
      <c r="U2002"/>
      <c r="V2002" s="39"/>
      <c r="W2002"/>
      <c r="X2002"/>
      <c r="Y2002"/>
      <c r="Z2002"/>
      <c r="AA2002"/>
    </row>
    <row r="2003" spans="1:27" x14ac:dyDescent="0.25">
      <c r="A2003"/>
      <c r="B2003" s="36"/>
      <c r="C2003" s="36"/>
      <c r="D2003"/>
      <c r="E2003"/>
      <c r="F2003"/>
      <c r="G2003"/>
      <c r="H2003"/>
      <c r="I2003"/>
      <c r="J2003"/>
      <c r="K2003"/>
      <c r="L2003"/>
      <c r="M2003"/>
      <c r="N2003"/>
      <c r="O2003"/>
      <c r="P2003" s="36"/>
      <c r="Q2003" s="37"/>
      <c r="R2003"/>
      <c r="S2003"/>
      <c r="T2003"/>
      <c r="U2003"/>
      <c r="V2003" s="39"/>
      <c r="W2003"/>
      <c r="X2003"/>
      <c r="Y2003"/>
      <c r="Z2003"/>
      <c r="AA2003"/>
    </row>
    <row r="2004" spans="1:27" x14ac:dyDescent="0.25">
      <c r="A2004"/>
      <c r="B2004" s="36"/>
      <c r="C2004" s="36"/>
      <c r="D2004"/>
      <c r="E2004"/>
      <c r="F2004"/>
      <c r="G2004"/>
      <c r="H2004"/>
      <c r="I2004"/>
      <c r="J2004"/>
      <c r="K2004"/>
      <c r="L2004"/>
      <c r="M2004"/>
      <c r="N2004"/>
      <c r="O2004"/>
      <c r="P2004" s="36"/>
      <c r="Q2004" s="37"/>
      <c r="R2004"/>
      <c r="S2004"/>
      <c r="T2004"/>
      <c r="U2004"/>
      <c r="V2004" s="39"/>
      <c r="W2004"/>
      <c r="X2004"/>
      <c r="Y2004"/>
      <c r="Z2004"/>
      <c r="AA2004"/>
    </row>
    <row r="2005" spans="1:27" x14ac:dyDescent="0.25">
      <c r="A2005"/>
      <c r="B2005" s="36"/>
      <c r="C2005" s="36"/>
      <c r="D2005"/>
      <c r="E2005"/>
      <c r="F2005"/>
      <c r="G2005"/>
      <c r="H2005"/>
      <c r="I2005"/>
      <c r="J2005"/>
      <c r="K2005"/>
      <c r="L2005"/>
      <c r="M2005"/>
      <c r="N2005"/>
      <c r="O2005"/>
      <c r="P2005" s="36"/>
      <c r="Q2005" s="37"/>
      <c r="R2005"/>
      <c r="S2005"/>
      <c r="T2005"/>
      <c r="U2005"/>
      <c r="V2005" s="39"/>
      <c r="W2005"/>
      <c r="X2005"/>
      <c r="Y2005"/>
      <c r="Z2005"/>
      <c r="AA2005"/>
    </row>
    <row r="2006" spans="1:27" x14ac:dyDescent="0.25">
      <c r="A2006"/>
      <c r="B2006" s="36"/>
      <c r="C2006" s="36"/>
      <c r="D2006"/>
      <c r="E2006"/>
      <c r="F2006"/>
      <c r="G2006"/>
      <c r="H2006"/>
      <c r="I2006"/>
      <c r="J2006"/>
      <c r="K2006"/>
      <c r="L2006"/>
      <c r="M2006"/>
      <c r="N2006"/>
      <c r="O2006"/>
      <c r="P2006" s="36"/>
      <c r="Q2006" s="37"/>
      <c r="R2006"/>
      <c r="S2006"/>
      <c r="T2006"/>
      <c r="U2006"/>
      <c r="V2006" s="39"/>
      <c r="W2006"/>
      <c r="X2006"/>
      <c r="Y2006"/>
      <c r="Z2006"/>
      <c r="AA2006"/>
    </row>
    <row r="2007" spans="1:27" x14ac:dyDescent="0.25">
      <c r="A2007"/>
      <c r="B2007" s="36"/>
      <c r="C2007" s="36"/>
      <c r="D2007"/>
      <c r="E2007"/>
      <c r="F2007"/>
      <c r="G2007"/>
      <c r="H2007"/>
      <c r="I2007"/>
      <c r="J2007"/>
      <c r="K2007"/>
      <c r="L2007"/>
      <c r="M2007"/>
      <c r="N2007"/>
      <c r="O2007"/>
      <c r="P2007" s="36"/>
      <c r="Q2007" s="37"/>
      <c r="R2007"/>
      <c r="S2007"/>
      <c r="T2007"/>
      <c r="U2007"/>
      <c r="V2007" s="39"/>
      <c r="W2007"/>
      <c r="X2007"/>
      <c r="Y2007"/>
      <c r="Z2007"/>
      <c r="AA2007"/>
    </row>
    <row r="2008" spans="1:27" x14ac:dyDescent="0.25">
      <c r="A2008"/>
      <c r="B2008" s="36"/>
      <c r="C2008" s="36"/>
      <c r="D2008"/>
      <c r="E2008"/>
      <c r="F2008"/>
      <c r="G2008"/>
      <c r="H2008"/>
      <c r="I2008"/>
      <c r="J2008"/>
      <c r="K2008"/>
      <c r="L2008"/>
      <c r="M2008"/>
      <c r="N2008"/>
      <c r="O2008"/>
      <c r="P2008" s="36"/>
      <c r="Q2008" s="37"/>
      <c r="R2008"/>
      <c r="S2008"/>
      <c r="T2008"/>
      <c r="U2008"/>
      <c r="V2008" s="39"/>
      <c r="W2008"/>
      <c r="X2008"/>
      <c r="Y2008"/>
      <c r="Z2008"/>
      <c r="AA2008"/>
    </row>
    <row r="2009" spans="1:27" x14ac:dyDescent="0.25">
      <c r="A2009"/>
      <c r="B2009" s="36"/>
      <c r="C2009" s="36"/>
      <c r="D2009"/>
      <c r="E2009"/>
      <c r="F2009"/>
      <c r="G2009"/>
      <c r="H2009"/>
      <c r="I2009"/>
      <c r="J2009"/>
      <c r="K2009"/>
      <c r="L2009"/>
      <c r="M2009"/>
      <c r="N2009"/>
      <c r="O2009"/>
      <c r="P2009" s="36"/>
      <c r="Q2009" s="37"/>
      <c r="R2009"/>
      <c r="S2009"/>
      <c r="T2009"/>
      <c r="U2009"/>
      <c r="V2009" s="39"/>
      <c r="W2009"/>
      <c r="X2009"/>
      <c r="Y2009"/>
      <c r="Z2009"/>
      <c r="AA2009"/>
    </row>
    <row r="2010" spans="1:27" x14ac:dyDescent="0.25">
      <c r="A2010"/>
      <c r="B2010" s="36"/>
      <c r="C2010" s="36"/>
      <c r="D2010"/>
      <c r="E2010"/>
      <c r="F2010"/>
      <c r="G2010"/>
      <c r="H2010"/>
      <c r="I2010"/>
      <c r="J2010"/>
      <c r="K2010"/>
      <c r="L2010"/>
      <c r="M2010"/>
      <c r="N2010"/>
      <c r="O2010"/>
      <c r="P2010" s="36"/>
      <c r="Q2010" s="37"/>
      <c r="R2010"/>
      <c r="S2010"/>
      <c r="T2010"/>
      <c r="U2010"/>
      <c r="V2010" s="39"/>
      <c r="W2010"/>
      <c r="X2010"/>
      <c r="Y2010"/>
      <c r="Z2010"/>
      <c r="AA2010"/>
    </row>
    <row r="2011" spans="1:27" x14ac:dyDescent="0.25">
      <c r="A2011"/>
      <c r="B2011" s="36"/>
      <c r="C2011" s="36"/>
      <c r="D2011"/>
      <c r="E2011"/>
      <c r="F2011"/>
      <c r="G2011"/>
      <c r="H2011"/>
      <c r="I2011"/>
      <c r="J2011"/>
      <c r="K2011"/>
      <c r="L2011"/>
      <c r="M2011"/>
      <c r="N2011"/>
      <c r="O2011"/>
      <c r="P2011" s="36"/>
      <c r="Q2011" s="37"/>
      <c r="R2011"/>
      <c r="S2011"/>
      <c r="T2011"/>
      <c r="U2011"/>
      <c r="V2011" s="39"/>
      <c r="W2011"/>
      <c r="X2011"/>
      <c r="Y2011"/>
      <c r="Z2011"/>
      <c r="AA2011"/>
    </row>
    <row r="2012" spans="1:27" x14ac:dyDescent="0.25">
      <c r="A2012"/>
      <c r="B2012" s="36"/>
      <c r="C2012" s="36"/>
      <c r="D2012"/>
      <c r="E2012"/>
      <c r="F2012"/>
      <c r="G2012"/>
      <c r="H2012"/>
      <c r="I2012"/>
      <c r="J2012"/>
      <c r="K2012"/>
      <c r="L2012"/>
      <c r="M2012"/>
      <c r="N2012"/>
      <c r="O2012"/>
      <c r="P2012" s="36"/>
      <c r="Q2012" s="37"/>
      <c r="R2012"/>
      <c r="S2012"/>
      <c r="T2012"/>
      <c r="U2012"/>
      <c r="V2012" s="39"/>
      <c r="W2012"/>
      <c r="X2012"/>
      <c r="Y2012"/>
      <c r="Z2012"/>
      <c r="AA2012"/>
    </row>
    <row r="2013" spans="1:27" x14ac:dyDescent="0.25">
      <c r="A2013"/>
      <c r="B2013" s="36"/>
      <c r="C2013" s="36"/>
      <c r="D2013"/>
      <c r="E2013"/>
      <c r="F2013"/>
      <c r="G2013"/>
      <c r="H2013"/>
      <c r="I2013"/>
      <c r="J2013"/>
      <c r="K2013"/>
      <c r="L2013"/>
      <c r="M2013"/>
      <c r="N2013"/>
      <c r="O2013"/>
      <c r="P2013" s="36"/>
      <c r="Q2013" s="37"/>
      <c r="R2013"/>
      <c r="S2013"/>
      <c r="T2013"/>
      <c r="U2013"/>
      <c r="V2013" s="39"/>
      <c r="W2013"/>
      <c r="X2013"/>
      <c r="Y2013"/>
      <c r="Z2013"/>
      <c r="AA2013"/>
    </row>
    <row r="2014" spans="1:27" x14ac:dyDescent="0.25">
      <c r="A2014"/>
      <c r="B2014" s="36"/>
      <c r="C2014" s="36"/>
      <c r="D2014"/>
      <c r="E2014"/>
      <c r="F2014"/>
      <c r="G2014"/>
      <c r="H2014"/>
      <c r="I2014"/>
      <c r="J2014"/>
      <c r="K2014"/>
      <c r="L2014"/>
      <c r="M2014"/>
      <c r="N2014"/>
      <c r="O2014"/>
      <c r="P2014" s="36"/>
      <c r="Q2014" s="37"/>
      <c r="R2014"/>
      <c r="S2014"/>
      <c r="T2014"/>
      <c r="U2014"/>
      <c r="V2014" s="39"/>
      <c r="W2014"/>
      <c r="X2014"/>
      <c r="Y2014"/>
      <c r="Z2014"/>
      <c r="AA2014"/>
    </row>
    <row r="2015" spans="1:27" x14ac:dyDescent="0.25">
      <c r="A2015"/>
      <c r="B2015" s="36"/>
      <c r="C2015" s="36"/>
      <c r="D2015"/>
      <c r="E2015"/>
      <c r="F2015"/>
      <c r="G2015"/>
      <c r="H2015"/>
      <c r="I2015"/>
      <c r="J2015"/>
      <c r="K2015"/>
      <c r="L2015"/>
      <c r="M2015"/>
      <c r="N2015"/>
      <c r="O2015"/>
      <c r="P2015" s="36"/>
      <c r="Q2015" s="37"/>
      <c r="R2015"/>
      <c r="S2015"/>
      <c r="T2015"/>
      <c r="U2015"/>
      <c r="V2015" s="39"/>
      <c r="W2015"/>
      <c r="X2015"/>
      <c r="Y2015"/>
      <c r="Z2015"/>
      <c r="AA2015"/>
    </row>
    <row r="2016" spans="1:27" x14ac:dyDescent="0.25">
      <c r="A2016"/>
      <c r="B2016" s="36"/>
      <c r="C2016" s="36"/>
      <c r="D2016"/>
      <c r="E2016"/>
      <c r="F2016"/>
      <c r="G2016"/>
      <c r="H2016"/>
      <c r="I2016"/>
      <c r="J2016"/>
      <c r="K2016"/>
      <c r="L2016"/>
      <c r="M2016"/>
      <c r="N2016"/>
      <c r="O2016"/>
      <c r="P2016" s="36"/>
      <c r="Q2016" s="37"/>
      <c r="R2016"/>
      <c r="S2016"/>
      <c r="T2016"/>
      <c r="U2016"/>
      <c r="V2016" s="39"/>
      <c r="W2016"/>
      <c r="X2016"/>
      <c r="Y2016"/>
      <c r="Z2016"/>
      <c r="AA2016"/>
    </row>
    <row r="2017" spans="1:27" x14ac:dyDescent="0.25">
      <c r="A2017"/>
      <c r="B2017" s="36"/>
      <c r="C2017" s="36"/>
      <c r="D2017"/>
      <c r="E2017"/>
      <c r="F2017"/>
      <c r="G2017"/>
      <c r="H2017"/>
      <c r="I2017"/>
      <c r="J2017"/>
      <c r="K2017"/>
      <c r="L2017"/>
      <c r="M2017"/>
      <c r="N2017"/>
      <c r="O2017"/>
      <c r="P2017" s="36"/>
      <c r="Q2017" s="37"/>
      <c r="R2017"/>
      <c r="S2017"/>
      <c r="T2017"/>
      <c r="U2017"/>
      <c r="V2017" s="39"/>
      <c r="W2017"/>
      <c r="X2017"/>
      <c r="Y2017"/>
      <c r="Z2017"/>
      <c r="AA2017"/>
    </row>
    <row r="2018" spans="1:27" x14ac:dyDescent="0.25">
      <c r="A2018"/>
      <c r="B2018" s="36"/>
      <c r="C2018" s="36"/>
      <c r="D2018"/>
      <c r="E2018"/>
      <c r="F2018"/>
      <c r="G2018"/>
      <c r="H2018"/>
      <c r="I2018"/>
      <c r="J2018"/>
      <c r="K2018"/>
      <c r="L2018"/>
      <c r="M2018"/>
      <c r="N2018"/>
      <c r="O2018"/>
      <c r="P2018" s="36"/>
      <c r="Q2018" s="37"/>
      <c r="R2018"/>
      <c r="S2018"/>
      <c r="T2018"/>
      <c r="U2018"/>
      <c r="V2018" s="39"/>
      <c r="W2018"/>
      <c r="X2018"/>
      <c r="Y2018"/>
      <c r="Z2018"/>
      <c r="AA2018"/>
    </row>
    <row r="2019" spans="1:27" x14ac:dyDescent="0.25">
      <c r="A2019"/>
      <c r="B2019" s="36"/>
      <c r="C2019" s="36"/>
      <c r="D2019"/>
      <c r="E2019"/>
      <c r="F2019"/>
      <c r="G2019"/>
      <c r="H2019"/>
      <c r="I2019"/>
      <c r="J2019"/>
      <c r="K2019"/>
      <c r="L2019"/>
      <c r="M2019"/>
      <c r="N2019"/>
      <c r="O2019"/>
      <c r="P2019" s="36"/>
      <c r="Q2019" s="37"/>
      <c r="R2019"/>
      <c r="S2019"/>
      <c r="T2019"/>
      <c r="U2019"/>
      <c r="V2019" s="39"/>
      <c r="W2019"/>
      <c r="X2019"/>
      <c r="Y2019"/>
      <c r="Z2019"/>
      <c r="AA2019"/>
    </row>
    <row r="2020" spans="1:27" x14ac:dyDescent="0.25">
      <c r="A2020"/>
      <c r="B2020" s="36"/>
      <c r="C2020" s="36"/>
      <c r="D2020"/>
      <c r="E2020"/>
      <c r="F2020"/>
      <c r="G2020"/>
      <c r="H2020"/>
      <c r="I2020"/>
      <c r="J2020"/>
      <c r="K2020"/>
      <c r="L2020"/>
      <c r="M2020"/>
      <c r="N2020"/>
      <c r="O2020"/>
      <c r="P2020" s="36"/>
      <c r="Q2020" s="37"/>
      <c r="R2020"/>
      <c r="S2020"/>
      <c r="T2020"/>
      <c r="U2020"/>
      <c r="V2020" s="39"/>
      <c r="W2020"/>
      <c r="X2020"/>
      <c r="Y2020"/>
      <c r="Z2020"/>
      <c r="AA2020"/>
    </row>
    <row r="2021" spans="1:27" x14ac:dyDescent="0.25">
      <c r="A2021"/>
      <c r="B2021" s="36"/>
      <c r="C2021" s="36"/>
      <c r="D2021"/>
      <c r="E2021"/>
      <c r="F2021"/>
      <c r="G2021"/>
      <c r="H2021"/>
      <c r="I2021"/>
      <c r="J2021"/>
      <c r="K2021"/>
      <c r="L2021"/>
      <c r="M2021"/>
      <c r="N2021"/>
      <c r="O2021"/>
      <c r="P2021" s="36"/>
      <c r="Q2021" s="37"/>
      <c r="R2021"/>
      <c r="S2021"/>
      <c r="T2021"/>
      <c r="U2021"/>
      <c r="V2021" s="39"/>
      <c r="W2021"/>
      <c r="X2021"/>
      <c r="Y2021"/>
      <c r="Z2021"/>
      <c r="AA2021"/>
    </row>
    <row r="2022" spans="1:27" x14ac:dyDescent="0.25">
      <c r="A2022"/>
      <c r="B2022" s="36"/>
      <c r="C2022" s="36"/>
      <c r="D2022"/>
      <c r="E2022"/>
      <c r="F2022"/>
      <c r="G2022"/>
      <c r="H2022"/>
      <c r="I2022"/>
      <c r="J2022"/>
      <c r="K2022"/>
      <c r="L2022"/>
      <c r="M2022"/>
      <c r="N2022"/>
      <c r="O2022"/>
      <c r="P2022" s="36"/>
      <c r="Q2022" s="37"/>
      <c r="R2022"/>
      <c r="S2022"/>
      <c r="T2022"/>
      <c r="U2022"/>
      <c r="V2022" s="39"/>
      <c r="W2022"/>
      <c r="X2022"/>
      <c r="Y2022"/>
      <c r="Z2022"/>
      <c r="AA2022"/>
    </row>
    <row r="2023" spans="1:27" x14ac:dyDescent="0.25">
      <c r="A2023"/>
      <c r="B2023" s="36"/>
      <c r="C2023" s="36"/>
      <c r="D2023"/>
      <c r="E2023"/>
      <c r="F2023"/>
      <c r="G2023"/>
      <c r="H2023"/>
      <c r="I2023"/>
      <c r="J2023"/>
      <c r="K2023"/>
      <c r="L2023"/>
      <c r="M2023"/>
      <c r="N2023"/>
      <c r="O2023"/>
      <c r="P2023" s="36"/>
      <c r="Q2023" s="37"/>
      <c r="R2023"/>
      <c r="S2023"/>
      <c r="T2023"/>
      <c r="U2023"/>
      <c r="V2023" s="39"/>
      <c r="W2023"/>
      <c r="X2023"/>
      <c r="Y2023"/>
      <c r="Z2023"/>
      <c r="AA2023"/>
    </row>
    <row r="2024" spans="1:27" x14ac:dyDescent="0.25">
      <c r="A2024"/>
      <c r="B2024" s="36"/>
      <c r="C2024" s="36"/>
      <c r="D2024"/>
      <c r="E2024"/>
      <c r="F2024"/>
      <c r="G2024"/>
      <c r="H2024"/>
      <c r="I2024"/>
      <c r="J2024"/>
      <c r="K2024"/>
      <c r="L2024"/>
      <c r="M2024"/>
      <c r="N2024"/>
      <c r="O2024"/>
      <c r="P2024" s="36"/>
      <c r="Q2024" s="37"/>
      <c r="R2024" s="44"/>
      <c r="S2024"/>
      <c r="T2024"/>
      <c r="U2024"/>
      <c r="V2024" s="39"/>
      <c r="W2024"/>
      <c r="X2024"/>
      <c r="Y2024"/>
      <c r="Z2024"/>
      <c r="AA2024"/>
    </row>
    <row r="2025" spans="1:27" x14ac:dyDescent="0.25">
      <c r="A2025"/>
      <c r="B2025" s="36"/>
      <c r="C2025" s="36"/>
      <c r="D2025"/>
      <c r="E2025"/>
      <c r="F2025"/>
      <c r="G2025"/>
      <c r="H2025"/>
      <c r="I2025"/>
      <c r="J2025"/>
      <c r="K2025"/>
      <c r="L2025"/>
      <c r="M2025"/>
      <c r="N2025"/>
      <c r="O2025"/>
      <c r="P2025" s="36"/>
      <c r="Q2025" s="37"/>
      <c r="R2025"/>
      <c r="S2025"/>
      <c r="T2025"/>
      <c r="U2025"/>
      <c r="V2025" s="39"/>
      <c r="W2025"/>
      <c r="X2025"/>
      <c r="Y2025"/>
      <c r="Z2025"/>
      <c r="AA2025"/>
    </row>
    <row r="2026" spans="1:27" x14ac:dyDescent="0.25">
      <c r="A2026"/>
      <c r="B2026" s="36"/>
      <c r="C2026" s="36"/>
      <c r="D2026"/>
      <c r="E2026"/>
      <c r="F2026"/>
      <c r="G2026"/>
      <c r="H2026"/>
      <c r="I2026"/>
      <c r="J2026"/>
      <c r="K2026"/>
      <c r="L2026"/>
      <c r="M2026"/>
      <c r="N2026"/>
      <c r="O2026"/>
      <c r="P2026" s="36"/>
      <c r="Q2026" s="37"/>
      <c r="R2026"/>
      <c r="S2026"/>
      <c r="T2026"/>
      <c r="U2026"/>
      <c r="V2026" s="39"/>
      <c r="W2026"/>
      <c r="X2026"/>
      <c r="Y2026"/>
      <c r="Z2026"/>
      <c r="AA2026"/>
    </row>
    <row r="2027" spans="1:27" x14ac:dyDescent="0.25">
      <c r="A2027"/>
      <c r="B2027" s="36"/>
      <c r="C2027" s="36"/>
      <c r="D2027"/>
      <c r="E2027"/>
      <c r="F2027"/>
      <c r="G2027"/>
      <c r="H2027"/>
      <c r="I2027"/>
      <c r="J2027"/>
      <c r="K2027"/>
      <c r="L2027"/>
      <c r="M2027"/>
      <c r="N2027"/>
      <c r="O2027"/>
      <c r="P2027" s="36"/>
      <c r="Q2027" s="37"/>
      <c r="R2027"/>
      <c r="S2027"/>
      <c r="T2027"/>
      <c r="U2027"/>
      <c r="V2027" s="39"/>
      <c r="W2027"/>
      <c r="X2027"/>
      <c r="Y2027"/>
      <c r="Z2027"/>
      <c r="AA2027"/>
    </row>
    <row r="2028" spans="1:27" x14ac:dyDescent="0.25">
      <c r="A2028"/>
      <c r="B2028" s="36"/>
      <c r="C2028" s="36"/>
      <c r="D2028"/>
      <c r="E2028"/>
      <c r="F2028"/>
      <c r="G2028"/>
      <c r="H2028"/>
      <c r="I2028"/>
      <c r="J2028"/>
      <c r="K2028"/>
      <c r="L2028"/>
      <c r="M2028"/>
      <c r="N2028"/>
      <c r="O2028"/>
      <c r="P2028" s="36"/>
      <c r="Q2028" s="37"/>
      <c r="R2028"/>
      <c r="S2028"/>
      <c r="T2028"/>
      <c r="U2028"/>
      <c r="V2028" s="39"/>
      <c r="W2028"/>
      <c r="X2028"/>
      <c r="Y2028"/>
      <c r="Z2028"/>
      <c r="AA2028"/>
    </row>
    <row r="2029" spans="1:27" x14ac:dyDescent="0.25">
      <c r="A2029"/>
      <c r="B2029" s="36"/>
      <c r="C2029" s="36"/>
      <c r="D2029"/>
      <c r="E2029"/>
      <c r="F2029"/>
      <c r="G2029"/>
      <c r="H2029"/>
      <c r="I2029"/>
      <c r="J2029"/>
      <c r="K2029"/>
      <c r="L2029"/>
      <c r="M2029"/>
      <c r="N2029"/>
      <c r="O2029"/>
      <c r="P2029" s="36"/>
      <c r="Q2029" s="37"/>
      <c r="R2029"/>
      <c r="S2029"/>
      <c r="T2029"/>
      <c r="U2029"/>
      <c r="V2029" s="39"/>
      <c r="W2029"/>
      <c r="X2029"/>
      <c r="Y2029"/>
      <c r="Z2029"/>
      <c r="AA2029"/>
    </row>
    <row r="2030" spans="1:27" x14ac:dyDescent="0.25">
      <c r="A2030"/>
      <c r="B2030" s="36"/>
      <c r="C2030" s="36"/>
      <c r="D2030"/>
      <c r="E2030"/>
      <c r="F2030"/>
      <c r="G2030"/>
      <c r="H2030"/>
      <c r="I2030"/>
      <c r="J2030"/>
      <c r="K2030"/>
      <c r="L2030"/>
      <c r="M2030"/>
      <c r="N2030"/>
      <c r="O2030"/>
      <c r="P2030" s="36"/>
      <c r="Q2030" s="37"/>
      <c r="R2030"/>
      <c r="S2030"/>
      <c r="T2030"/>
      <c r="U2030"/>
      <c r="V2030" s="39"/>
      <c r="W2030"/>
      <c r="X2030"/>
      <c r="Y2030"/>
      <c r="Z2030"/>
      <c r="AA2030"/>
    </row>
    <row r="2031" spans="1:27" x14ac:dyDescent="0.25">
      <c r="A2031"/>
      <c r="B2031" s="36"/>
      <c r="C2031" s="36"/>
      <c r="D2031"/>
      <c r="E2031"/>
      <c r="F2031"/>
      <c r="G2031"/>
      <c r="H2031"/>
      <c r="I2031"/>
      <c r="J2031"/>
      <c r="K2031"/>
      <c r="L2031"/>
      <c r="M2031"/>
      <c r="N2031"/>
      <c r="O2031"/>
      <c r="P2031" s="36"/>
      <c r="Q2031" s="37"/>
      <c r="R2031"/>
      <c r="S2031"/>
      <c r="T2031"/>
      <c r="U2031"/>
      <c r="V2031" s="39"/>
      <c r="W2031"/>
      <c r="X2031"/>
      <c r="Y2031"/>
      <c r="Z2031"/>
      <c r="AA2031"/>
    </row>
    <row r="2032" spans="1:27" x14ac:dyDescent="0.25">
      <c r="A2032"/>
      <c r="B2032" s="36"/>
      <c r="C2032" s="36"/>
      <c r="D2032"/>
      <c r="E2032"/>
      <c r="F2032"/>
      <c r="G2032"/>
      <c r="H2032"/>
      <c r="I2032"/>
      <c r="J2032"/>
      <c r="K2032"/>
      <c r="L2032"/>
      <c r="M2032"/>
      <c r="N2032"/>
      <c r="O2032"/>
      <c r="P2032" s="36"/>
      <c r="Q2032" s="37"/>
      <c r="R2032"/>
      <c r="S2032"/>
      <c r="T2032"/>
      <c r="U2032"/>
      <c r="V2032" s="39"/>
      <c r="W2032"/>
      <c r="X2032"/>
      <c r="Y2032"/>
      <c r="Z2032"/>
      <c r="AA2032"/>
    </row>
    <row r="2033" spans="1:27" x14ac:dyDescent="0.25">
      <c r="A2033"/>
      <c r="B2033" s="36"/>
      <c r="C2033" s="36"/>
      <c r="D2033"/>
      <c r="E2033"/>
      <c r="F2033"/>
      <c r="G2033"/>
      <c r="H2033"/>
      <c r="I2033"/>
      <c r="J2033"/>
      <c r="K2033"/>
      <c r="L2033"/>
      <c r="M2033"/>
      <c r="N2033"/>
      <c r="O2033"/>
      <c r="P2033" s="36"/>
      <c r="Q2033" s="37"/>
      <c r="R2033"/>
      <c r="S2033"/>
      <c r="T2033"/>
      <c r="U2033"/>
      <c r="V2033" s="39"/>
      <c r="W2033"/>
      <c r="X2033"/>
      <c r="Y2033"/>
      <c r="Z2033"/>
      <c r="AA2033"/>
    </row>
    <row r="2034" spans="1:27" x14ac:dyDescent="0.25">
      <c r="A2034"/>
      <c r="B2034" s="36"/>
      <c r="C2034" s="36"/>
      <c r="D2034"/>
      <c r="E2034"/>
      <c r="F2034"/>
      <c r="G2034"/>
      <c r="H2034"/>
      <c r="I2034"/>
      <c r="J2034"/>
      <c r="K2034"/>
      <c r="L2034"/>
      <c r="M2034"/>
      <c r="N2034"/>
      <c r="O2034"/>
      <c r="P2034" s="36"/>
      <c r="Q2034" s="37"/>
      <c r="R2034"/>
      <c r="S2034"/>
      <c r="T2034"/>
      <c r="U2034"/>
      <c r="V2034" s="39"/>
      <c r="W2034"/>
      <c r="X2034"/>
      <c r="Y2034"/>
      <c r="Z2034"/>
      <c r="AA2034"/>
    </row>
    <row r="2035" spans="1:27" x14ac:dyDescent="0.25">
      <c r="A2035"/>
      <c r="B2035" s="36"/>
      <c r="C2035" s="36"/>
      <c r="D2035"/>
      <c r="E2035"/>
      <c r="F2035"/>
      <c r="G2035"/>
      <c r="H2035"/>
      <c r="I2035"/>
      <c r="J2035"/>
      <c r="K2035"/>
      <c r="L2035"/>
      <c r="M2035"/>
      <c r="N2035"/>
      <c r="O2035"/>
      <c r="P2035" s="36"/>
      <c r="Q2035" s="37"/>
      <c r="R2035"/>
      <c r="S2035"/>
      <c r="T2035"/>
      <c r="U2035"/>
      <c r="V2035" s="39"/>
      <c r="W2035"/>
      <c r="X2035"/>
      <c r="Y2035"/>
      <c r="Z2035"/>
      <c r="AA2035"/>
    </row>
    <row r="2036" spans="1:27" x14ac:dyDescent="0.25">
      <c r="A2036"/>
      <c r="B2036" s="36"/>
      <c r="C2036" s="36"/>
      <c r="D2036"/>
      <c r="E2036"/>
      <c r="F2036"/>
      <c r="G2036"/>
      <c r="H2036"/>
      <c r="I2036"/>
      <c r="J2036"/>
      <c r="K2036"/>
      <c r="L2036"/>
      <c r="M2036"/>
      <c r="N2036"/>
      <c r="O2036"/>
      <c r="P2036" s="36"/>
      <c r="Q2036" s="37"/>
      <c r="R2036"/>
      <c r="S2036"/>
      <c r="T2036"/>
      <c r="U2036"/>
      <c r="V2036" s="39"/>
      <c r="W2036"/>
      <c r="X2036"/>
      <c r="Y2036"/>
      <c r="Z2036"/>
      <c r="AA2036"/>
    </row>
    <row r="2037" spans="1:27" x14ac:dyDescent="0.25">
      <c r="A2037"/>
      <c r="B2037" s="36"/>
      <c r="C2037" s="36"/>
      <c r="D2037"/>
      <c r="E2037"/>
      <c r="F2037"/>
      <c r="G2037"/>
      <c r="H2037"/>
      <c r="I2037"/>
      <c r="J2037"/>
      <c r="K2037"/>
      <c r="L2037"/>
      <c r="M2037"/>
      <c r="N2037"/>
      <c r="O2037"/>
      <c r="P2037" s="36"/>
      <c r="Q2037" s="37"/>
      <c r="R2037"/>
      <c r="S2037"/>
      <c r="T2037"/>
      <c r="U2037"/>
      <c r="V2037" s="39"/>
      <c r="W2037"/>
      <c r="X2037"/>
      <c r="Y2037"/>
      <c r="Z2037"/>
      <c r="AA2037"/>
    </row>
    <row r="2038" spans="1:27" x14ac:dyDescent="0.25">
      <c r="A2038"/>
      <c r="B2038" s="36"/>
      <c r="C2038" s="36"/>
      <c r="D2038"/>
      <c r="E2038"/>
      <c r="F2038"/>
      <c r="G2038"/>
      <c r="H2038"/>
      <c r="I2038"/>
      <c r="J2038"/>
      <c r="K2038"/>
      <c r="L2038"/>
      <c r="M2038"/>
      <c r="N2038"/>
      <c r="O2038"/>
      <c r="P2038" s="36"/>
      <c r="Q2038" s="37"/>
      <c r="R2038"/>
      <c r="S2038"/>
      <c r="T2038"/>
      <c r="U2038"/>
      <c r="V2038" s="39"/>
      <c r="W2038"/>
      <c r="X2038"/>
      <c r="Y2038"/>
      <c r="Z2038"/>
      <c r="AA2038"/>
    </row>
    <row r="2039" spans="1:27" x14ac:dyDescent="0.25">
      <c r="A2039"/>
      <c r="B2039" s="36"/>
      <c r="C2039" s="36"/>
      <c r="D2039"/>
      <c r="E2039"/>
      <c r="F2039"/>
      <c r="G2039"/>
      <c r="H2039"/>
      <c r="I2039"/>
      <c r="J2039"/>
      <c r="K2039"/>
      <c r="L2039"/>
      <c r="M2039"/>
      <c r="N2039"/>
      <c r="O2039"/>
      <c r="P2039" s="36"/>
      <c r="Q2039" s="37"/>
      <c r="R2039"/>
      <c r="S2039"/>
      <c r="T2039"/>
      <c r="U2039"/>
      <c r="V2039" s="39"/>
      <c r="W2039"/>
      <c r="X2039"/>
      <c r="Y2039"/>
      <c r="Z2039"/>
      <c r="AA2039"/>
    </row>
    <row r="2040" spans="1:27" x14ac:dyDescent="0.25">
      <c r="A2040"/>
      <c r="B2040" s="36"/>
      <c r="C2040" s="36"/>
      <c r="D2040"/>
      <c r="E2040"/>
      <c r="F2040"/>
      <c r="G2040"/>
      <c r="H2040"/>
      <c r="I2040"/>
      <c r="J2040"/>
      <c r="K2040"/>
      <c r="L2040"/>
      <c r="M2040"/>
      <c r="N2040"/>
      <c r="O2040"/>
      <c r="P2040" s="36"/>
      <c r="Q2040" s="37"/>
      <c r="R2040"/>
      <c r="S2040"/>
      <c r="T2040"/>
      <c r="U2040"/>
      <c r="V2040" s="39"/>
      <c r="W2040"/>
      <c r="X2040"/>
      <c r="Y2040"/>
      <c r="Z2040"/>
      <c r="AA2040"/>
    </row>
    <row r="2041" spans="1:27" x14ac:dyDescent="0.25">
      <c r="A2041"/>
      <c r="B2041" s="36"/>
      <c r="C2041" s="36"/>
      <c r="D2041"/>
      <c r="E2041"/>
      <c r="F2041"/>
      <c r="G2041"/>
      <c r="H2041"/>
      <c r="I2041"/>
      <c r="J2041"/>
      <c r="K2041"/>
      <c r="L2041"/>
      <c r="M2041"/>
      <c r="N2041"/>
      <c r="O2041"/>
      <c r="P2041" s="36"/>
      <c r="Q2041" s="37"/>
      <c r="R2041"/>
      <c r="S2041"/>
      <c r="T2041"/>
      <c r="U2041"/>
      <c r="V2041" s="39"/>
      <c r="W2041"/>
      <c r="X2041"/>
      <c r="Y2041"/>
      <c r="Z2041"/>
      <c r="AA2041"/>
    </row>
    <row r="2042" spans="1:27" x14ac:dyDescent="0.25">
      <c r="A2042"/>
      <c r="B2042" s="36"/>
      <c r="C2042" s="36"/>
      <c r="D2042"/>
      <c r="E2042"/>
      <c r="F2042"/>
      <c r="G2042"/>
      <c r="H2042"/>
      <c r="I2042"/>
      <c r="J2042"/>
      <c r="K2042"/>
      <c r="L2042"/>
      <c r="M2042"/>
      <c r="N2042"/>
      <c r="O2042"/>
      <c r="P2042" s="36"/>
      <c r="Q2042" s="37"/>
      <c r="R2042"/>
      <c r="S2042"/>
      <c r="T2042"/>
      <c r="U2042"/>
      <c r="V2042" s="39"/>
      <c r="W2042"/>
      <c r="X2042"/>
      <c r="Y2042"/>
      <c r="Z2042"/>
      <c r="AA2042"/>
    </row>
    <row r="2043" spans="1:27" x14ac:dyDescent="0.25">
      <c r="A2043"/>
      <c r="B2043" s="36"/>
      <c r="C2043" s="36"/>
      <c r="D2043"/>
      <c r="E2043"/>
      <c r="F2043"/>
      <c r="G2043"/>
      <c r="H2043"/>
      <c r="I2043"/>
      <c r="J2043"/>
      <c r="K2043"/>
      <c r="L2043"/>
      <c r="M2043"/>
      <c r="N2043"/>
      <c r="O2043"/>
      <c r="P2043" s="36"/>
      <c r="Q2043" s="37"/>
      <c r="R2043"/>
      <c r="S2043"/>
      <c r="T2043"/>
      <c r="U2043"/>
      <c r="V2043" s="39"/>
      <c r="W2043"/>
      <c r="X2043"/>
      <c r="Y2043"/>
      <c r="Z2043"/>
      <c r="AA2043"/>
    </row>
    <row r="2044" spans="1:27" x14ac:dyDescent="0.25">
      <c r="A2044"/>
      <c r="B2044" s="36"/>
      <c r="C2044" s="36"/>
      <c r="D2044"/>
      <c r="E2044"/>
      <c r="F2044"/>
      <c r="G2044"/>
      <c r="H2044"/>
      <c r="I2044"/>
      <c r="J2044"/>
      <c r="K2044"/>
      <c r="L2044"/>
      <c r="M2044"/>
      <c r="N2044"/>
      <c r="O2044"/>
      <c r="P2044" s="36"/>
      <c r="Q2044" s="37"/>
      <c r="R2044"/>
      <c r="S2044"/>
      <c r="T2044"/>
      <c r="U2044"/>
      <c r="V2044" s="39"/>
      <c r="W2044"/>
      <c r="X2044"/>
      <c r="Y2044"/>
      <c r="Z2044"/>
      <c r="AA2044"/>
    </row>
    <row r="2045" spans="1:27" x14ac:dyDescent="0.25">
      <c r="A2045"/>
      <c r="B2045" s="36"/>
      <c r="C2045" s="36"/>
      <c r="D2045"/>
      <c r="E2045"/>
      <c r="F2045"/>
      <c r="G2045"/>
      <c r="H2045"/>
      <c r="I2045"/>
      <c r="J2045"/>
      <c r="K2045"/>
      <c r="L2045"/>
      <c r="M2045"/>
      <c r="N2045"/>
      <c r="O2045"/>
      <c r="P2045" s="36"/>
      <c r="Q2045" s="37"/>
      <c r="R2045"/>
      <c r="S2045"/>
      <c r="T2045"/>
      <c r="U2045"/>
      <c r="V2045" s="39"/>
      <c r="W2045"/>
      <c r="X2045"/>
      <c r="Y2045"/>
      <c r="Z2045"/>
      <c r="AA2045"/>
    </row>
    <row r="2046" spans="1:27" x14ac:dyDescent="0.25">
      <c r="A2046"/>
      <c r="B2046" s="36"/>
      <c r="C2046" s="36"/>
      <c r="D2046"/>
      <c r="E2046"/>
      <c r="F2046"/>
      <c r="G2046"/>
      <c r="H2046"/>
      <c r="I2046"/>
      <c r="J2046"/>
      <c r="K2046"/>
      <c r="L2046"/>
      <c r="M2046"/>
      <c r="N2046"/>
      <c r="O2046"/>
      <c r="P2046" s="36"/>
      <c r="Q2046" s="37"/>
      <c r="R2046"/>
      <c r="S2046"/>
      <c r="T2046"/>
      <c r="U2046"/>
      <c r="V2046" s="39"/>
      <c r="W2046"/>
      <c r="X2046"/>
      <c r="Y2046"/>
      <c r="Z2046"/>
      <c r="AA2046"/>
    </row>
    <row r="2047" spans="1:27" x14ac:dyDescent="0.25">
      <c r="A2047"/>
      <c r="B2047" s="36"/>
      <c r="C2047" s="36"/>
      <c r="D2047"/>
      <c r="E2047"/>
      <c r="F2047"/>
      <c r="G2047"/>
      <c r="H2047"/>
      <c r="I2047"/>
      <c r="J2047"/>
      <c r="K2047"/>
      <c r="L2047"/>
      <c r="M2047"/>
      <c r="N2047"/>
      <c r="O2047"/>
      <c r="P2047" s="36"/>
      <c r="Q2047" s="37"/>
      <c r="R2047"/>
      <c r="S2047"/>
      <c r="T2047"/>
      <c r="U2047"/>
      <c r="V2047" s="39"/>
      <c r="W2047"/>
      <c r="X2047"/>
      <c r="Y2047"/>
      <c r="Z2047"/>
      <c r="AA2047"/>
    </row>
    <row r="2048" spans="1:27" x14ac:dyDescent="0.25">
      <c r="A2048"/>
      <c r="B2048" s="36"/>
      <c r="C2048" s="36"/>
      <c r="D2048"/>
      <c r="E2048"/>
      <c r="F2048"/>
      <c r="G2048"/>
      <c r="H2048"/>
      <c r="I2048"/>
      <c r="J2048"/>
      <c r="K2048"/>
      <c r="L2048"/>
      <c r="M2048"/>
      <c r="N2048"/>
      <c r="O2048"/>
      <c r="P2048" s="36"/>
      <c r="Q2048" s="37"/>
      <c r="R2048"/>
      <c r="S2048"/>
      <c r="T2048"/>
      <c r="U2048"/>
      <c r="V2048" s="39"/>
      <c r="W2048"/>
      <c r="X2048"/>
      <c r="Y2048"/>
      <c r="Z2048"/>
      <c r="AA2048"/>
    </row>
    <row r="2049" spans="1:27" x14ac:dyDescent="0.25">
      <c r="A2049"/>
      <c r="B2049" s="36"/>
      <c r="C2049" s="36"/>
      <c r="D2049"/>
      <c r="E2049"/>
      <c r="F2049"/>
      <c r="G2049"/>
      <c r="H2049"/>
      <c r="I2049"/>
      <c r="J2049"/>
      <c r="K2049"/>
      <c r="L2049"/>
      <c r="M2049"/>
      <c r="N2049"/>
      <c r="O2049"/>
      <c r="P2049" s="36"/>
      <c r="Q2049" s="37"/>
      <c r="R2049"/>
      <c r="S2049"/>
      <c r="T2049"/>
      <c r="U2049"/>
      <c r="V2049" s="39"/>
      <c r="W2049"/>
      <c r="X2049"/>
      <c r="Y2049"/>
      <c r="Z2049"/>
      <c r="AA2049"/>
    </row>
    <row r="2050" spans="1:27" x14ac:dyDescent="0.25">
      <c r="A2050"/>
      <c r="B2050" s="36"/>
      <c r="C2050" s="36"/>
      <c r="D2050"/>
      <c r="E2050"/>
      <c r="F2050"/>
      <c r="G2050"/>
      <c r="H2050"/>
      <c r="I2050"/>
      <c r="J2050"/>
      <c r="K2050"/>
      <c r="L2050"/>
      <c r="M2050"/>
      <c r="N2050"/>
      <c r="O2050"/>
      <c r="P2050" s="36"/>
      <c r="Q2050" s="37"/>
      <c r="R2050"/>
      <c r="S2050"/>
      <c r="T2050"/>
      <c r="U2050"/>
      <c r="V2050" s="39"/>
      <c r="W2050"/>
      <c r="X2050"/>
      <c r="Y2050"/>
      <c r="Z2050"/>
      <c r="AA2050"/>
    </row>
    <row r="2051" spans="1:27" x14ac:dyDescent="0.25">
      <c r="A2051"/>
      <c r="B2051" s="36"/>
      <c r="C2051" s="36"/>
      <c r="D2051"/>
      <c r="E2051"/>
      <c r="F2051"/>
      <c r="G2051"/>
      <c r="H2051"/>
      <c r="I2051"/>
      <c r="J2051"/>
      <c r="K2051"/>
      <c r="L2051"/>
      <c r="M2051"/>
      <c r="N2051"/>
      <c r="O2051"/>
      <c r="P2051" s="36"/>
      <c r="Q2051" s="37"/>
      <c r="R2051"/>
      <c r="S2051"/>
      <c r="T2051"/>
      <c r="U2051"/>
      <c r="V2051" s="39"/>
      <c r="W2051"/>
      <c r="X2051"/>
      <c r="Y2051"/>
      <c r="Z2051"/>
      <c r="AA2051"/>
    </row>
    <row r="2052" spans="1:27" x14ac:dyDescent="0.25">
      <c r="A2052"/>
      <c r="B2052" s="36"/>
      <c r="C2052" s="36"/>
      <c r="D2052"/>
      <c r="E2052"/>
      <c r="F2052"/>
      <c r="G2052"/>
      <c r="H2052"/>
      <c r="I2052"/>
      <c r="J2052"/>
      <c r="K2052"/>
      <c r="L2052"/>
      <c r="M2052"/>
      <c r="N2052"/>
      <c r="O2052"/>
      <c r="P2052" s="36"/>
      <c r="Q2052" s="37"/>
      <c r="R2052"/>
      <c r="S2052"/>
      <c r="T2052"/>
      <c r="U2052"/>
      <c r="V2052" s="39"/>
      <c r="W2052"/>
      <c r="X2052"/>
      <c r="Y2052"/>
      <c r="Z2052"/>
      <c r="AA2052"/>
    </row>
    <row r="2053" spans="1:27" x14ac:dyDescent="0.25">
      <c r="A2053"/>
      <c r="B2053" s="36"/>
      <c r="C2053" s="36"/>
      <c r="D2053"/>
      <c r="E2053"/>
      <c r="F2053"/>
      <c r="G2053"/>
      <c r="H2053"/>
      <c r="I2053"/>
      <c r="J2053"/>
      <c r="K2053"/>
      <c r="L2053"/>
      <c r="M2053"/>
      <c r="N2053"/>
      <c r="O2053"/>
      <c r="P2053" s="36"/>
      <c r="Q2053" s="37"/>
      <c r="R2053"/>
      <c r="S2053"/>
      <c r="T2053"/>
      <c r="U2053"/>
      <c r="V2053" s="39"/>
      <c r="W2053"/>
      <c r="X2053"/>
      <c r="Y2053"/>
      <c r="Z2053"/>
      <c r="AA2053"/>
    </row>
    <row r="2054" spans="1:27" x14ac:dyDescent="0.25">
      <c r="A2054"/>
      <c r="B2054" s="36"/>
      <c r="C2054" s="36"/>
      <c r="D2054"/>
      <c r="E2054"/>
      <c r="F2054"/>
      <c r="G2054"/>
      <c r="H2054"/>
      <c r="I2054"/>
      <c r="J2054"/>
      <c r="K2054"/>
      <c r="L2054"/>
      <c r="M2054"/>
      <c r="N2054"/>
      <c r="O2054"/>
      <c r="P2054" s="36"/>
      <c r="Q2054" s="37"/>
      <c r="R2054"/>
      <c r="S2054"/>
      <c r="T2054"/>
      <c r="U2054"/>
      <c r="V2054" s="39"/>
      <c r="W2054"/>
      <c r="X2054"/>
      <c r="Y2054"/>
      <c r="Z2054"/>
      <c r="AA2054"/>
    </row>
    <row r="2055" spans="1:27" x14ac:dyDescent="0.25">
      <c r="A2055"/>
      <c r="B2055" s="36"/>
      <c r="C2055" s="36"/>
      <c r="D2055"/>
      <c r="E2055"/>
      <c r="F2055"/>
      <c r="G2055"/>
      <c r="H2055"/>
      <c r="I2055"/>
      <c r="J2055"/>
      <c r="K2055"/>
      <c r="L2055"/>
      <c r="M2055"/>
      <c r="N2055"/>
      <c r="O2055"/>
      <c r="P2055" s="36"/>
      <c r="Q2055" s="37"/>
      <c r="R2055"/>
      <c r="S2055"/>
      <c r="T2055"/>
      <c r="U2055"/>
      <c r="V2055" s="39"/>
      <c r="W2055"/>
      <c r="X2055"/>
      <c r="Y2055"/>
      <c r="Z2055"/>
      <c r="AA2055"/>
    </row>
    <row r="2056" spans="1:27" x14ac:dyDescent="0.25">
      <c r="A2056"/>
      <c r="B2056" s="36"/>
      <c r="C2056" s="36"/>
      <c r="D2056"/>
      <c r="E2056"/>
      <c r="F2056"/>
      <c r="G2056"/>
      <c r="H2056"/>
      <c r="I2056"/>
      <c r="J2056"/>
      <c r="K2056"/>
      <c r="L2056"/>
      <c r="M2056"/>
      <c r="N2056"/>
      <c r="O2056"/>
      <c r="P2056" s="36"/>
      <c r="Q2056" s="37"/>
      <c r="R2056"/>
      <c r="S2056"/>
      <c r="T2056"/>
      <c r="U2056"/>
      <c r="V2056" s="39"/>
      <c r="W2056"/>
      <c r="X2056"/>
      <c r="Y2056"/>
      <c r="Z2056"/>
      <c r="AA2056"/>
    </row>
    <row r="2057" spans="1:27" x14ac:dyDescent="0.25">
      <c r="A2057"/>
      <c r="B2057" s="36"/>
      <c r="C2057" s="36"/>
      <c r="D2057"/>
      <c r="E2057"/>
      <c r="F2057"/>
      <c r="G2057"/>
      <c r="H2057"/>
      <c r="I2057"/>
      <c r="J2057"/>
      <c r="K2057"/>
      <c r="L2057"/>
      <c r="M2057"/>
      <c r="N2057"/>
      <c r="O2057"/>
      <c r="P2057" s="36"/>
      <c r="Q2057" s="37"/>
      <c r="R2057"/>
      <c r="S2057"/>
      <c r="T2057"/>
      <c r="U2057"/>
      <c r="V2057" s="39"/>
      <c r="W2057"/>
      <c r="X2057"/>
      <c r="Y2057"/>
      <c r="Z2057"/>
      <c r="AA2057"/>
    </row>
    <row r="2058" spans="1:27" x14ac:dyDescent="0.25">
      <c r="A2058"/>
      <c r="B2058" s="36"/>
      <c r="C2058" s="36"/>
      <c r="D2058"/>
      <c r="E2058"/>
      <c r="F2058"/>
      <c r="G2058"/>
      <c r="H2058"/>
      <c r="I2058"/>
      <c r="J2058"/>
      <c r="K2058"/>
      <c r="L2058"/>
      <c r="M2058"/>
      <c r="N2058"/>
      <c r="O2058"/>
      <c r="P2058" s="36"/>
      <c r="Q2058" s="37"/>
      <c r="R2058"/>
      <c r="S2058"/>
      <c r="T2058"/>
      <c r="U2058"/>
      <c r="V2058" s="39"/>
      <c r="W2058"/>
      <c r="X2058"/>
      <c r="Y2058"/>
      <c r="Z2058"/>
      <c r="AA2058"/>
    </row>
    <row r="2059" spans="1:27" x14ac:dyDescent="0.25">
      <c r="A2059"/>
      <c r="B2059" s="36"/>
      <c r="C2059" s="36"/>
      <c r="D2059"/>
      <c r="E2059"/>
      <c r="F2059"/>
      <c r="G2059"/>
      <c r="H2059"/>
      <c r="I2059"/>
      <c r="J2059"/>
      <c r="K2059"/>
      <c r="L2059"/>
      <c r="M2059"/>
      <c r="N2059"/>
      <c r="O2059"/>
      <c r="P2059" s="36"/>
      <c r="Q2059" s="37"/>
      <c r="R2059" s="44"/>
      <c r="S2059"/>
      <c r="T2059"/>
      <c r="U2059"/>
      <c r="V2059" s="39"/>
      <c r="W2059"/>
      <c r="X2059"/>
      <c r="Y2059"/>
      <c r="Z2059"/>
      <c r="AA2059" s="44"/>
    </row>
    <row r="2060" spans="1:27" x14ac:dyDescent="0.25">
      <c r="A2060"/>
      <c r="B2060" s="36"/>
      <c r="C2060" s="36"/>
      <c r="D2060"/>
      <c r="E2060"/>
      <c r="F2060"/>
      <c r="G2060"/>
      <c r="H2060"/>
      <c r="I2060"/>
      <c r="J2060"/>
      <c r="K2060"/>
      <c r="L2060"/>
      <c r="M2060"/>
      <c r="N2060"/>
      <c r="O2060"/>
      <c r="P2060" s="36"/>
      <c r="Q2060" s="37"/>
      <c r="R2060"/>
      <c r="S2060"/>
      <c r="T2060"/>
      <c r="U2060"/>
      <c r="V2060" s="39"/>
      <c r="W2060"/>
      <c r="X2060"/>
      <c r="Y2060"/>
      <c r="Z2060"/>
      <c r="AA2060"/>
    </row>
    <row r="2061" spans="1:27" x14ac:dyDescent="0.25">
      <c r="A2061"/>
      <c r="B2061" s="36"/>
      <c r="C2061" s="36"/>
      <c r="D2061"/>
      <c r="E2061"/>
      <c r="F2061"/>
      <c r="G2061"/>
      <c r="H2061"/>
      <c r="I2061"/>
      <c r="J2061"/>
      <c r="K2061"/>
      <c r="L2061"/>
      <c r="M2061"/>
      <c r="N2061"/>
      <c r="O2061"/>
      <c r="P2061" s="36"/>
      <c r="Q2061" s="37"/>
      <c r="R2061"/>
      <c r="S2061"/>
      <c r="T2061"/>
      <c r="U2061"/>
      <c r="V2061" s="39"/>
      <c r="W2061"/>
      <c r="X2061"/>
      <c r="Y2061"/>
      <c r="Z2061"/>
      <c r="AA2061"/>
    </row>
    <row r="2062" spans="1:27" x14ac:dyDescent="0.25">
      <c r="A2062"/>
      <c r="B2062" s="36"/>
      <c r="C2062" s="36"/>
      <c r="D2062"/>
      <c r="E2062"/>
      <c r="F2062"/>
      <c r="G2062"/>
      <c r="H2062"/>
      <c r="I2062"/>
      <c r="J2062"/>
      <c r="K2062"/>
      <c r="L2062"/>
      <c r="M2062"/>
      <c r="N2062"/>
      <c r="O2062"/>
      <c r="P2062" s="36"/>
      <c r="Q2062" s="37"/>
      <c r="R2062"/>
      <c r="S2062"/>
      <c r="T2062"/>
      <c r="U2062"/>
      <c r="V2062" s="39"/>
      <c r="W2062"/>
      <c r="X2062"/>
      <c r="Y2062"/>
      <c r="Z2062"/>
      <c r="AA2062"/>
    </row>
    <row r="2063" spans="1:27" x14ac:dyDescent="0.25">
      <c r="A2063"/>
      <c r="B2063" s="36"/>
      <c r="C2063" s="36"/>
      <c r="D2063"/>
      <c r="E2063"/>
      <c r="F2063"/>
      <c r="G2063"/>
      <c r="H2063"/>
      <c r="I2063"/>
      <c r="J2063"/>
      <c r="K2063"/>
      <c r="L2063"/>
      <c r="M2063"/>
      <c r="N2063"/>
      <c r="O2063"/>
      <c r="P2063" s="36"/>
      <c r="Q2063" s="37"/>
      <c r="R2063"/>
      <c r="S2063"/>
      <c r="T2063"/>
      <c r="U2063"/>
      <c r="V2063" s="39"/>
      <c r="W2063"/>
      <c r="X2063"/>
      <c r="Y2063"/>
      <c r="Z2063"/>
      <c r="AA2063"/>
    </row>
    <row r="2064" spans="1:27" x14ac:dyDescent="0.25">
      <c r="A2064"/>
      <c r="B2064" s="36"/>
      <c r="C2064" s="36"/>
      <c r="D2064"/>
      <c r="E2064"/>
      <c r="F2064"/>
      <c r="G2064"/>
      <c r="H2064"/>
      <c r="I2064"/>
      <c r="J2064"/>
      <c r="K2064"/>
      <c r="L2064"/>
      <c r="M2064"/>
      <c r="N2064"/>
      <c r="O2064"/>
      <c r="P2064" s="36"/>
      <c r="Q2064" s="37"/>
      <c r="R2064"/>
      <c r="S2064"/>
      <c r="T2064"/>
      <c r="U2064"/>
      <c r="V2064" s="39"/>
      <c r="W2064"/>
      <c r="X2064"/>
      <c r="Y2064"/>
      <c r="Z2064"/>
      <c r="AA2064"/>
    </row>
    <row r="2065" spans="1:27" x14ac:dyDescent="0.25">
      <c r="A2065"/>
      <c r="B2065" s="36"/>
      <c r="C2065" s="36"/>
      <c r="D2065"/>
      <c r="E2065"/>
      <c r="F2065"/>
      <c r="G2065"/>
      <c r="H2065"/>
      <c r="I2065"/>
      <c r="J2065"/>
      <c r="K2065"/>
      <c r="L2065"/>
      <c r="M2065"/>
      <c r="N2065"/>
      <c r="O2065"/>
      <c r="P2065" s="36"/>
      <c r="Q2065" s="37"/>
      <c r="R2065"/>
      <c r="S2065"/>
      <c r="T2065"/>
      <c r="U2065"/>
      <c r="V2065" s="39"/>
      <c r="W2065"/>
      <c r="X2065"/>
      <c r="Y2065"/>
      <c r="Z2065"/>
      <c r="AA2065"/>
    </row>
    <row r="2066" spans="1:27" x14ac:dyDescent="0.25">
      <c r="A2066"/>
      <c r="B2066" s="36"/>
      <c r="C2066" s="36"/>
      <c r="D2066"/>
      <c r="E2066"/>
      <c r="F2066"/>
      <c r="G2066"/>
      <c r="H2066"/>
      <c r="I2066"/>
      <c r="J2066"/>
      <c r="K2066"/>
      <c r="L2066"/>
      <c r="M2066"/>
      <c r="N2066"/>
      <c r="O2066"/>
      <c r="P2066" s="36"/>
      <c r="Q2066" s="37"/>
      <c r="R2066"/>
      <c r="S2066"/>
      <c r="T2066"/>
      <c r="U2066"/>
      <c r="V2066" s="39"/>
      <c r="W2066"/>
      <c r="X2066"/>
      <c r="Y2066"/>
      <c r="Z2066"/>
      <c r="AA2066"/>
    </row>
    <row r="2067" spans="1:27" x14ac:dyDescent="0.25">
      <c r="A2067"/>
      <c r="B2067" s="36"/>
      <c r="C2067" s="36"/>
      <c r="D2067"/>
      <c r="E2067"/>
      <c r="F2067"/>
      <c r="G2067"/>
      <c r="H2067"/>
      <c r="I2067"/>
      <c r="J2067"/>
      <c r="K2067"/>
      <c r="L2067"/>
      <c r="M2067"/>
      <c r="N2067"/>
      <c r="O2067"/>
      <c r="P2067" s="36"/>
      <c r="Q2067" s="37"/>
      <c r="R2067"/>
      <c r="S2067"/>
      <c r="T2067"/>
      <c r="U2067"/>
      <c r="V2067" s="39"/>
      <c r="W2067"/>
      <c r="X2067"/>
      <c r="Y2067"/>
      <c r="Z2067"/>
      <c r="AA2067"/>
    </row>
    <row r="2068" spans="1:27" x14ac:dyDescent="0.25">
      <c r="A2068"/>
      <c r="B2068" s="36"/>
      <c r="C2068" s="36"/>
      <c r="D2068"/>
      <c r="E2068"/>
      <c r="F2068"/>
      <c r="G2068"/>
      <c r="H2068"/>
      <c r="I2068"/>
      <c r="J2068"/>
      <c r="K2068"/>
      <c r="L2068"/>
      <c r="M2068"/>
      <c r="N2068"/>
      <c r="O2068"/>
      <c r="P2068" s="36"/>
      <c r="Q2068" s="37"/>
      <c r="R2068"/>
      <c r="S2068"/>
      <c r="T2068"/>
      <c r="U2068"/>
      <c r="V2068" s="39"/>
      <c r="W2068"/>
      <c r="X2068"/>
      <c r="Y2068"/>
      <c r="Z2068"/>
      <c r="AA2068"/>
    </row>
    <row r="2069" spans="1:27" x14ac:dyDescent="0.25">
      <c r="A2069"/>
      <c r="B2069" s="36"/>
      <c r="C2069" s="36"/>
      <c r="D2069"/>
      <c r="E2069"/>
      <c r="F2069"/>
      <c r="G2069"/>
      <c r="H2069"/>
      <c r="I2069"/>
      <c r="J2069"/>
      <c r="K2069"/>
      <c r="L2069"/>
      <c r="M2069"/>
      <c r="N2069"/>
      <c r="O2069"/>
      <c r="P2069" s="36"/>
      <c r="Q2069" s="37"/>
      <c r="R2069"/>
      <c r="S2069"/>
      <c r="T2069"/>
      <c r="U2069"/>
      <c r="V2069" s="39"/>
      <c r="W2069"/>
      <c r="X2069"/>
      <c r="Y2069"/>
      <c r="Z2069"/>
      <c r="AA2069"/>
    </row>
    <row r="2070" spans="1:27" x14ac:dyDescent="0.25">
      <c r="A2070"/>
      <c r="B2070" s="36"/>
      <c r="C2070" s="36"/>
      <c r="D2070"/>
      <c r="E2070"/>
      <c r="F2070"/>
      <c r="G2070"/>
      <c r="H2070"/>
      <c r="I2070"/>
      <c r="J2070"/>
      <c r="K2070"/>
      <c r="L2070"/>
      <c r="M2070"/>
      <c r="N2070"/>
      <c r="O2070"/>
      <c r="P2070" s="36"/>
      <c r="Q2070" s="37"/>
      <c r="R2070"/>
      <c r="S2070"/>
      <c r="T2070"/>
      <c r="U2070"/>
      <c r="V2070" s="39"/>
      <c r="W2070"/>
      <c r="X2070"/>
      <c r="Y2070"/>
      <c r="Z2070"/>
      <c r="AA2070"/>
    </row>
    <row r="2071" spans="1:27" x14ac:dyDescent="0.25">
      <c r="A2071"/>
      <c r="B2071" s="36"/>
      <c r="C2071" s="36"/>
      <c r="D2071"/>
      <c r="E2071"/>
      <c r="F2071"/>
      <c r="G2071"/>
      <c r="H2071"/>
      <c r="I2071"/>
      <c r="J2071"/>
      <c r="K2071"/>
      <c r="L2071"/>
      <c r="M2071"/>
      <c r="N2071"/>
      <c r="O2071"/>
      <c r="P2071" s="36"/>
      <c r="Q2071" s="37"/>
      <c r="R2071"/>
      <c r="S2071"/>
      <c r="T2071"/>
      <c r="U2071"/>
      <c r="V2071" s="39"/>
      <c r="W2071"/>
      <c r="X2071"/>
      <c r="Y2071"/>
      <c r="Z2071"/>
      <c r="AA2071"/>
    </row>
    <row r="2072" spans="1:27" x14ac:dyDescent="0.25">
      <c r="A2072"/>
      <c r="B2072" s="36"/>
      <c r="C2072" s="36"/>
      <c r="D2072"/>
      <c r="E2072"/>
      <c r="F2072"/>
      <c r="G2072"/>
      <c r="H2072"/>
      <c r="I2072"/>
      <c r="J2072"/>
      <c r="K2072"/>
      <c r="L2072"/>
      <c r="M2072"/>
      <c r="N2072"/>
      <c r="O2072"/>
      <c r="P2072" s="36"/>
      <c r="Q2072" s="37"/>
      <c r="R2072"/>
      <c r="S2072"/>
      <c r="T2072"/>
      <c r="U2072"/>
      <c r="V2072" s="39"/>
      <c r="W2072"/>
      <c r="X2072"/>
      <c r="Y2072"/>
      <c r="Z2072"/>
      <c r="AA2072"/>
    </row>
    <row r="2073" spans="1:27" x14ac:dyDescent="0.25">
      <c r="A2073"/>
      <c r="B2073" s="36"/>
      <c r="C2073" s="36"/>
      <c r="D2073"/>
      <c r="E2073"/>
      <c r="F2073"/>
      <c r="G2073"/>
      <c r="H2073"/>
      <c r="I2073"/>
      <c r="J2073"/>
      <c r="K2073"/>
      <c r="L2073"/>
      <c r="M2073"/>
      <c r="N2073"/>
      <c r="O2073"/>
      <c r="P2073" s="36"/>
      <c r="Q2073" s="37"/>
      <c r="R2073"/>
      <c r="S2073"/>
      <c r="T2073"/>
      <c r="U2073"/>
      <c r="V2073" s="39"/>
      <c r="W2073"/>
      <c r="X2073"/>
      <c r="Y2073"/>
      <c r="Z2073"/>
      <c r="AA2073"/>
    </row>
    <row r="2074" spans="1:27" x14ac:dyDescent="0.25">
      <c r="A2074"/>
      <c r="B2074" s="36"/>
      <c r="C2074" s="36"/>
      <c r="D2074"/>
      <c r="E2074"/>
      <c r="F2074"/>
      <c r="G2074"/>
      <c r="H2074"/>
      <c r="I2074"/>
      <c r="J2074"/>
      <c r="K2074"/>
      <c r="L2074"/>
      <c r="M2074"/>
      <c r="N2074"/>
      <c r="O2074"/>
      <c r="P2074" s="36"/>
      <c r="Q2074" s="37"/>
      <c r="R2074"/>
      <c r="S2074"/>
      <c r="T2074"/>
      <c r="U2074"/>
      <c r="V2074" s="39"/>
      <c r="W2074"/>
      <c r="X2074"/>
      <c r="Y2074"/>
      <c r="Z2074"/>
      <c r="AA2074"/>
    </row>
    <row r="2075" spans="1:27" x14ac:dyDescent="0.25">
      <c r="A2075"/>
      <c r="B2075" s="36"/>
      <c r="C2075" s="36"/>
      <c r="D2075"/>
      <c r="E2075"/>
      <c r="F2075"/>
      <c r="G2075"/>
      <c r="H2075"/>
      <c r="I2075"/>
      <c r="J2075"/>
      <c r="K2075"/>
      <c r="L2075"/>
      <c r="M2075"/>
      <c r="N2075"/>
      <c r="O2075"/>
      <c r="P2075" s="36"/>
      <c r="Q2075" s="37"/>
      <c r="R2075"/>
      <c r="S2075"/>
      <c r="T2075"/>
      <c r="U2075"/>
      <c r="V2075" s="39"/>
      <c r="W2075"/>
      <c r="X2075"/>
      <c r="Y2075"/>
      <c r="Z2075"/>
      <c r="AA2075"/>
    </row>
    <row r="2076" spans="1:27" x14ac:dyDescent="0.25">
      <c r="A2076"/>
      <c r="B2076" s="36"/>
      <c r="C2076" s="36"/>
      <c r="D2076"/>
      <c r="E2076"/>
      <c r="F2076"/>
      <c r="G2076"/>
      <c r="H2076"/>
      <c r="I2076"/>
      <c r="J2076"/>
      <c r="K2076"/>
      <c r="L2076"/>
      <c r="M2076"/>
      <c r="N2076"/>
      <c r="O2076"/>
      <c r="P2076" s="36"/>
      <c r="Q2076" s="37"/>
      <c r="R2076"/>
      <c r="S2076"/>
      <c r="T2076"/>
      <c r="U2076"/>
      <c r="V2076" s="39"/>
      <c r="W2076"/>
      <c r="X2076"/>
      <c r="Y2076"/>
      <c r="Z2076"/>
      <c r="AA2076"/>
    </row>
    <row r="2077" spans="1:27" x14ac:dyDescent="0.25">
      <c r="A2077"/>
      <c r="B2077" s="36"/>
      <c r="C2077" s="36"/>
      <c r="D2077"/>
      <c r="E2077"/>
      <c r="F2077"/>
      <c r="G2077"/>
      <c r="H2077"/>
      <c r="I2077"/>
      <c r="J2077"/>
      <c r="K2077"/>
      <c r="L2077"/>
      <c r="M2077"/>
      <c r="N2077"/>
      <c r="O2077"/>
      <c r="P2077" s="36"/>
      <c r="Q2077" s="37"/>
      <c r="R2077"/>
      <c r="S2077"/>
      <c r="T2077"/>
      <c r="U2077"/>
      <c r="V2077" s="39"/>
      <c r="W2077"/>
      <c r="X2077"/>
      <c r="Y2077"/>
      <c r="Z2077"/>
      <c r="AA2077"/>
    </row>
    <row r="2078" spans="1:27" x14ac:dyDescent="0.25">
      <c r="A2078"/>
      <c r="B2078" s="36"/>
      <c r="C2078" s="36"/>
      <c r="D2078"/>
      <c r="E2078"/>
      <c r="F2078"/>
      <c r="G2078"/>
      <c r="H2078"/>
      <c r="I2078"/>
      <c r="J2078"/>
      <c r="K2078"/>
      <c r="L2078"/>
      <c r="M2078"/>
      <c r="N2078"/>
      <c r="O2078"/>
      <c r="P2078" s="36"/>
      <c r="Q2078" s="37"/>
      <c r="R2078"/>
      <c r="S2078"/>
      <c r="T2078"/>
      <c r="U2078"/>
      <c r="V2078" s="39"/>
      <c r="W2078"/>
      <c r="X2078"/>
      <c r="Y2078"/>
      <c r="Z2078"/>
      <c r="AA2078"/>
    </row>
    <row r="2079" spans="1:27" x14ac:dyDescent="0.25">
      <c r="A2079"/>
      <c r="B2079" s="36"/>
      <c r="C2079" s="36"/>
      <c r="D2079"/>
      <c r="E2079"/>
      <c r="F2079"/>
      <c r="G2079"/>
      <c r="H2079"/>
      <c r="I2079"/>
      <c r="J2079"/>
      <c r="K2079"/>
      <c r="L2079"/>
      <c r="M2079"/>
      <c r="N2079"/>
      <c r="O2079"/>
      <c r="P2079" s="36"/>
      <c r="Q2079" s="37"/>
      <c r="R2079"/>
      <c r="S2079"/>
      <c r="T2079"/>
      <c r="U2079"/>
      <c r="V2079" s="39"/>
      <c r="W2079"/>
      <c r="X2079"/>
      <c r="Y2079"/>
      <c r="Z2079"/>
      <c r="AA2079"/>
    </row>
    <row r="2080" spans="1:27" x14ac:dyDescent="0.25">
      <c r="A2080"/>
      <c r="B2080" s="36"/>
      <c r="C2080" s="36"/>
      <c r="D2080"/>
      <c r="E2080"/>
      <c r="F2080"/>
      <c r="G2080"/>
      <c r="H2080"/>
      <c r="I2080"/>
      <c r="J2080"/>
      <c r="K2080"/>
      <c r="L2080"/>
      <c r="M2080"/>
      <c r="N2080"/>
      <c r="O2080"/>
      <c r="P2080" s="36"/>
      <c r="Q2080" s="37"/>
      <c r="R2080"/>
      <c r="S2080"/>
      <c r="T2080"/>
      <c r="U2080"/>
      <c r="V2080" s="39"/>
      <c r="W2080"/>
      <c r="X2080"/>
      <c r="Y2080"/>
      <c r="Z2080"/>
      <c r="AA2080"/>
    </row>
    <row r="2081" spans="1:27" x14ac:dyDescent="0.25">
      <c r="A2081"/>
      <c r="B2081" s="36"/>
      <c r="C2081" s="36"/>
      <c r="D2081"/>
      <c r="E2081"/>
      <c r="F2081"/>
      <c r="G2081"/>
      <c r="H2081"/>
      <c r="I2081"/>
      <c r="J2081"/>
      <c r="K2081"/>
      <c r="L2081"/>
      <c r="M2081"/>
      <c r="N2081"/>
      <c r="O2081"/>
      <c r="P2081" s="36"/>
      <c r="Q2081" s="37"/>
      <c r="R2081"/>
      <c r="S2081"/>
      <c r="T2081"/>
      <c r="U2081"/>
      <c r="V2081" s="39"/>
      <c r="W2081"/>
      <c r="X2081"/>
      <c r="Y2081"/>
      <c r="Z2081"/>
      <c r="AA2081"/>
    </row>
    <row r="2082" spans="1:27" x14ac:dyDescent="0.25">
      <c r="A2082"/>
      <c r="B2082" s="36"/>
      <c r="C2082" s="36"/>
      <c r="D2082"/>
      <c r="E2082"/>
      <c r="F2082"/>
      <c r="G2082"/>
      <c r="H2082"/>
      <c r="I2082"/>
      <c r="J2082"/>
      <c r="K2082"/>
      <c r="L2082"/>
      <c r="M2082"/>
      <c r="N2082"/>
      <c r="O2082"/>
      <c r="P2082" s="36"/>
      <c r="Q2082" s="37"/>
      <c r="R2082"/>
      <c r="S2082"/>
      <c r="T2082"/>
      <c r="U2082"/>
      <c r="V2082" s="39"/>
      <c r="W2082"/>
      <c r="X2082"/>
      <c r="Y2082"/>
      <c r="Z2082"/>
      <c r="AA2082"/>
    </row>
    <row r="2083" spans="1:27" x14ac:dyDescent="0.25">
      <c r="A2083"/>
      <c r="B2083" s="36"/>
      <c r="C2083" s="36"/>
      <c r="D2083"/>
      <c r="E2083"/>
      <c r="F2083"/>
      <c r="G2083"/>
      <c r="H2083"/>
      <c r="I2083"/>
      <c r="J2083"/>
      <c r="K2083"/>
      <c r="L2083"/>
      <c r="M2083"/>
      <c r="N2083"/>
      <c r="O2083"/>
      <c r="P2083" s="36"/>
      <c r="Q2083" s="37"/>
      <c r="R2083"/>
      <c r="S2083"/>
      <c r="T2083"/>
      <c r="U2083"/>
      <c r="V2083" s="39"/>
      <c r="W2083"/>
      <c r="X2083"/>
      <c r="Y2083"/>
      <c r="Z2083"/>
      <c r="AA2083"/>
    </row>
    <row r="2084" spans="1:27" x14ac:dyDescent="0.25">
      <c r="A2084"/>
      <c r="B2084" s="36"/>
      <c r="C2084" s="36"/>
      <c r="D2084"/>
      <c r="E2084"/>
      <c r="F2084"/>
      <c r="G2084"/>
      <c r="H2084"/>
      <c r="I2084"/>
      <c r="J2084"/>
      <c r="K2084"/>
      <c r="L2084"/>
      <c r="M2084"/>
      <c r="N2084"/>
      <c r="O2084"/>
      <c r="P2084" s="36"/>
      <c r="Q2084" s="37"/>
      <c r="R2084"/>
      <c r="S2084"/>
      <c r="T2084"/>
      <c r="U2084"/>
      <c r="V2084" s="39"/>
      <c r="W2084"/>
      <c r="X2084"/>
      <c r="Y2084"/>
      <c r="Z2084"/>
      <c r="AA2084"/>
    </row>
    <row r="2085" spans="1:27" x14ac:dyDescent="0.25">
      <c r="A2085"/>
      <c r="B2085" s="36"/>
      <c r="C2085" s="36"/>
      <c r="D2085"/>
      <c r="E2085"/>
      <c r="F2085"/>
      <c r="G2085"/>
      <c r="H2085"/>
      <c r="I2085"/>
      <c r="J2085"/>
      <c r="K2085"/>
      <c r="L2085"/>
      <c r="M2085"/>
      <c r="N2085"/>
      <c r="O2085"/>
      <c r="P2085" s="36"/>
      <c r="Q2085" s="37"/>
      <c r="R2085"/>
      <c r="S2085"/>
      <c r="T2085"/>
      <c r="U2085"/>
      <c r="V2085" s="39"/>
      <c r="W2085"/>
      <c r="X2085"/>
      <c r="Y2085"/>
      <c r="Z2085"/>
      <c r="AA2085"/>
    </row>
    <row r="2086" spans="1:27" x14ac:dyDescent="0.25">
      <c r="A2086"/>
      <c r="B2086" s="36"/>
      <c r="C2086" s="36"/>
      <c r="D2086"/>
      <c r="E2086"/>
      <c r="F2086"/>
      <c r="G2086"/>
      <c r="H2086"/>
      <c r="I2086"/>
      <c r="J2086"/>
      <c r="K2086"/>
      <c r="L2086"/>
      <c r="M2086"/>
      <c r="N2086"/>
      <c r="O2086"/>
      <c r="P2086" s="36"/>
      <c r="Q2086" s="37"/>
      <c r="R2086"/>
      <c r="S2086"/>
      <c r="T2086"/>
      <c r="U2086"/>
      <c r="V2086" s="39"/>
      <c r="W2086"/>
      <c r="X2086"/>
      <c r="Y2086"/>
      <c r="Z2086"/>
      <c r="AA2086"/>
    </row>
    <row r="2087" spans="1:27" x14ac:dyDescent="0.25">
      <c r="A2087"/>
      <c r="B2087" s="36"/>
      <c r="C2087" s="36"/>
      <c r="D2087"/>
      <c r="E2087"/>
      <c r="F2087"/>
      <c r="G2087"/>
      <c r="H2087"/>
      <c r="I2087"/>
      <c r="J2087"/>
      <c r="K2087"/>
      <c r="L2087"/>
      <c r="M2087"/>
      <c r="N2087"/>
      <c r="O2087"/>
      <c r="P2087" s="36"/>
      <c r="Q2087" s="37"/>
      <c r="R2087"/>
      <c r="S2087"/>
      <c r="T2087"/>
      <c r="U2087"/>
      <c r="V2087" s="39"/>
      <c r="W2087"/>
      <c r="X2087"/>
      <c r="Y2087"/>
      <c r="Z2087"/>
      <c r="AA2087"/>
    </row>
    <row r="2088" spans="1:27" x14ac:dyDescent="0.25">
      <c r="A2088"/>
      <c r="B2088" s="36"/>
      <c r="C2088" s="36"/>
      <c r="D2088"/>
      <c r="E2088"/>
      <c r="F2088"/>
      <c r="G2088"/>
      <c r="H2088"/>
      <c r="I2088"/>
      <c r="J2088"/>
      <c r="K2088"/>
      <c r="L2088"/>
      <c r="M2088"/>
      <c r="N2088"/>
      <c r="O2088"/>
      <c r="P2088" s="36"/>
      <c r="Q2088" s="37"/>
      <c r="R2088"/>
      <c r="S2088"/>
      <c r="T2088"/>
      <c r="U2088"/>
      <c r="V2088" s="39"/>
      <c r="W2088"/>
      <c r="X2088"/>
      <c r="Y2088"/>
      <c r="Z2088"/>
      <c r="AA2088"/>
    </row>
    <row r="2089" spans="1:27" x14ac:dyDescent="0.25">
      <c r="A2089"/>
      <c r="B2089" s="36"/>
      <c r="C2089" s="36"/>
      <c r="D2089"/>
      <c r="E2089"/>
      <c r="F2089"/>
      <c r="G2089"/>
      <c r="H2089"/>
      <c r="I2089"/>
      <c r="J2089"/>
      <c r="K2089"/>
      <c r="L2089"/>
      <c r="M2089"/>
      <c r="N2089"/>
      <c r="O2089"/>
      <c r="P2089" s="36"/>
      <c r="Q2089" s="37"/>
      <c r="R2089"/>
      <c r="S2089"/>
      <c r="T2089"/>
      <c r="U2089"/>
      <c r="V2089" s="39"/>
      <c r="W2089"/>
      <c r="X2089"/>
      <c r="Y2089"/>
      <c r="Z2089"/>
      <c r="AA2089"/>
    </row>
    <row r="2090" spans="1:27" x14ac:dyDescent="0.25">
      <c r="A2090"/>
      <c r="B2090" s="36"/>
      <c r="C2090" s="36"/>
      <c r="D2090"/>
      <c r="E2090"/>
      <c r="F2090"/>
      <c r="G2090"/>
      <c r="H2090"/>
      <c r="I2090"/>
      <c r="J2090"/>
      <c r="K2090"/>
      <c r="L2090"/>
      <c r="M2090"/>
      <c r="N2090"/>
      <c r="O2090"/>
      <c r="P2090" s="36"/>
      <c r="Q2090" s="37"/>
      <c r="R2090"/>
      <c r="S2090"/>
      <c r="T2090"/>
      <c r="U2090"/>
      <c r="V2090" s="39"/>
      <c r="W2090"/>
      <c r="X2090"/>
      <c r="Y2090"/>
      <c r="Z2090"/>
      <c r="AA2090"/>
    </row>
    <row r="2091" spans="1:27" x14ac:dyDescent="0.25">
      <c r="A2091"/>
      <c r="B2091" s="36"/>
      <c r="C2091" s="36"/>
      <c r="D2091"/>
      <c r="E2091"/>
      <c r="F2091"/>
      <c r="G2091"/>
      <c r="H2091"/>
      <c r="I2091"/>
      <c r="J2091"/>
      <c r="K2091"/>
      <c r="L2091"/>
      <c r="M2091"/>
      <c r="N2091"/>
      <c r="O2091"/>
      <c r="P2091" s="36"/>
      <c r="Q2091" s="37"/>
      <c r="R2091"/>
      <c r="S2091"/>
      <c r="T2091"/>
      <c r="U2091"/>
      <c r="V2091" s="39"/>
      <c r="W2091"/>
      <c r="X2091"/>
      <c r="Y2091"/>
      <c r="Z2091"/>
      <c r="AA2091"/>
    </row>
    <row r="2092" spans="1:27" x14ac:dyDescent="0.25">
      <c r="A2092"/>
      <c r="B2092" s="36"/>
      <c r="C2092" s="36"/>
      <c r="D2092"/>
      <c r="E2092"/>
      <c r="F2092"/>
      <c r="G2092"/>
      <c r="H2092"/>
      <c r="I2092"/>
      <c r="J2092"/>
      <c r="K2092"/>
      <c r="L2092"/>
      <c r="M2092"/>
      <c r="N2092"/>
      <c r="O2092"/>
      <c r="P2092" s="36"/>
      <c r="Q2092" s="37"/>
      <c r="R2092"/>
      <c r="S2092"/>
      <c r="T2092"/>
      <c r="U2092"/>
      <c r="V2092" s="39"/>
      <c r="W2092"/>
      <c r="X2092"/>
      <c r="Y2092"/>
      <c r="Z2092"/>
      <c r="AA2092"/>
    </row>
    <row r="2093" spans="1:27" x14ac:dyDescent="0.25">
      <c r="A2093"/>
      <c r="B2093" s="36"/>
      <c r="C2093" s="36"/>
      <c r="D2093"/>
      <c r="E2093"/>
      <c r="F2093"/>
      <c r="G2093"/>
      <c r="H2093"/>
      <c r="I2093"/>
      <c r="J2093"/>
      <c r="K2093"/>
      <c r="L2093"/>
      <c r="M2093"/>
      <c r="N2093"/>
      <c r="O2093"/>
      <c r="P2093" s="36"/>
      <c r="Q2093" s="37"/>
      <c r="R2093"/>
      <c r="S2093"/>
      <c r="T2093"/>
      <c r="U2093"/>
      <c r="V2093" s="39"/>
      <c r="W2093"/>
      <c r="X2093"/>
      <c r="Y2093"/>
      <c r="Z2093"/>
      <c r="AA2093"/>
    </row>
    <row r="2094" spans="1:27" x14ac:dyDescent="0.25">
      <c r="A2094"/>
      <c r="B2094" s="36"/>
      <c r="C2094" s="36"/>
      <c r="D2094"/>
      <c r="E2094"/>
      <c r="F2094"/>
      <c r="G2094"/>
      <c r="H2094"/>
      <c r="I2094"/>
      <c r="J2094"/>
      <c r="K2094"/>
      <c r="L2094"/>
      <c r="M2094"/>
      <c r="N2094"/>
      <c r="O2094"/>
      <c r="P2094" s="36"/>
      <c r="Q2094" s="37"/>
      <c r="R2094"/>
      <c r="S2094"/>
      <c r="T2094"/>
      <c r="U2094"/>
      <c r="V2094" s="39"/>
      <c r="W2094"/>
      <c r="X2094"/>
      <c r="Y2094"/>
      <c r="Z2094"/>
      <c r="AA2094"/>
    </row>
    <row r="2095" spans="1:27" x14ac:dyDescent="0.25">
      <c r="A2095"/>
      <c r="B2095" s="36"/>
      <c r="C2095" s="36"/>
      <c r="D2095"/>
      <c r="E2095"/>
      <c r="F2095"/>
      <c r="G2095"/>
      <c r="H2095"/>
      <c r="I2095"/>
      <c r="J2095"/>
      <c r="K2095"/>
      <c r="L2095"/>
      <c r="M2095"/>
      <c r="N2095"/>
      <c r="O2095"/>
      <c r="P2095" s="36"/>
      <c r="Q2095" s="37"/>
      <c r="R2095"/>
      <c r="S2095"/>
      <c r="T2095"/>
      <c r="U2095"/>
      <c r="V2095" s="39"/>
      <c r="W2095"/>
      <c r="X2095"/>
      <c r="Y2095"/>
      <c r="Z2095"/>
      <c r="AA2095"/>
    </row>
    <row r="2096" spans="1:27" x14ac:dyDescent="0.25">
      <c r="A2096"/>
      <c r="B2096" s="36"/>
      <c r="C2096" s="36"/>
      <c r="D2096"/>
      <c r="E2096"/>
      <c r="F2096"/>
      <c r="G2096"/>
      <c r="H2096"/>
      <c r="I2096"/>
      <c r="J2096"/>
      <c r="K2096"/>
      <c r="L2096"/>
      <c r="M2096"/>
      <c r="N2096"/>
      <c r="O2096"/>
      <c r="P2096" s="36"/>
      <c r="Q2096" s="37"/>
      <c r="R2096"/>
      <c r="S2096"/>
      <c r="T2096"/>
      <c r="U2096"/>
      <c r="V2096" s="39"/>
      <c r="W2096"/>
      <c r="X2096"/>
      <c r="Y2096"/>
      <c r="Z2096"/>
      <c r="AA2096"/>
    </row>
    <row r="2097" spans="1:27" x14ac:dyDescent="0.25">
      <c r="A2097"/>
      <c r="B2097" s="36"/>
      <c r="C2097" s="36"/>
      <c r="D2097"/>
      <c r="E2097"/>
      <c r="F2097"/>
      <c r="G2097"/>
      <c r="H2097"/>
      <c r="I2097"/>
      <c r="J2097"/>
      <c r="K2097"/>
      <c r="L2097"/>
      <c r="M2097"/>
      <c r="N2097"/>
      <c r="O2097"/>
      <c r="P2097" s="36"/>
      <c r="Q2097" s="37"/>
      <c r="R2097"/>
      <c r="S2097"/>
      <c r="T2097"/>
      <c r="U2097"/>
      <c r="V2097" s="39"/>
      <c r="W2097"/>
      <c r="X2097"/>
      <c r="Y2097"/>
      <c r="Z2097"/>
      <c r="AA2097"/>
    </row>
    <row r="2098" spans="1:27" x14ac:dyDescent="0.25">
      <c r="A2098"/>
      <c r="B2098" s="36"/>
      <c r="C2098" s="36"/>
      <c r="D2098"/>
      <c r="E2098"/>
      <c r="F2098"/>
      <c r="G2098"/>
      <c r="H2098"/>
      <c r="I2098"/>
      <c r="J2098"/>
      <c r="K2098"/>
      <c r="L2098"/>
      <c r="M2098"/>
      <c r="N2098"/>
      <c r="O2098"/>
      <c r="P2098" s="36"/>
      <c r="Q2098" s="37"/>
      <c r="R2098"/>
      <c r="S2098"/>
      <c r="T2098"/>
      <c r="U2098"/>
      <c r="V2098" s="39"/>
      <c r="W2098"/>
      <c r="X2098"/>
      <c r="Y2098"/>
      <c r="Z2098"/>
      <c r="AA2098"/>
    </row>
    <row r="2099" spans="1:27" x14ac:dyDescent="0.25">
      <c r="A2099"/>
      <c r="B2099" s="36"/>
      <c r="C2099" s="36"/>
      <c r="D2099"/>
      <c r="E2099"/>
      <c r="F2099"/>
      <c r="G2099"/>
      <c r="H2099"/>
      <c r="I2099"/>
      <c r="J2099"/>
      <c r="K2099"/>
      <c r="L2099"/>
      <c r="M2099"/>
      <c r="N2099"/>
      <c r="O2099"/>
      <c r="P2099" s="36"/>
      <c r="Q2099" s="37"/>
      <c r="R2099"/>
      <c r="S2099"/>
      <c r="T2099"/>
      <c r="U2099"/>
      <c r="V2099" s="39"/>
      <c r="W2099"/>
      <c r="X2099"/>
      <c r="Y2099"/>
      <c r="Z2099"/>
      <c r="AA2099"/>
    </row>
    <row r="2100" spans="1:27" x14ac:dyDescent="0.25">
      <c r="A2100"/>
      <c r="B2100" s="36"/>
      <c r="C2100" s="36"/>
      <c r="D2100"/>
      <c r="E2100"/>
      <c r="F2100"/>
      <c r="G2100"/>
      <c r="H2100"/>
      <c r="I2100"/>
      <c r="J2100"/>
      <c r="K2100"/>
      <c r="L2100"/>
      <c r="M2100"/>
      <c r="N2100"/>
      <c r="O2100"/>
      <c r="P2100" s="36"/>
      <c r="Q2100" s="37"/>
      <c r="R2100"/>
      <c r="S2100"/>
      <c r="T2100"/>
      <c r="U2100"/>
      <c r="V2100" s="39"/>
      <c r="W2100"/>
      <c r="X2100"/>
      <c r="Y2100"/>
      <c r="Z2100"/>
      <c r="AA2100"/>
    </row>
    <row r="2101" spans="1:27" x14ac:dyDescent="0.25">
      <c r="A2101"/>
      <c r="B2101" s="36"/>
      <c r="C2101" s="36"/>
      <c r="D2101"/>
      <c r="E2101"/>
      <c r="F2101"/>
      <c r="G2101"/>
      <c r="H2101"/>
      <c r="I2101"/>
      <c r="J2101"/>
      <c r="K2101"/>
      <c r="L2101"/>
      <c r="M2101"/>
      <c r="N2101"/>
      <c r="O2101"/>
      <c r="P2101" s="36"/>
      <c r="Q2101" s="37"/>
      <c r="R2101"/>
      <c r="S2101"/>
      <c r="T2101"/>
      <c r="U2101"/>
      <c r="V2101" s="39"/>
      <c r="W2101"/>
      <c r="X2101"/>
      <c r="Y2101"/>
      <c r="Z2101"/>
      <c r="AA2101"/>
    </row>
    <row r="2102" spans="1:27" x14ac:dyDescent="0.25">
      <c r="A2102"/>
      <c r="B2102" s="36"/>
      <c r="C2102" s="36"/>
      <c r="D2102"/>
      <c r="E2102"/>
      <c r="F2102"/>
      <c r="G2102"/>
      <c r="H2102"/>
      <c r="I2102"/>
      <c r="J2102"/>
      <c r="K2102"/>
      <c r="L2102"/>
      <c r="M2102"/>
      <c r="N2102"/>
      <c r="O2102"/>
      <c r="P2102" s="36"/>
      <c r="Q2102" s="37"/>
      <c r="R2102"/>
      <c r="S2102"/>
      <c r="T2102"/>
      <c r="U2102"/>
      <c r="V2102" s="39"/>
      <c r="W2102"/>
      <c r="X2102"/>
      <c r="Y2102"/>
      <c r="Z2102"/>
      <c r="AA2102"/>
    </row>
    <row r="2103" spans="1:27" x14ac:dyDescent="0.25">
      <c r="A2103"/>
      <c r="B2103" s="36"/>
      <c r="C2103" s="36"/>
      <c r="D2103"/>
      <c r="E2103"/>
      <c r="F2103"/>
      <c r="G2103"/>
      <c r="H2103"/>
      <c r="I2103"/>
      <c r="J2103"/>
      <c r="K2103"/>
      <c r="L2103"/>
      <c r="M2103"/>
      <c r="N2103"/>
      <c r="O2103"/>
      <c r="P2103" s="36"/>
      <c r="Q2103" s="37"/>
      <c r="R2103"/>
      <c r="S2103"/>
      <c r="T2103"/>
      <c r="U2103"/>
      <c r="V2103" s="39"/>
      <c r="W2103"/>
      <c r="X2103"/>
      <c r="Y2103"/>
      <c r="Z2103"/>
      <c r="AA2103"/>
    </row>
    <row r="2104" spans="1:27" x14ac:dyDescent="0.25">
      <c r="A2104"/>
      <c r="B2104" s="36"/>
      <c r="C2104" s="36"/>
      <c r="D2104"/>
      <c r="E2104"/>
      <c r="F2104"/>
      <c r="G2104"/>
      <c r="H2104"/>
      <c r="I2104"/>
      <c r="J2104"/>
      <c r="K2104"/>
      <c r="L2104"/>
      <c r="M2104"/>
      <c r="N2104"/>
      <c r="O2104"/>
      <c r="P2104" s="36"/>
      <c r="Q2104" s="37"/>
      <c r="R2104"/>
      <c r="S2104"/>
      <c r="T2104"/>
      <c r="U2104"/>
      <c r="V2104" s="39"/>
      <c r="W2104"/>
      <c r="X2104"/>
      <c r="Y2104"/>
      <c r="Z2104"/>
      <c r="AA2104"/>
    </row>
    <row r="2105" spans="1:27" x14ac:dyDescent="0.25">
      <c r="A2105"/>
      <c r="B2105" s="36"/>
      <c r="C2105" s="36"/>
      <c r="D2105"/>
      <c r="E2105"/>
      <c r="F2105"/>
      <c r="G2105"/>
      <c r="H2105"/>
      <c r="I2105"/>
      <c r="J2105"/>
      <c r="K2105"/>
      <c r="L2105"/>
      <c r="M2105"/>
      <c r="N2105"/>
      <c r="O2105"/>
      <c r="P2105" s="36"/>
      <c r="Q2105" s="37"/>
      <c r="R2105"/>
      <c r="S2105"/>
      <c r="T2105"/>
      <c r="U2105"/>
      <c r="V2105" s="39"/>
      <c r="W2105"/>
      <c r="X2105"/>
      <c r="Y2105"/>
      <c r="Z2105"/>
      <c r="AA2105"/>
    </row>
    <row r="2106" spans="1:27" x14ac:dyDescent="0.25">
      <c r="A2106"/>
      <c r="B2106" s="36"/>
      <c r="C2106" s="36"/>
      <c r="D2106"/>
      <c r="E2106"/>
      <c r="F2106"/>
      <c r="G2106"/>
      <c r="H2106"/>
      <c r="I2106"/>
      <c r="J2106"/>
      <c r="K2106"/>
      <c r="L2106"/>
      <c r="M2106"/>
      <c r="N2106"/>
      <c r="O2106"/>
      <c r="P2106" s="36"/>
      <c r="Q2106" s="37"/>
      <c r="R2106"/>
      <c r="S2106"/>
      <c r="T2106"/>
      <c r="U2106"/>
      <c r="V2106" s="39"/>
      <c r="W2106"/>
      <c r="X2106"/>
      <c r="Y2106"/>
      <c r="Z2106"/>
      <c r="AA2106"/>
    </row>
    <row r="2107" spans="1:27" x14ac:dyDescent="0.25">
      <c r="A2107"/>
      <c r="B2107" s="36"/>
      <c r="C2107" s="36"/>
      <c r="D2107"/>
      <c r="E2107"/>
      <c r="F2107"/>
      <c r="G2107"/>
      <c r="H2107"/>
      <c r="I2107"/>
      <c r="J2107"/>
      <c r="K2107"/>
      <c r="L2107"/>
      <c r="M2107"/>
      <c r="N2107"/>
      <c r="O2107"/>
      <c r="P2107" s="36"/>
      <c r="Q2107" s="37"/>
      <c r="R2107"/>
      <c r="S2107"/>
      <c r="T2107"/>
      <c r="U2107"/>
      <c r="V2107" s="39"/>
      <c r="W2107"/>
      <c r="X2107"/>
      <c r="Y2107"/>
      <c r="Z2107"/>
      <c r="AA2107"/>
    </row>
    <row r="2108" spans="1:27" x14ac:dyDescent="0.25">
      <c r="A2108"/>
      <c r="B2108" s="36"/>
      <c r="C2108" s="36"/>
      <c r="D2108"/>
      <c r="E2108"/>
      <c r="F2108"/>
      <c r="G2108"/>
      <c r="H2108"/>
      <c r="I2108"/>
      <c r="J2108"/>
      <c r="K2108"/>
      <c r="L2108"/>
      <c r="M2108"/>
      <c r="N2108"/>
      <c r="O2108"/>
      <c r="P2108" s="36"/>
      <c r="Q2108" s="37"/>
      <c r="R2108"/>
      <c r="S2108"/>
      <c r="T2108"/>
      <c r="U2108"/>
      <c r="V2108" s="39"/>
      <c r="W2108"/>
      <c r="X2108"/>
      <c r="Y2108"/>
      <c r="Z2108"/>
      <c r="AA2108"/>
    </row>
    <row r="2109" spans="1:27" x14ac:dyDescent="0.25">
      <c r="A2109"/>
      <c r="B2109" s="36"/>
      <c r="C2109" s="36"/>
      <c r="D2109"/>
      <c r="E2109"/>
      <c r="F2109"/>
      <c r="G2109"/>
      <c r="H2109"/>
      <c r="I2109"/>
      <c r="J2109"/>
      <c r="K2109"/>
      <c r="L2109"/>
      <c r="M2109"/>
      <c r="N2109"/>
      <c r="O2109"/>
      <c r="P2109" s="36"/>
      <c r="Q2109" s="37"/>
      <c r="R2109"/>
      <c r="S2109"/>
      <c r="T2109"/>
      <c r="U2109"/>
      <c r="V2109" s="39"/>
      <c r="W2109"/>
      <c r="X2109"/>
      <c r="Y2109"/>
      <c r="Z2109"/>
      <c r="AA2109"/>
    </row>
    <row r="2110" spans="1:27" x14ac:dyDescent="0.25">
      <c r="A2110"/>
      <c r="B2110" s="36"/>
      <c r="C2110" s="36"/>
      <c r="D2110"/>
      <c r="E2110"/>
      <c r="F2110"/>
      <c r="G2110"/>
      <c r="H2110"/>
      <c r="I2110"/>
      <c r="J2110"/>
      <c r="K2110"/>
      <c r="L2110"/>
      <c r="M2110"/>
      <c r="N2110"/>
      <c r="O2110"/>
      <c r="P2110" s="36"/>
      <c r="Q2110" s="37"/>
      <c r="R2110"/>
      <c r="S2110"/>
      <c r="T2110"/>
      <c r="U2110"/>
      <c r="V2110" s="39"/>
      <c r="W2110"/>
      <c r="X2110"/>
      <c r="Y2110"/>
      <c r="Z2110"/>
      <c r="AA2110"/>
    </row>
    <row r="2111" spans="1:27" x14ac:dyDescent="0.25">
      <c r="A2111"/>
      <c r="B2111" s="36"/>
      <c r="C2111" s="36"/>
      <c r="D2111"/>
      <c r="E2111"/>
      <c r="F2111"/>
      <c r="G2111"/>
      <c r="H2111"/>
      <c r="I2111"/>
      <c r="J2111"/>
      <c r="K2111"/>
      <c r="L2111"/>
      <c r="M2111"/>
      <c r="N2111"/>
      <c r="O2111"/>
      <c r="P2111" s="36"/>
      <c r="Q2111" s="37"/>
      <c r="R2111"/>
      <c r="S2111"/>
      <c r="T2111"/>
      <c r="U2111"/>
      <c r="V2111" s="39"/>
      <c r="W2111"/>
      <c r="X2111"/>
      <c r="Y2111"/>
      <c r="Z2111"/>
      <c r="AA2111"/>
    </row>
    <row r="2112" spans="1:27" x14ac:dyDescent="0.25">
      <c r="A2112"/>
      <c r="B2112" s="36"/>
      <c r="C2112" s="36"/>
      <c r="D2112"/>
      <c r="E2112"/>
      <c r="F2112"/>
      <c r="G2112"/>
      <c r="H2112"/>
      <c r="I2112"/>
      <c r="J2112"/>
      <c r="K2112"/>
      <c r="L2112"/>
      <c r="M2112"/>
      <c r="N2112"/>
      <c r="O2112"/>
      <c r="P2112" s="36"/>
      <c r="Q2112" s="37"/>
      <c r="R2112"/>
      <c r="S2112"/>
      <c r="T2112"/>
      <c r="U2112"/>
      <c r="V2112" s="39"/>
      <c r="W2112"/>
      <c r="X2112"/>
      <c r="Y2112"/>
      <c r="Z2112"/>
      <c r="AA2112"/>
    </row>
    <row r="2113" spans="1:27" x14ac:dyDescent="0.25">
      <c r="A2113"/>
      <c r="B2113" s="36"/>
      <c r="C2113" s="36"/>
      <c r="D2113"/>
      <c r="E2113"/>
      <c r="F2113"/>
      <c r="G2113"/>
      <c r="H2113"/>
      <c r="I2113"/>
      <c r="J2113"/>
      <c r="K2113"/>
      <c r="L2113"/>
      <c r="M2113"/>
      <c r="N2113"/>
      <c r="O2113"/>
      <c r="P2113" s="36"/>
      <c r="Q2113" s="37"/>
      <c r="R2113"/>
      <c r="S2113"/>
      <c r="T2113"/>
      <c r="U2113"/>
      <c r="V2113" s="39"/>
      <c r="W2113"/>
      <c r="X2113"/>
      <c r="Y2113"/>
      <c r="Z2113"/>
      <c r="AA2113"/>
    </row>
    <row r="2114" spans="1:27" x14ac:dyDescent="0.25">
      <c r="A2114"/>
      <c r="B2114" s="36"/>
      <c r="C2114" s="36"/>
      <c r="D2114"/>
      <c r="E2114"/>
      <c r="F2114"/>
      <c r="G2114"/>
      <c r="H2114"/>
      <c r="I2114"/>
      <c r="J2114"/>
      <c r="K2114"/>
      <c r="L2114"/>
      <c r="M2114"/>
      <c r="N2114"/>
      <c r="O2114"/>
      <c r="P2114" s="36"/>
      <c r="Q2114" s="37"/>
      <c r="R2114"/>
      <c r="S2114"/>
      <c r="T2114"/>
      <c r="U2114"/>
      <c r="V2114" s="39"/>
      <c r="W2114"/>
      <c r="X2114"/>
      <c r="Y2114"/>
      <c r="Z2114"/>
      <c r="AA2114"/>
    </row>
    <row r="2115" spans="1:27" x14ac:dyDescent="0.25">
      <c r="A2115"/>
      <c r="B2115" s="36"/>
      <c r="C2115" s="36"/>
      <c r="D2115"/>
      <c r="E2115"/>
      <c r="F2115"/>
      <c r="G2115"/>
      <c r="H2115"/>
      <c r="I2115"/>
      <c r="J2115"/>
      <c r="K2115"/>
      <c r="L2115"/>
      <c r="M2115"/>
      <c r="N2115"/>
      <c r="O2115"/>
      <c r="P2115" s="36"/>
      <c r="Q2115" s="37"/>
      <c r="R2115"/>
      <c r="S2115"/>
      <c r="T2115"/>
      <c r="U2115"/>
      <c r="V2115" s="39"/>
      <c r="W2115"/>
      <c r="X2115"/>
      <c r="Y2115"/>
      <c r="Z2115"/>
      <c r="AA2115"/>
    </row>
    <row r="2116" spans="1:27" x14ac:dyDescent="0.25">
      <c r="A2116"/>
      <c r="B2116" s="36"/>
      <c r="C2116" s="36"/>
      <c r="D2116"/>
      <c r="E2116"/>
      <c r="F2116"/>
      <c r="G2116"/>
      <c r="H2116"/>
      <c r="I2116"/>
      <c r="J2116"/>
      <c r="K2116"/>
      <c r="L2116"/>
      <c r="M2116"/>
      <c r="N2116"/>
      <c r="O2116"/>
      <c r="P2116" s="36"/>
      <c r="Q2116" s="37"/>
      <c r="R2116"/>
      <c r="S2116"/>
      <c r="T2116"/>
      <c r="U2116"/>
      <c r="V2116" s="39"/>
      <c r="W2116"/>
      <c r="X2116"/>
      <c r="Y2116"/>
      <c r="Z2116"/>
      <c r="AA2116"/>
    </row>
    <row r="2117" spans="1:27" x14ac:dyDescent="0.25">
      <c r="A2117"/>
      <c r="B2117" s="36"/>
      <c r="C2117" s="36"/>
      <c r="D2117"/>
      <c r="E2117"/>
      <c r="F2117"/>
      <c r="G2117"/>
      <c r="H2117"/>
      <c r="I2117"/>
      <c r="J2117"/>
      <c r="K2117"/>
      <c r="L2117"/>
      <c r="M2117"/>
      <c r="N2117"/>
      <c r="O2117"/>
      <c r="P2117" s="36"/>
      <c r="Q2117" s="37"/>
      <c r="R2117"/>
      <c r="S2117"/>
      <c r="T2117"/>
      <c r="U2117"/>
      <c r="V2117" s="39"/>
      <c r="W2117"/>
      <c r="X2117"/>
      <c r="Y2117"/>
      <c r="Z2117"/>
      <c r="AA2117"/>
    </row>
    <row r="2118" spans="1:27" x14ac:dyDescent="0.25">
      <c r="A2118"/>
      <c r="B2118" s="36"/>
      <c r="C2118" s="36"/>
      <c r="D2118"/>
      <c r="E2118"/>
      <c r="F2118"/>
      <c r="G2118"/>
      <c r="H2118"/>
      <c r="I2118"/>
      <c r="J2118"/>
      <c r="K2118"/>
      <c r="L2118"/>
      <c r="M2118"/>
      <c r="N2118"/>
      <c r="O2118"/>
      <c r="P2118" s="36"/>
      <c r="Q2118" s="37"/>
      <c r="R2118"/>
      <c r="S2118"/>
      <c r="T2118"/>
      <c r="U2118"/>
      <c r="V2118" s="39"/>
      <c r="W2118"/>
      <c r="X2118"/>
      <c r="Y2118"/>
      <c r="Z2118"/>
      <c r="AA2118"/>
    </row>
    <row r="2119" spans="1:27" x14ac:dyDescent="0.25">
      <c r="A2119"/>
      <c r="B2119" s="36"/>
      <c r="C2119" s="36"/>
      <c r="D2119"/>
      <c r="E2119"/>
      <c r="F2119"/>
      <c r="G2119"/>
      <c r="H2119"/>
      <c r="I2119"/>
      <c r="J2119"/>
      <c r="K2119"/>
      <c r="L2119"/>
      <c r="M2119"/>
      <c r="N2119"/>
      <c r="O2119"/>
      <c r="P2119" s="36"/>
      <c r="Q2119" s="37"/>
      <c r="R2119"/>
      <c r="S2119"/>
      <c r="T2119"/>
      <c r="U2119"/>
      <c r="V2119" s="39"/>
      <c r="W2119"/>
      <c r="X2119"/>
      <c r="Y2119"/>
      <c r="Z2119"/>
      <c r="AA2119"/>
    </row>
    <row r="2120" spans="1:27" x14ac:dyDescent="0.25">
      <c r="A2120"/>
      <c r="B2120" s="36"/>
      <c r="C2120" s="36"/>
      <c r="D2120"/>
      <c r="E2120"/>
      <c r="F2120"/>
      <c r="G2120"/>
      <c r="H2120"/>
      <c r="I2120"/>
      <c r="J2120"/>
      <c r="K2120"/>
      <c r="L2120"/>
      <c r="M2120"/>
      <c r="N2120"/>
      <c r="O2120"/>
      <c r="P2120" s="36"/>
      <c r="Q2120" s="37"/>
      <c r="R2120"/>
      <c r="S2120"/>
      <c r="T2120"/>
      <c r="U2120"/>
      <c r="V2120" s="39"/>
      <c r="W2120"/>
      <c r="X2120"/>
      <c r="Y2120"/>
      <c r="Z2120"/>
      <c r="AA2120"/>
    </row>
    <row r="2121" spans="1:27" x14ac:dyDescent="0.25">
      <c r="A2121"/>
      <c r="B2121" s="36"/>
      <c r="C2121" s="36"/>
      <c r="D2121"/>
      <c r="E2121"/>
      <c r="F2121"/>
      <c r="G2121"/>
      <c r="H2121"/>
      <c r="I2121"/>
      <c r="J2121"/>
      <c r="K2121"/>
      <c r="L2121"/>
      <c r="M2121"/>
      <c r="N2121"/>
      <c r="O2121"/>
      <c r="P2121" s="36"/>
      <c r="Q2121" s="37"/>
      <c r="R2121"/>
      <c r="S2121"/>
      <c r="T2121"/>
      <c r="U2121"/>
      <c r="V2121" s="39"/>
      <c r="W2121"/>
      <c r="X2121"/>
      <c r="Y2121"/>
      <c r="Z2121"/>
      <c r="AA2121"/>
    </row>
    <row r="2122" spans="1:27" x14ac:dyDescent="0.25">
      <c r="A2122"/>
      <c r="B2122" s="36"/>
      <c r="C2122" s="36"/>
      <c r="D2122"/>
      <c r="E2122"/>
      <c r="F2122"/>
      <c r="G2122"/>
      <c r="H2122"/>
      <c r="I2122"/>
      <c r="J2122"/>
      <c r="K2122"/>
      <c r="L2122"/>
      <c r="M2122"/>
      <c r="N2122"/>
      <c r="O2122"/>
      <c r="P2122" s="36"/>
      <c r="Q2122" s="37"/>
      <c r="R2122"/>
      <c r="S2122"/>
      <c r="T2122"/>
      <c r="U2122"/>
      <c r="V2122" s="39"/>
      <c r="W2122"/>
      <c r="X2122"/>
      <c r="Y2122"/>
      <c r="Z2122"/>
      <c r="AA2122"/>
    </row>
    <row r="2123" spans="1:27" x14ac:dyDescent="0.25">
      <c r="A2123"/>
      <c r="B2123" s="36"/>
      <c r="C2123" s="36"/>
      <c r="D2123"/>
      <c r="E2123"/>
      <c r="F2123"/>
      <c r="G2123"/>
      <c r="H2123"/>
      <c r="I2123"/>
      <c r="J2123"/>
      <c r="K2123"/>
      <c r="L2123"/>
      <c r="M2123"/>
      <c r="N2123"/>
      <c r="O2123"/>
      <c r="P2123" s="36"/>
      <c r="Q2123" s="37"/>
      <c r="R2123"/>
      <c r="S2123"/>
      <c r="T2123"/>
      <c r="U2123"/>
      <c r="V2123" s="39"/>
      <c r="W2123"/>
      <c r="X2123"/>
      <c r="Y2123"/>
      <c r="Z2123"/>
      <c r="AA2123"/>
    </row>
    <row r="2124" spans="1:27" x14ac:dyDescent="0.25">
      <c r="A2124"/>
      <c r="B2124" s="36"/>
      <c r="C2124" s="36"/>
      <c r="D2124"/>
      <c r="E2124"/>
      <c r="F2124"/>
      <c r="G2124"/>
      <c r="H2124"/>
      <c r="I2124"/>
      <c r="J2124"/>
      <c r="K2124"/>
      <c r="L2124"/>
      <c r="M2124"/>
      <c r="N2124"/>
      <c r="O2124"/>
      <c r="P2124" s="36"/>
      <c r="Q2124" s="37"/>
      <c r="R2124"/>
      <c r="S2124"/>
      <c r="T2124"/>
      <c r="U2124"/>
      <c r="V2124" s="39"/>
      <c r="W2124"/>
      <c r="X2124"/>
      <c r="Y2124"/>
      <c r="Z2124"/>
      <c r="AA2124"/>
    </row>
    <row r="2125" spans="1:27" x14ac:dyDescent="0.25">
      <c r="A2125"/>
      <c r="B2125" s="36"/>
      <c r="C2125" s="36"/>
      <c r="D2125"/>
      <c r="E2125"/>
      <c r="F2125"/>
      <c r="G2125"/>
      <c r="H2125"/>
      <c r="I2125"/>
      <c r="J2125"/>
      <c r="K2125"/>
      <c r="L2125"/>
      <c r="M2125"/>
      <c r="N2125"/>
      <c r="O2125"/>
      <c r="P2125" s="36"/>
      <c r="Q2125" s="37"/>
      <c r="R2125"/>
      <c r="S2125"/>
      <c r="T2125"/>
      <c r="U2125"/>
      <c r="V2125" s="39"/>
      <c r="W2125"/>
      <c r="X2125"/>
      <c r="Y2125"/>
      <c r="Z2125"/>
      <c r="AA2125"/>
    </row>
    <row r="2126" spans="1:27" x14ac:dyDescent="0.25">
      <c r="A2126"/>
      <c r="B2126" s="36"/>
      <c r="C2126" s="36"/>
      <c r="D2126"/>
      <c r="E2126"/>
      <c r="F2126"/>
      <c r="G2126"/>
      <c r="H2126"/>
      <c r="I2126"/>
      <c r="J2126"/>
      <c r="K2126"/>
      <c r="L2126"/>
      <c r="M2126"/>
      <c r="N2126"/>
      <c r="O2126"/>
      <c r="P2126" s="36"/>
      <c r="Q2126" s="37"/>
      <c r="R2126"/>
      <c r="S2126"/>
      <c r="T2126"/>
      <c r="U2126"/>
      <c r="V2126" s="39"/>
      <c r="W2126"/>
      <c r="X2126"/>
      <c r="Y2126"/>
      <c r="Z2126"/>
      <c r="AA2126"/>
    </row>
    <row r="2127" spans="1:27" x14ac:dyDescent="0.25">
      <c r="A2127"/>
      <c r="B2127" s="36"/>
      <c r="C2127" s="36"/>
      <c r="D2127"/>
      <c r="E2127"/>
      <c r="F2127"/>
      <c r="G2127"/>
      <c r="H2127"/>
      <c r="I2127"/>
      <c r="J2127"/>
      <c r="K2127"/>
      <c r="L2127"/>
      <c r="M2127"/>
      <c r="N2127"/>
      <c r="O2127"/>
      <c r="P2127" s="36"/>
      <c r="Q2127" s="37"/>
      <c r="R2127"/>
      <c r="S2127"/>
      <c r="T2127"/>
      <c r="U2127"/>
      <c r="V2127" s="39"/>
      <c r="W2127"/>
      <c r="X2127"/>
      <c r="Y2127"/>
      <c r="Z2127"/>
      <c r="AA2127"/>
    </row>
    <row r="2128" spans="1:27" x14ac:dyDescent="0.25">
      <c r="A2128"/>
      <c r="B2128" s="36"/>
      <c r="C2128" s="36"/>
      <c r="D2128"/>
      <c r="E2128"/>
      <c r="F2128"/>
      <c r="G2128"/>
      <c r="H2128"/>
      <c r="I2128"/>
      <c r="J2128"/>
      <c r="K2128"/>
      <c r="L2128"/>
      <c r="M2128"/>
      <c r="N2128"/>
      <c r="O2128"/>
      <c r="P2128" s="36"/>
      <c r="Q2128" s="37"/>
      <c r="R2128"/>
      <c r="S2128"/>
      <c r="T2128"/>
      <c r="U2128"/>
      <c r="V2128" s="39"/>
      <c r="W2128"/>
      <c r="X2128"/>
      <c r="Y2128"/>
      <c r="Z2128"/>
      <c r="AA2128"/>
    </row>
    <row r="2129" spans="1:27" x14ac:dyDescent="0.25">
      <c r="A2129"/>
      <c r="B2129" s="36"/>
      <c r="C2129" s="36"/>
      <c r="D2129"/>
      <c r="E2129"/>
      <c r="F2129"/>
      <c r="G2129"/>
      <c r="H2129"/>
      <c r="I2129"/>
      <c r="J2129"/>
      <c r="K2129"/>
      <c r="L2129"/>
      <c r="M2129"/>
      <c r="N2129"/>
      <c r="O2129"/>
      <c r="P2129" s="36"/>
      <c r="Q2129" s="37"/>
      <c r="R2129"/>
      <c r="S2129"/>
      <c r="T2129"/>
      <c r="U2129"/>
      <c r="V2129" s="39"/>
      <c r="W2129"/>
      <c r="X2129"/>
      <c r="Y2129"/>
      <c r="Z2129"/>
      <c r="AA2129"/>
    </row>
    <row r="2130" spans="1:27" x14ac:dyDescent="0.25">
      <c r="A2130"/>
      <c r="B2130" s="36"/>
      <c r="C2130" s="36"/>
      <c r="D2130"/>
      <c r="E2130"/>
      <c r="F2130"/>
      <c r="G2130"/>
      <c r="H2130"/>
      <c r="I2130"/>
      <c r="J2130"/>
      <c r="K2130"/>
      <c r="L2130"/>
      <c r="M2130"/>
      <c r="N2130"/>
      <c r="O2130"/>
      <c r="P2130" s="36"/>
      <c r="Q2130" s="37"/>
      <c r="R2130"/>
      <c r="S2130"/>
      <c r="T2130"/>
      <c r="U2130"/>
      <c r="V2130" s="39"/>
      <c r="W2130"/>
      <c r="X2130"/>
      <c r="Y2130"/>
      <c r="Z2130"/>
      <c r="AA2130"/>
    </row>
    <row r="2131" spans="1:27" x14ac:dyDescent="0.25">
      <c r="A2131"/>
      <c r="B2131" s="36"/>
      <c r="C2131" s="36"/>
      <c r="D2131"/>
      <c r="E2131"/>
      <c r="F2131"/>
      <c r="G2131"/>
      <c r="H2131"/>
      <c r="I2131"/>
      <c r="J2131"/>
      <c r="K2131"/>
      <c r="L2131"/>
      <c r="M2131"/>
      <c r="N2131"/>
      <c r="O2131"/>
      <c r="P2131" s="36"/>
      <c r="Q2131" s="37"/>
      <c r="R2131"/>
      <c r="S2131"/>
      <c r="T2131"/>
      <c r="U2131"/>
      <c r="V2131" s="39"/>
      <c r="W2131"/>
      <c r="X2131"/>
      <c r="Y2131"/>
      <c r="Z2131"/>
      <c r="AA2131"/>
    </row>
    <row r="2132" spans="1:27" x14ac:dyDescent="0.25">
      <c r="A2132"/>
      <c r="B2132" s="36"/>
      <c r="C2132" s="36"/>
      <c r="D2132"/>
      <c r="E2132"/>
      <c r="F2132"/>
      <c r="G2132"/>
      <c r="H2132"/>
      <c r="I2132"/>
      <c r="J2132"/>
      <c r="K2132"/>
      <c r="L2132"/>
      <c r="M2132"/>
      <c r="N2132"/>
      <c r="O2132"/>
      <c r="P2132" s="36"/>
      <c r="Q2132" s="37"/>
      <c r="R2132"/>
      <c r="S2132"/>
      <c r="T2132"/>
      <c r="U2132"/>
      <c r="V2132" s="39"/>
      <c r="W2132"/>
      <c r="X2132"/>
      <c r="Y2132"/>
      <c r="Z2132"/>
      <c r="AA2132"/>
    </row>
    <row r="2133" spans="1:27" x14ac:dyDescent="0.25">
      <c r="A2133"/>
      <c r="B2133" s="36"/>
      <c r="C2133" s="36"/>
      <c r="D2133"/>
      <c r="E2133"/>
      <c r="F2133"/>
      <c r="G2133"/>
      <c r="H2133"/>
      <c r="I2133"/>
      <c r="J2133"/>
      <c r="K2133"/>
      <c r="L2133"/>
      <c r="M2133"/>
      <c r="N2133"/>
      <c r="O2133"/>
      <c r="P2133" s="36"/>
      <c r="Q2133" s="37"/>
      <c r="R2133"/>
      <c r="S2133"/>
      <c r="T2133"/>
      <c r="U2133"/>
      <c r="V2133" s="39"/>
      <c r="W2133"/>
      <c r="X2133"/>
      <c r="Y2133"/>
      <c r="Z2133"/>
      <c r="AA2133"/>
    </row>
    <row r="2134" spans="1:27" x14ac:dyDescent="0.25">
      <c r="A2134"/>
      <c r="B2134" s="36"/>
      <c r="C2134" s="36"/>
      <c r="D2134"/>
      <c r="E2134"/>
      <c r="F2134"/>
      <c r="G2134"/>
      <c r="H2134"/>
      <c r="I2134"/>
      <c r="J2134"/>
      <c r="K2134"/>
      <c r="L2134"/>
      <c r="M2134"/>
      <c r="N2134"/>
      <c r="O2134"/>
      <c r="P2134" s="36"/>
      <c r="Q2134" s="37"/>
      <c r="R2134"/>
      <c r="S2134"/>
      <c r="T2134"/>
      <c r="U2134"/>
      <c r="V2134" s="39"/>
      <c r="W2134"/>
      <c r="X2134"/>
      <c r="Y2134"/>
      <c r="Z2134"/>
      <c r="AA2134"/>
    </row>
    <row r="2135" spans="1:27" x14ac:dyDescent="0.25">
      <c r="A2135"/>
      <c r="B2135" s="36"/>
      <c r="C2135" s="36"/>
      <c r="D2135"/>
      <c r="E2135"/>
      <c r="F2135"/>
      <c r="G2135"/>
      <c r="H2135"/>
      <c r="I2135"/>
      <c r="J2135"/>
      <c r="K2135"/>
      <c r="L2135"/>
      <c r="M2135"/>
      <c r="N2135"/>
      <c r="O2135"/>
      <c r="P2135" s="36"/>
      <c r="Q2135" s="37"/>
      <c r="R2135"/>
      <c r="S2135"/>
      <c r="T2135"/>
      <c r="U2135"/>
      <c r="V2135" s="39"/>
      <c r="W2135"/>
      <c r="X2135"/>
      <c r="Y2135"/>
      <c r="Z2135"/>
      <c r="AA2135"/>
    </row>
    <row r="2136" spans="1:27" x14ac:dyDescent="0.25">
      <c r="A2136"/>
      <c r="B2136" s="36"/>
      <c r="C2136" s="36"/>
      <c r="D2136"/>
      <c r="E2136"/>
      <c r="F2136"/>
      <c r="G2136"/>
      <c r="H2136"/>
      <c r="I2136"/>
      <c r="J2136"/>
      <c r="K2136"/>
      <c r="L2136"/>
      <c r="M2136"/>
      <c r="N2136"/>
      <c r="O2136"/>
      <c r="P2136" s="36"/>
      <c r="Q2136" s="37"/>
      <c r="R2136"/>
      <c r="S2136"/>
      <c r="T2136"/>
      <c r="U2136"/>
      <c r="V2136" s="39"/>
      <c r="W2136"/>
      <c r="X2136"/>
      <c r="Y2136"/>
      <c r="Z2136"/>
      <c r="AA2136"/>
    </row>
    <row r="2137" spans="1:27" x14ac:dyDescent="0.25">
      <c r="A2137"/>
      <c r="B2137" s="36"/>
      <c r="C2137" s="36"/>
      <c r="D2137"/>
      <c r="E2137"/>
      <c r="F2137"/>
      <c r="G2137"/>
      <c r="H2137"/>
      <c r="I2137"/>
      <c r="J2137"/>
      <c r="K2137"/>
      <c r="L2137"/>
      <c r="M2137"/>
      <c r="N2137"/>
      <c r="O2137"/>
      <c r="P2137" s="36"/>
      <c r="Q2137" s="37"/>
      <c r="R2137"/>
      <c r="S2137"/>
      <c r="T2137"/>
      <c r="U2137"/>
      <c r="V2137" s="39"/>
      <c r="W2137"/>
      <c r="X2137"/>
      <c r="Y2137"/>
      <c r="Z2137"/>
      <c r="AA2137"/>
    </row>
    <row r="2138" spans="1:27" x14ac:dyDescent="0.25">
      <c r="A2138"/>
      <c r="B2138" s="36"/>
      <c r="C2138" s="36"/>
      <c r="D2138"/>
      <c r="E2138"/>
      <c r="F2138"/>
      <c r="G2138"/>
      <c r="H2138"/>
      <c r="I2138"/>
      <c r="J2138"/>
      <c r="K2138"/>
      <c r="L2138"/>
      <c r="M2138"/>
      <c r="N2138"/>
      <c r="O2138"/>
      <c r="P2138" s="36"/>
      <c r="Q2138" s="37"/>
      <c r="R2138"/>
      <c r="S2138"/>
      <c r="T2138"/>
      <c r="U2138"/>
      <c r="V2138" s="39"/>
      <c r="W2138"/>
      <c r="X2138"/>
      <c r="Y2138"/>
      <c r="Z2138"/>
      <c r="AA2138"/>
    </row>
    <row r="2139" spans="1:27" x14ac:dyDescent="0.25">
      <c r="A2139"/>
      <c r="B2139" s="36"/>
      <c r="C2139" s="36"/>
      <c r="D2139"/>
      <c r="E2139"/>
      <c r="F2139"/>
      <c r="G2139"/>
      <c r="H2139"/>
      <c r="I2139"/>
      <c r="J2139"/>
      <c r="K2139"/>
      <c r="L2139"/>
      <c r="M2139"/>
      <c r="N2139"/>
      <c r="O2139"/>
      <c r="P2139" s="36"/>
      <c r="Q2139" s="37"/>
      <c r="R2139"/>
      <c r="S2139"/>
      <c r="T2139"/>
      <c r="U2139"/>
      <c r="V2139" s="39"/>
      <c r="W2139"/>
      <c r="X2139"/>
      <c r="Y2139"/>
      <c r="Z2139"/>
      <c r="AA2139"/>
    </row>
    <row r="2140" spans="1:27" x14ac:dyDescent="0.25">
      <c r="A2140"/>
      <c r="B2140" s="36"/>
      <c r="C2140" s="36"/>
      <c r="D2140"/>
      <c r="E2140"/>
      <c r="F2140"/>
      <c r="G2140"/>
      <c r="H2140"/>
      <c r="I2140"/>
      <c r="J2140"/>
      <c r="K2140"/>
      <c r="L2140"/>
      <c r="M2140"/>
      <c r="N2140"/>
      <c r="O2140"/>
      <c r="P2140" s="36"/>
      <c r="Q2140" s="37"/>
      <c r="R2140"/>
      <c r="S2140"/>
      <c r="T2140"/>
      <c r="U2140"/>
      <c r="V2140" s="39"/>
      <c r="W2140"/>
      <c r="X2140"/>
      <c r="Y2140"/>
      <c r="Z2140"/>
      <c r="AA2140"/>
    </row>
    <row r="2141" spans="1:27" x14ac:dyDescent="0.25">
      <c r="A2141"/>
      <c r="B2141" s="36"/>
      <c r="C2141" s="36"/>
      <c r="D2141"/>
      <c r="E2141"/>
      <c r="F2141"/>
      <c r="G2141"/>
      <c r="H2141"/>
      <c r="I2141"/>
      <c r="J2141"/>
      <c r="K2141"/>
      <c r="L2141"/>
      <c r="M2141"/>
      <c r="N2141"/>
      <c r="O2141"/>
      <c r="P2141" s="36"/>
      <c r="Q2141" s="37"/>
      <c r="R2141"/>
      <c r="S2141"/>
      <c r="T2141"/>
      <c r="U2141"/>
      <c r="V2141" s="39"/>
      <c r="W2141"/>
      <c r="X2141"/>
      <c r="Y2141"/>
      <c r="Z2141"/>
      <c r="AA2141"/>
    </row>
    <row r="2142" spans="1:27" x14ac:dyDescent="0.25">
      <c r="A2142"/>
      <c r="B2142" s="36"/>
      <c r="C2142" s="36"/>
      <c r="D2142"/>
      <c r="E2142"/>
      <c r="F2142"/>
      <c r="G2142"/>
      <c r="H2142"/>
      <c r="I2142"/>
      <c r="J2142"/>
      <c r="K2142"/>
      <c r="L2142"/>
      <c r="M2142"/>
      <c r="N2142"/>
      <c r="O2142"/>
      <c r="P2142" s="36"/>
      <c r="Q2142" s="37"/>
      <c r="R2142"/>
      <c r="S2142"/>
      <c r="T2142"/>
      <c r="U2142"/>
      <c r="V2142" s="39"/>
      <c r="W2142"/>
      <c r="X2142"/>
      <c r="Y2142"/>
      <c r="Z2142"/>
      <c r="AA2142"/>
    </row>
    <row r="2143" spans="1:27" x14ac:dyDescent="0.25">
      <c r="A2143"/>
      <c r="B2143" s="36"/>
      <c r="C2143" s="36"/>
      <c r="D2143"/>
      <c r="E2143"/>
      <c r="F2143"/>
      <c r="G2143"/>
      <c r="H2143"/>
      <c r="I2143"/>
      <c r="J2143"/>
      <c r="K2143"/>
      <c r="L2143"/>
      <c r="M2143"/>
      <c r="N2143"/>
      <c r="O2143"/>
      <c r="P2143" s="36"/>
      <c r="Q2143" s="37"/>
      <c r="R2143"/>
      <c r="S2143"/>
      <c r="T2143"/>
      <c r="U2143"/>
      <c r="V2143" s="39"/>
      <c r="W2143"/>
      <c r="X2143"/>
      <c r="Y2143"/>
      <c r="Z2143"/>
      <c r="AA2143"/>
    </row>
    <row r="2144" spans="1:27" x14ac:dyDescent="0.25">
      <c r="A2144"/>
      <c r="B2144" s="36"/>
      <c r="C2144" s="36"/>
      <c r="D2144"/>
      <c r="E2144"/>
      <c r="F2144"/>
      <c r="G2144"/>
      <c r="H2144"/>
      <c r="I2144"/>
      <c r="J2144"/>
      <c r="K2144"/>
      <c r="L2144"/>
      <c r="M2144"/>
      <c r="N2144"/>
      <c r="O2144"/>
      <c r="P2144" s="36"/>
      <c r="Q2144" s="37"/>
      <c r="R2144"/>
      <c r="S2144"/>
      <c r="T2144"/>
      <c r="U2144"/>
      <c r="V2144" s="39"/>
      <c r="W2144"/>
      <c r="X2144"/>
      <c r="Y2144"/>
      <c r="Z2144"/>
      <c r="AA2144"/>
    </row>
    <row r="2145" spans="1:27" x14ac:dyDescent="0.25">
      <c r="A2145"/>
      <c r="B2145" s="36"/>
      <c r="C2145" s="36"/>
      <c r="D2145"/>
      <c r="E2145"/>
      <c r="F2145"/>
      <c r="G2145"/>
      <c r="H2145"/>
      <c r="I2145"/>
      <c r="J2145"/>
      <c r="K2145"/>
      <c r="L2145"/>
      <c r="M2145"/>
      <c r="N2145"/>
      <c r="O2145"/>
      <c r="P2145" s="36"/>
      <c r="Q2145" s="37"/>
      <c r="R2145"/>
      <c r="S2145"/>
      <c r="T2145"/>
      <c r="U2145"/>
      <c r="V2145" s="39"/>
      <c r="W2145"/>
      <c r="X2145"/>
      <c r="Y2145"/>
      <c r="Z2145"/>
      <c r="AA2145"/>
    </row>
    <row r="2146" spans="1:27" x14ac:dyDescent="0.25">
      <c r="A2146"/>
      <c r="B2146" s="36"/>
      <c r="C2146" s="36"/>
      <c r="D2146"/>
      <c r="E2146"/>
      <c r="F2146"/>
      <c r="G2146"/>
      <c r="H2146"/>
      <c r="I2146"/>
      <c r="J2146"/>
      <c r="K2146"/>
      <c r="L2146"/>
      <c r="M2146"/>
      <c r="N2146"/>
      <c r="O2146"/>
      <c r="P2146" s="36"/>
      <c r="Q2146" s="37"/>
      <c r="R2146"/>
      <c r="S2146"/>
      <c r="T2146"/>
      <c r="U2146"/>
      <c r="V2146" s="39"/>
      <c r="W2146"/>
      <c r="X2146"/>
      <c r="Y2146"/>
      <c r="Z2146"/>
      <c r="AA2146"/>
    </row>
    <row r="2147" spans="1:27" x14ac:dyDescent="0.25">
      <c r="A2147"/>
      <c r="B2147" s="36"/>
      <c r="C2147" s="36"/>
      <c r="D2147"/>
      <c r="E2147"/>
      <c r="F2147"/>
      <c r="G2147"/>
      <c r="H2147"/>
      <c r="I2147"/>
      <c r="J2147"/>
      <c r="K2147"/>
      <c r="L2147"/>
      <c r="M2147"/>
      <c r="N2147"/>
      <c r="O2147"/>
      <c r="P2147" s="36"/>
      <c r="Q2147" s="37"/>
      <c r="R2147"/>
      <c r="S2147"/>
      <c r="T2147"/>
      <c r="U2147"/>
      <c r="V2147" s="39"/>
      <c r="W2147"/>
      <c r="X2147"/>
      <c r="Y2147"/>
      <c r="Z2147"/>
      <c r="AA2147"/>
    </row>
    <row r="2148" spans="1:27" x14ac:dyDescent="0.25">
      <c r="A2148"/>
      <c r="B2148" s="36"/>
      <c r="C2148" s="36"/>
      <c r="D2148"/>
      <c r="E2148"/>
      <c r="F2148"/>
      <c r="G2148"/>
      <c r="H2148"/>
      <c r="I2148"/>
      <c r="J2148"/>
      <c r="K2148"/>
      <c r="L2148"/>
      <c r="M2148"/>
      <c r="N2148"/>
      <c r="O2148"/>
      <c r="P2148" s="36"/>
      <c r="Q2148" s="37"/>
      <c r="R2148"/>
      <c r="S2148"/>
      <c r="T2148"/>
      <c r="U2148"/>
      <c r="V2148" s="39"/>
      <c r="W2148"/>
      <c r="X2148"/>
      <c r="Y2148"/>
      <c r="Z2148"/>
      <c r="AA2148"/>
    </row>
    <row r="2149" spans="1:27" x14ac:dyDescent="0.25">
      <c r="A2149"/>
      <c r="B2149" s="36"/>
      <c r="C2149" s="36"/>
      <c r="D2149"/>
      <c r="E2149"/>
      <c r="F2149"/>
      <c r="G2149"/>
      <c r="H2149"/>
      <c r="I2149"/>
      <c r="J2149"/>
      <c r="K2149"/>
      <c r="L2149"/>
      <c r="M2149"/>
      <c r="N2149"/>
      <c r="O2149"/>
      <c r="P2149" s="36"/>
      <c r="Q2149" s="37"/>
      <c r="R2149"/>
      <c r="S2149"/>
      <c r="T2149"/>
      <c r="U2149"/>
      <c r="V2149" s="39"/>
      <c r="W2149"/>
      <c r="X2149"/>
      <c r="Y2149"/>
      <c r="Z2149"/>
      <c r="AA2149"/>
    </row>
    <row r="2150" spans="1:27" x14ac:dyDescent="0.25">
      <c r="A2150"/>
      <c r="B2150" s="36"/>
      <c r="C2150" s="36"/>
      <c r="D2150"/>
      <c r="E2150"/>
      <c r="F2150"/>
      <c r="G2150"/>
      <c r="H2150"/>
      <c r="I2150"/>
      <c r="J2150"/>
      <c r="K2150"/>
      <c r="L2150"/>
      <c r="M2150"/>
      <c r="N2150"/>
      <c r="O2150"/>
      <c r="P2150" s="36"/>
      <c r="Q2150" s="37"/>
      <c r="R2150"/>
      <c r="S2150"/>
      <c r="T2150"/>
      <c r="U2150"/>
      <c r="V2150" s="39"/>
      <c r="W2150"/>
      <c r="X2150"/>
      <c r="Y2150"/>
      <c r="Z2150"/>
      <c r="AA2150"/>
    </row>
    <row r="2151" spans="1:27" x14ac:dyDescent="0.25">
      <c r="A2151"/>
      <c r="B2151" s="36"/>
      <c r="C2151" s="36"/>
      <c r="D2151"/>
      <c r="E2151"/>
      <c r="F2151"/>
      <c r="G2151"/>
      <c r="H2151"/>
      <c r="I2151"/>
      <c r="J2151"/>
      <c r="K2151"/>
      <c r="L2151"/>
      <c r="M2151"/>
      <c r="N2151"/>
      <c r="O2151"/>
      <c r="P2151" s="36"/>
      <c r="Q2151" s="37"/>
      <c r="R2151"/>
      <c r="S2151"/>
      <c r="T2151"/>
      <c r="U2151"/>
      <c r="V2151" s="39"/>
      <c r="W2151"/>
      <c r="X2151"/>
      <c r="Y2151"/>
      <c r="Z2151"/>
      <c r="AA2151"/>
    </row>
    <row r="2152" spans="1:27" x14ac:dyDescent="0.25">
      <c r="A2152"/>
      <c r="B2152" s="36"/>
      <c r="C2152" s="36"/>
      <c r="D2152"/>
      <c r="E2152"/>
      <c r="F2152"/>
      <c r="G2152"/>
      <c r="H2152"/>
      <c r="I2152"/>
      <c r="J2152"/>
      <c r="K2152"/>
      <c r="L2152"/>
      <c r="M2152"/>
      <c r="N2152"/>
      <c r="O2152"/>
      <c r="P2152" s="36"/>
      <c r="Q2152" s="37"/>
      <c r="R2152"/>
      <c r="S2152"/>
      <c r="T2152"/>
      <c r="U2152"/>
      <c r="V2152" s="39"/>
      <c r="W2152"/>
      <c r="X2152"/>
      <c r="Y2152"/>
      <c r="Z2152"/>
      <c r="AA2152"/>
    </row>
    <row r="2153" spans="1:27" x14ac:dyDescent="0.25">
      <c r="A2153"/>
      <c r="B2153" s="36"/>
      <c r="C2153" s="36"/>
      <c r="D2153"/>
      <c r="E2153"/>
      <c r="F2153"/>
      <c r="G2153"/>
      <c r="H2153"/>
      <c r="I2153"/>
      <c r="J2153"/>
      <c r="K2153"/>
      <c r="L2153"/>
      <c r="M2153"/>
      <c r="N2153"/>
      <c r="O2153"/>
      <c r="P2153" s="36"/>
      <c r="Q2153" s="37"/>
      <c r="R2153"/>
      <c r="S2153"/>
      <c r="T2153"/>
      <c r="U2153"/>
      <c r="V2153" s="39"/>
      <c r="W2153"/>
      <c r="X2153"/>
      <c r="Y2153"/>
      <c r="Z2153"/>
      <c r="AA2153"/>
    </row>
    <row r="2154" spans="1:27" x14ac:dyDescent="0.25">
      <c r="A2154"/>
      <c r="B2154" s="36"/>
      <c r="C2154" s="36"/>
      <c r="D2154"/>
      <c r="E2154"/>
      <c r="F2154"/>
      <c r="G2154"/>
      <c r="H2154"/>
      <c r="I2154"/>
      <c r="J2154"/>
      <c r="K2154"/>
      <c r="L2154"/>
      <c r="M2154"/>
      <c r="N2154"/>
      <c r="O2154"/>
      <c r="P2154" s="36"/>
      <c r="Q2154" s="37"/>
      <c r="R2154"/>
      <c r="S2154"/>
      <c r="T2154"/>
      <c r="U2154"/>
      <c r="V2154" s="39"/>
      <c r="W2154"/>
      <c r="X2154"/>
      <c r="Y2154"/>
      <c r="Z2154"/>
      <c r="AA2154"/>
    </row>
    <row r="2155" spans="1:27" x14ac:dyDescent="0.25">
      <c r="A2155"/>
      <c r="B2155" s="36"/>
      <c r="C2155" s="36"/>
      <c r="D2155"/>
      <c r="E2155"/>
      <c r="F2155"/>
      <c r="G2155"/>
      <c r="H2155"/>
      <c r="I2155"/>
      <c r="J2155"/>
      <c r="K2155"/>
      <c r="L2155"/>
      <c r="M2155"/>
      <c r="N2155"/>
      <c r="O2155"/>
      <c r="P2155" s="36"/>
      <c r="Q2155" s="37"/>
      <c r="R2155"/>
      <c r="S2155"/>
      <c r="T2155"/>
      <c r="U2155"/>
      <c r="V2155" s="39"/>
      <c r="W2155"/>
      <c r="X2155"/>
      <c r="Y2155"/>
      <c r="Z2155"/>
      <c r="AA2155"/>
    </row>
    <row r="2156" spans="1:27" x14ac:dyDescent="0.25">
      <c r="A2156"/>
      <c r="B2156" s="36"/>
      <c r="C2156" s="36"/>
      <c r="D2156"/>
      <c r="E2156"/>
      <c r="F2156"/>
      <c r="G2156"/>
      <c r="H2156"/>
      <c r="I2156"/>
      <c r="J2156"/>
      <c r="K2156"/>
      <c r="L2156"/>
      <c r="M2156"/>
      <c r="N2156"/>
      <c r="O2156"/>
      <c r="P2156" s="36"/>
      <c r="Q2156" s="37"/>
      <c r="R2156"/>
      <c r="S2156"/>
      <c r="T2156"/>
      <c r="U2156"/>
      <c r="V2156" s="39"/>
      <c r="W2156"/>
      <c r="X2156"/>
      <c r="Y2156"/>
      <c r="Z2156"/>
      <c r="AA2156"/>
    </row>
    <row r="2157" spans="1:27" x14ac:dyDescent="0.25">
      <c r="A2157"/>
      <c r="B2157" s="36"/>
      <c r="C2157" s="36"/>
      <c r="D2157"/>
      <c r="E2157"/>
      <c r="F2157"/>
      <c r="G2157"/>
      <c r="H2157"/>
      <c r="I2157"/>
      <c r="J2157"/>
      <c r="K2157"/>
      <c r="L2157"/>
      <c r="M2157"/>
      <c r="N2157"/>
      <c r="O2157"/>
      <c r="P2157" s="36"/>
      <c r="Q2157" s="37"/>
      <c r="R2157"/>
      <c r="S2157"/>
      <c r="T2157"/>
      <c r="U2157"/>
      <c r="V2157" s="39"/>
      <c r="W2157"/>
      <c r="X2157"/>
      <c r="Y2157"/>
      <c r="Z2157"/>
      <c r="AA2157"/>
    </row>
    <row r="2158" spans="1:27" x14ac:dyDescent="0.25">
      <c r="A2158"/>
      <c r="B2158" s="36"/>
      <c r="C2158" s="36"/>
      <c r="D2158"/>
      <c r="E2158"/>
      <c r="F2158"/>
      <c r="G2158"/>
      <c r="H2158"/>
      <c r="I2158"/>
      <c r="J2158"/>
      <c r="K2158"/>
      <c r="L2158"/>
      <c r="M2158"/>
      <c r="N2158"/>
      <c r="O2158"/>
      <c r="P2158" s="36"/>
      <c r="Q2158" s="37"/>
      <c r="R2158"/>
      <c r="S2158"/>
      <c r="T2158"/>
      <c r="U2158"/>
      <c r="V2158" s="39"/>
      <c r="W2158"/>
      <c r="X2158"/>
      <c r="Y2158"/>
      <c r="Z2158"/>
      <c r="AA2158"/>
    </row>
    <row r="2159" spans="1:27" x14ac:dyDescent="0.25">
      <c r="A2159"/>
      <c r="B2159" s="36"/>
      <c r="C2159" s="36"/>
      <c r="D2159"/>
      <c r="E2159"/>
      <c r="F2159"/>
      <c r="G2159"/>
      <c r="H2159"/>
      <c r="I2159"/>
      <c r="J2159"/>
      <c r="K2159"/>
      <c r="L2159"/>
      <c r="M2159"/>
      <c r="N2159"/>
      <c r="O2159"/>
      <c r="P2159" s="36"/>
      <c r="Q2159" s="37"/>
      <c r="R2159"/>
      <c r="S2159"/>
      <c r="T2159"/>
      <c r="U2159"/>
      <c r="V2159" s="39"/>
      <c r="W2159"/>
      <c r="X2159"/>
      <c r="Y2159"/>
      <c r="Z2159"/>
      <c r="AA2159"/>
    </row>
    <row r="2160" spans="1:27" x14ac:dyDescent="0.25">
      <c r="A2160"/>
      <c r="B2160" s="36"/>
      <c r="C2160" s="36"/>
      <c r="D2160"/>
      <c r="E2160"/>
      <c r="F2160"/>
      <c r="G2160"/>
      <c r="H2160"/>
      <c r="I2160"/>
      <c r="J2160"/>
      <c r="K2160"/>
      <c r="L2160"/>
      <c r="M2160"/>
      <c r="N2160"/>
      <c r="O2160"/>
      <c r="P2160" s="36"/>
      <c r="Q2160" s="37"/>
      <c r="R2160"/>
      <c r="S2160"/>
      <c r="T2160"/>
      <c r="U2160"/>
      <c r="V2160" s="39"/>
      <c r="W2160"/>
      <c r="X2160"/>
      <c r="Y2160"/>
      <c r="Z2160"/>
      <c r="AA2160"/>
    </row>
    <row r="2161" spans="1:27" x14ac:dyDescent="0.25">
      <c r="A2161"/>
      <c r="B2161" s="36"/>
      <c r="C2161" s="36"/>
      <c r="D2161"/>
      <c r="E2161"/>
      <c r="F2161"/>
      <c r="G2161"/>
      <c r="H2161"/>
      <c r="I2161"/>
      <c r="J2161"/>
      <c r="K2161"/>
      <c r="L2161"/>
      <c r="M2161"/>
      <c r="N2161"/>
      <c r="O2161"/>
      <c r="P2161" s="36"/>
      <c r="Q2161" s="37"/>
      <c r="R2161"/>
      <c r="S2161"/>
      <c r="T2161"/>
      <c r="U2161"/>
      <c r="V2161" s="39"/>
      <c r="W2161"/>
      <c r="X2161"/>
      <c r="Y2161"/>
      <c r="Z2161"/>
      <c r="AA2161"/>
    </row>
    <row r="2162" spans="1:27" x14ac:dyDescent="0.25">
      <c r="A2162"/>
      <c r="B2162" s="36"/>
      <c r="C2162" s="36"/>
      <c r="D2162"/>
      <c r="E2162"/>
      <c r="F2162"/>
      <c r="G2162"/>
      <c r="H2162"/>
      <c r="I2162"/>
      <c r="J2162"/>
      <c r="K2162"/>
      <c r="L2162"/>
      <c r="M2162"/>
      <c r="N2162"/>
      <c r="O2162"/>
      <c r="P2162" s="36"/>
      <c r="Q2162" s="37"/>
      <c r="R2162"/>
      <c r="S2162"/>
      <c r="T2162"/>
      <c r="U2162"/>
      <c r="V2162" s="39"/>
      <c r="W2162"/>
      <c r="X2162"/>
      <c r="Y2162"/>
      <c r="Z2162"/>
      <c r="AA2162"/>
    </row>
    <row r="2163" spans="1:27" x14ac:dyDescent="0.25">
      <c r="A2163"/>
      <c r="B2163" s="36"/>
      <c r="C2163" s="36"/>
      <c r="D2163"/>
      <c r="E2163"/>
      <c r="F2163"/>
      <c r="G2163"/>
      <c r="H2163"/>
      <c r="I2163"/>
      <c r="J2163"/>
      <c r="K2163"/>
      <c r="L2163"/>
      <c r="M2163"/>
      <c r="N2163"/>
      <c r="O2163"/>
      <c r="P2163" s="36"/>
      <c r="Q2163" s="37"/>
      <c r="R2163"/>
      <c r="S2163"/>
      <c r="T2163"/>
      <c r="U2163"/>
      <c r="V2163" s="39"/>
      <c r="W2163"/>
      <c r="X2163"/>
      <c r="Y2163"/>
      <c r="Z2163"/>
      <c r="AA2163"/>
    </row>
    <row r="2164" spans="1:27" x14ac:dyDescent="0.25">
      <c r="A2164"/>
      <c r="B2164" s="36"/>
      <c r="C2164" s="36"/>
      <c r="D2164"/>
      <c r="E2164"/>
      <c r="F2164"/>
      <c r="G2164"/>
      <c r="H2164"/>
      <c r="I2164"/>
      <c r="J2164"/>
      <c r="K2164"/>
      <c r="L2164"/>
      <c r="M2164"/>
      <c r="N2164"/>
      <c r="O2164"/>
      <c r="P2164" s="36"/>
      <c r="Q2164" s="37"/>
      <c r="R2164"/>
      <c r="S2164"/>
      <c r="T2164"/>
      <c r="U2164"/>
      <c r="V2164" s="39"/>
      <c r="W2164"/>
      <c r="X2164"/>
      <c r="Y2164"/>
      <c r="Z2164"/>
      <c r="AA2164"/>
    </row>
    <row r="2165" spans="1:27" x14ac:dyDescent="0.25">
      <c r="A2165"/>
      <c r="B2165" s="36"/>
      <c r="C2165" s="36"/>
      <c r="D2165"/>
      <c r="E2165"/>
      <c r="F2165"/>
      <c r="G2165"/>
      <c r="H2165"/>
      <c r="I2165"/>
      <c r="J2165"/>
      <c r="K2165"/>
      <c r="L2165"/>
      <c r="M2165"/>
      <c r="N2165"/>
      <c r="O2165"/>
      <c r="P2165" s="36"/>
      <c r="Q2165" s="37"/>
      <c r="R2165"/>
      <c r="S2165"/>
      <c r="T2165"/>
      <c r="U2165"/>
      <c r="V2165" s="39"/>
      <c r="W2165"/>
      <c r="X2165"/>
      <c r="Y2165"/>
      <c r="Z2165"/>
      <c r="AA2165"/>
    </row>
    <row r="2166" spans="1:27" x14ac:dyDescent="0.25">
      <c r="A2166"/>
      <c r="B2166" s="36"/>
      <c r="C2166" s="36"/>
      <c r="D2166"/>
      <c r="E2166"/>
      <c r="F2166"/>
      <c r="G2166"/>
      <c r="H2166"/>
      <c r="I2166"/>
      <c r="J2166"/>
      <c r="K2166"/>
      <c r="L2166"/>
      <c r="M2166"/>
      <c r="N2166"/>
      <c r="O2166"/>
      <c r="P2166" s="36"/>
      <c r="Q2166" s="37"/>
      <c r="R2166"/>
      <c r="S2166"/>
      <c r="T2166"/>
      <c r="U2166"/>
      <c r="V2166" s="39"/>
      <c r="W2166"/>
      <c r="X2166"/>
      <c r="Y2166"/>
      <c r="Z2166"/>
      <c r="AA2166"/>
    </row>
    <row r="2167" spans="1:27" x14ac:dyDescent="0.25">
      <c r="A2167"/>
      <c r="B2167" s="36"/>
      <c r="C2167" s="36"/>
      <c r="D2167"/>
      <c r="E2167"/>
      <c r="F2167"/>
      <c r="G2167"/>
      <c r="H2167"/>
      <c r="I2167"/>
      <c r="J2167"/>
      <c r="K2167"/>
      <c r="L2167"/>
      <c r="M2167"/>
      <c r="N2167"/>
      <c r="O2167"/>
      <c r="P2167" s="36"/>
      <c r="Q2167" s="37"/>
      <c r="R2167"/>
      <c r="S2167"/>
      <c r="T2167"/>
      <c r="U2167"/>
      <c r="V2167" s="39"/>
      <c r="W2167"/>
      <c r="X2167"/>
      <c r="Y2167"/>
      <c r="Z2167"/>
      <c r="AA2167"/>
    </row>
    <row r="2168" spans="1:27" x14ac:dyDescent="0.25">
      <c r="A2168"/>
      <c r="B2168" s="36"/>
      <c r="C2168" s="36"/>
      <c r="D2168"/>
      <c r="E2168"/>
      <c r="F2168"/>
      <c r="G2168"/>
      <c r="H2168"/>
      <c r="I2168"/>
      <c r="J2168"/>
      <c r="K2168"/>
      <c r="L2168"/>
      <c r="M2168"/>
      <c r="N2168"/>
      <c r="O2168"/>
      <c r="P2168" s="36"/>
      <c r="Q2168" s="37"/>
      <c r="R2168"/>
      <c r="S2168"/>
      <c r="T2168"/>
      <c r="U2168"/>
      <c r="V2168" s="39"/>
      <c r="W2168"/>
      <c r="X2168"/>
      <c r="Y2168"/>
      <c r="Z2168"/>
      <c r="AA2168"/>
    </row>
    <row r="2169" spans="1:27" x14ac:dyDescent="0.25">
      <c r="A2169"/>
      <c r="B2169" s="36"/>
      <c r="C2169" s="36"/>
      <c r="D2169"/>
      <c r="E2169"/>
      <c r="F2169"/>
      <c r="G2169"/>
      <c r="H2169"/>
      <c r="I2169"/>
      <c r="J2169"/>
      <c r="K2169"/>
      <c r="L2169"/>
      <c r="M2169"/>
      <c r="N2169"/>
      <c r="O2169"/>
      <c r="P2169" s="36"/>
      <c r="Q2169" s="37"/>
      <c r="R2169"/>
      <c r="S2169"/>
      <c r="T2169"/>
      <c r="U2169"/>
      <c r="V2169" s="39"/>
      <c r="W2169"/>
      <c r="X2169"/>
      <c r="Y2169"/>
      <c r="Z2169"/>
      <c r="AA2169"/>
    </row>
    <row r="2170" spans="1:27" x14ac:dyDescent="0.25">
      <c r="A2170"/>
      <c r="B2170" s="36"/>
      <c r="C2170" s="36"/>
      <c r="D2170"/>
      <c r="E2170"/>
      <c r="F2170"/>
      <c r="G2170"/>
      <c r="H2170"/>
      <c r="I2170"/>
      <c r="J2170"/>
      <c r="K2170"/>
      <c r="L2170"/>
      <c r="M2170"/>
      <c r="N2170"/>
      <c r="O2170"/>
      <c r="P2170" s="36"/>
      <c r="Q2170" s="37"/>
      <c r="R2170"/>
      <c r="S2170"/>
      <c r="T2170"/>
      <c r="U2170"/>
      <c r="V2170" s="39"/>
      <c r="W2170"/>
      <c r="X2170"/>
      <c r="Y2170"/>
      <c r="Z2170"/>
      <c r="AA2170"/>
    </row>
    <row r="2171" spans="1:27" x14ac:dyDescent="0.25">
      <c r="A2171"/>
      <c r="B2171" s="36"/>
      <c r="C2171" s="36"/>
      <c r="D2171"/>
      <c r="E2171"/>
      <c r="F2171"/>
      <c r="G2171"/>
      <c r="H2171"/>
      <c r="I2171"/>
      <c r="J2171"/>
      <c r="K2171"/>
      <c r="L2171"/>
      <c r="M2171"/>
      <c r="N2171"/>
      <c r="O2171"/>
      <c r="P2171" s="36"/>
      <c r="Q2171" s="37"/>
      <c r="R2171"/>
      <c r="S2171"/>
      <c r="T2171"/>
      <c r="U2171"/>
      <c r="V2171" s="39"/>
      <c r="W2171"/>
      <c r="X2171"/>
      <c r="Y2171"/>
      <c r="Z2171"/>
      <c r="AA2171"/>
    </row>
    <row r="2172" spans="1:27" x14ac:dyDescent="0.25">
      <c r="A2172"/>
      <c r="B2172" s="36"/>
      <c r="C2172" s="36"/>
      <c r="D2172"/>
      <c r="E2172"/>
      <c r="F2172"/>
      <c r="G2172"/>
      <c r="H2172"/>
      <c r="I2172"/>
      <c r="J2172"/>
      <c r="K2172"/>
      <c r="L2172"/>
      <c r="M2172"/>
      <c r="N2172"/>
      <c r="O2172"/>
      <c r="P2172" s="36"/>
      <c r="Q2172" s="37"/>
      <c r="R2172"/>
      <c r="S2172"/>
      <c r="T2172"/>
      <c r="U2172"/>
      <c r="V2172" s="39"/>
      <c r="W2172"/>
      <c r="X2172"/>
      <c r="Y2172"/>
      <c r="Z2172"/>
      <c r="AA2172"/>
    </row>
    <row r="2173" spans="1:27" x14ac:dyDescent="0.25">
      <c r="A2173"/>
      <c r="B2173" s="36"/>
      <c r="C2173" s="36"/>
      <c r="D2173"/>
      <c r="E2173"/>
      <c r="F2173"/>
      <c r="G2173"/>
      <c r="H2173"/>
      <c r="I2173"/>
      <c r="J2173"/>
      <c r="K2173"/>
      <c r="L2173"/>
      <c r="M2173"/>
      <c r="N2173"/>
      <c r="O2173"/>
      <c r="P2173" s="36"/>
      <c r="Q2173" s="37"/>
      <c r="R2173"/>
      <c r="S2173"/>
      <c r="T2173"/>
      <c r="U2173"/>
      <c r="V2173" s="39"/>
      <c r="W2173"/>
      <c r="X2173"/>
      <c r="Y2173"/>
      <c r="Z2173"/>
      <c r="AA2173"/>
    </row>
    <row r="2174" spans="1:27" x14ac:dyDescent="0.25">
      <c r="A2174"/>
      <c r="B2174" s="36"/>
      <c r="C2174" s="36"/>
      <c r="D2174"/>
      <c r="E2174"/>
      <c r="F2174"/>
      <c r="G2174"/>
      <c r="H2174"/>
      <c r="I2174"/>
      <c r="J2174"/>
      <c r="K2174"/>
      <c r="L2174"/>
      <c r="M2174"/>
      <c r="N2174"/>
      <c r="O2174"/>
      <c r="P2174" s="36"/>
      <c r="Q2174" s="37"/>
      <c r="R2174"/>
      <c r="S2174"/>
      <c r="T2174"/>
      <c r="U2174"/>
      <c r="V2174" s="39"/>
      <c r="W2174"/>
      <c r="X2174"/>
      <c r="Y2174"/>
      <c r="Z2174"/>
      <c r="AA2174"/>
    </row>
    <row r="2175" spans="1:27" x14ac:dyDescent="0.25">
      <c r="A2175"/>
      <c r="B2175" s="36"/>
      <c r="C2175" s="36"/>
      <c r="D2175"/>
      <c r="E2175"/>
      <c r="F2175"/>
      <c r="G2175"/>
      <c r="H2175"/>
      <c r="I2175"/>
      <c r="J2175"/>
      <c r="K2175"/>
      <c r="L2175"/>
      <c r="M2175"/>
      <c r="N2175"/>
      <c r="O2175"/>
      <c r="P2175" s="36"/>
      <c r="Q2175" s="37"/>
      <c r="R2175"/>
      <c r="S2175"/>
      <c r="T2175"/>
      <c r="U2175"/>
      <c r="V2175" s="39"/>
      <c r="W2175"/>
      <c r="X2175"/>
      <c r="Y2175"/>
      <c r="Z2175"/>
      <c r="AA2175"/>
    </row>
    <row r="2176" spans="1:27" x14ac:dyDescent="0.25">
      <c r="A2176"/>
      <c r="B2176" s="36"/>
      <c r="C2176" s="36"/>
      <c r="D2176"/>
      <c r="E2176"/>
      <c r="F2176"/>
      <c r="G2176"/>
      <c r="H2176"/>
      <c r="I2176"/>
      <c r="J2176"/>
      <c r="K2176"/>
      <c r="L2176"/>
      <c r="M2176"/>
      <c r="N2176"/>
      <c r="O2176"/>
      <c r="P2176" s="36"/>
      <c r="Q2176" s="37"/>
      <c r="R2176"/>
      <c r="S2176"/>
      <c r="T2176"/>
      <c r="U2176"/>
      <c r="V2176" s="39"/>
      <c r="W2176"/>
      <c r="X2176"/>
      <c r="Y2176"/>
      <c r="Z2176"/>
      <c r="AA2176"/>
    </row>
    <row r="2177" spans="1:27" x14ac:dyDescent="0.25">
      <c r="A2177"/>
      <c r="B2177" s="36"/>
      <c r="C2177" s="36"/>
      <c r="D2177"/>
      <c r="E2177"/>
      <c r="F2177"/>
      <c r="G2177"/>
      <c r="H2177"/>
      <c r="I2177"/>
      <c r="J2177"/>
      <c r="K2177"/>
      <c r="L2177"/>
      <c r="M2177"/>
      <c r="N2177"/>
      <c r="O2177"/>
      <c r="P2177" s="36"/>
      <c r="Q2177" s="37"/>
      <c r="R2177"/>
      <c r="S2177"/>
      <c r="T2177"/>
      <c r="U2177"/>
      <c r="V2177" s="39"/>
      <c r="W2177"/>
      <c r="X2177"/>
      <c r="Y2177"/>
      <c r="Z2177"/>
      <c r="AA2177"/>
    </row>
    <row r="2178" spans="1:27" x14ac:dyDescent="0.25">
      <c r="A2178"/>
      <c r="B2178" s="36"/>
      <c r="C2178" s="36"/>
      <c r="D2178"/>
      <c r="E2178"/>
      <c r="F2178"/>
      <c r="G2178"/>
      <c r="H2178"/>
      <c r="I2178"/>
      <c r="J2178"/>
      <c r="K2178"/>
      <c r="L2178"/>
      <c r="M2178"/>
      <c r="N2178"/>
      <c r="O2178"/>
      <c r="P2178" s="36"/>
      <c r="Q2178" s="37"/>
      <c r="R2178" s="44"/>
      <c r="S2178"/>
      <c r="T2178"/>
      <c r="U2178"/>
      <c r="V2178" s="39"/>
      <c r="W2178"/>
      <c r="X2178"/>
      <c r="Y2178"/>
      <c r="Z2178"/>
      <c r="AA2178"/>
    </row>
    <row r="2179" spans="1:27" x14ac:dyDescent="0.25">
      <c r="A2179"/>
      <c r="B2179" s="36"/>
      <c r="C2179" s="36"/>
      <c r="D2179"/>
      <c r="E2179"/>
      <c r="F2179"/>
      <c r="G2179"/>
      <c r="H2179"/>
      <c r="I2179"/>
      <c r="J2179"/>
      <c r="K2179"/>
      <c r="L2179"/>
      <c r="M2179"/>
      <c r="N2179"/>
      <c r="O2179"/>
      <c r="P2179" s="36"/>
      <c r="Q2179" s="37"/>
      <c r="R2179"/>
      <c r="S2179"/>
      <c r="T2179"/>
      <c r="U2179"/>
      <c r="V2179" s="39"/>
      <c r="W2179"/>
      <c r="X2179"/>
      <c r="Y2179"/>
      <c r="Z2179"/>
      <c r="AA2179"/>
    </row>
    <row r="2180" spans="1:27" x14ac:dyDescent="0.25">
      <c r="A2180"/>
      <c r="B2180" s="36"/>
      <c r="C2180" s="36"/>
      <c r="D2180"/>
      <c r="E2180"/>
      <c r="F2180"/>
      <c r="G2180"/>
      <c r="H2180"/>
      <c r="I2180"/>
      <c r="J2180"/>
      <c r="K2180"/>
      <c r="L2180"/>
      <c r="M2180"/>
      <c r="N2180"/>
      <c r="O2180"/>
      <c r="P2180" s="36"/>
      <c r="Q2180" s="37"/>
      <c r="R2180"/>
      <c r="S2180"/>
      <c r="T2180"/>
      <c r="U2180"/>
      <c r="V2180" s="39"/>
      <c r="W2180"/>
      <c r="X2180"/>
      <c r="Y2180"/>
      <c r="Z2180"/>
      <c r="AA2180"/>
    </row>
    <row r="2181" spans="1:27" x14ac:dyDescent="0.25">
      <c r="A2181"/>
      <c r="B2181" s="36"/>
      <c r="C2181" s="36"/>
      <c r="D2181"/>
      <c r="E2181"/>
      <c r="F2181"/>
      <c r="G2181"/>
      <c r="H2181"/>
      <c r="I2181"/>
      <c r="J2181"/>
      <c r="K2181"/>
      <c r="L2181"/>
      <c r="M2181"/>
      <c r="N2181"/>
      <c r="O2181"/>
      <c r="P2181" s="36"/>
      <c r="Q2181" s="37"/>
      <c r="R2181"/>
      <c r="S2181"/>
      <c r="T2181"/>
      <c r="U2181"/>
      <c r="V2181" s="39"/>
      <c r="W2181"/>
      <c r="X2181"/>
      <c r="Y2181"/>
      <c r="Z2181"/>
      <c r="AA2181"/>
    </row>
    <row r="2182" spans="1:27" x14ac:dyDescent="0.25">
      <c r="A2182"/>
      <c r="B2182" s="36"/>
      <c r="C2182" s="36"/>
      <c r="D2182"/>
      <c r="E2182"/>
      <c r="F2182"/>
      <c r="G2182"/>
      <c r="H2182"/>
      <c r="I2182"/>
      <c r="J2182"/>
      <c r="K2182"/>
      <c r="L2182"/>
      <c r="M2182"/>
      <c r="N2182"/>
      <c r="O2182"/>
      <c r="P2182" s="36"/>
      <c r="Q2182" s="37"/>
      <c r="R2182"/>
      <c r="S2182"/>
      <c r="T2182"/>
      <c r="U2182"/>
      <c r="V2182" s="39"/>
      <c r="W2182"/>
      <c r="X2182"/>
      <c r="Y2182"/>
      <c r="Z2182"/>
      <c r="AA2182"/>
    </row>
    <row r="2183" spans="1:27" x14ac:dyDescent="0.25">
      <c r="A2183"/>
      <c r="B2183" s="36"/>
      <c r="C2183" s="36"/>
      <c r="D2183"/>
      <c r="E2183"/>
      <c r="F2183"/>
      <c r="G2183"/>
      <c r="H2183"/>
      <c r="I2183"/>
      <c r="J2183"/>
      <c r="K2183"/>
      <c r="L2183"/>
      <c r="M2183"/>
      <c r="N2183"/>
      <c r="O2183"/>
      <c r="P2183" s="36"/>
      <c r="Q2183" s="37"/>
      <c r="R2183"/>
      <c r="S2183"/>
      <c r="T2183"/>
      <c r="U2183"/>
      <c r="V2183" s="39"/>
      <c r="W2183"/>
      <c r="X2183"/>
      <c r="Y2183"/>
      <c r="Z2183"/>
      <c r="AA2183"/>
    </row>
    <row r="2184" spans="1:27" x14ac:dyDescent="0.25">
      <c r="A2184"/>
      <c r="B2184" s="36"/>
      <c r="C2184" s="36"/>
      <c r="D2184"/>
      <c r="E2184"/>
      <c r="F2184"/>
      <c r="G2184"/>
      <c r="H2184"/>
      <c r="I2184"/>
      <c r="J2184"/>
      <c r="K2184"/>
      <c r="L2184"/>
      <c r="M2184"/>
      <c r="N2184"/>
      <c r="O2184"/>
      <c r="P2184" s="36"/>
      <c r="Q2184" s="37"/>
      <c r="R2184"/>
      <c r="S2184"/>
      <c r="T2184"/>
      <c r="U2184"/>
      <c r="V2184" s="39"/>
      <c r="W2184"/>
      <c r="X2184"/>
      <c r="Y2184"/>
      <c r="Z2184"/>
      <c r="AA2184"/>
    </row>
    <row r="2185" spans="1:27" x14ac:dyDescent="0.25">
      <c r="A2185"/>
      <c r="B2185" s="36"/>
      <c r="C2185" s="36"/>
      <c r="D2185"/>
      <c r="E2185"/>
      <c r="F2185"/>
      <c r="G2185"/>
      <c r="H2185"/>
      <c r="I2185"/>
      <c r="J2185"/>
      <c r="K2185"/>
      <c r="L2185"/>
      <c r="M2185"/>
      <c r="N2185"/>
      <c r="O2185"/>
      <c r="P2185" s="36"/>
      <c r="Q2185" s="37"/>
      <c r="R2185"/>
      <c r="S2185"/>
      <c r="T2185"/>
      <c r="U2185"/>
      <c r="V2185" s="39"/>
      <c r="W2185"/>
      <c r="X2185"/>
      <c r="Y2185"/>
      <c r="Z2185"/>
      <c r="AA2185"/>
    </row>
    <row r="2186" spans="1:27" x14ac:dyDescent="0.25">
      <c r="A2186"/>
      <c r="B2186" s="36"/>
      <c r="C2186" s="36"/>
      <c r="D2186"/>
      <c r="E2186"/>
      <c r="F2186"/>
      <c r="G2186"/>
      <c r="H2186"/>
      <c r="I2186"/>
      <c r="J2186"/>
      <c r="K2186"/>
      <c r="L2186"/>
      <c r="M2186"/>
      <c r="N2186"/>
      <c r="O2186"/>
      <c r="P2186" s="36"/>
      <c r="Q2186" s="37"/>
      <c r="R2186"/>
      <c r="S2186"/>
      <c r="T2186"/>
      <c r="U2186"/>
      <c r="V2186" s="39"/>
      <c r="W2186"/>
      <c r="X2186"/>
      <c r="Y2186"/>
      <c r="Z2186"/>
      <c r="AA2186"/>
    </row>
    <row r="2187" spans="1:27" x14ac:dyDescent="0.25">
      <c r="A2187"/>
      <c r="B2187" s="36"/>
      <c r="C2187" s="36"/>
      <c r="D2187"/>
      <c r="E2187"/>
      <c r="F2187"/>
      <c r="G2187"/>
      <c r="H2187"/>
      <c r="I2187"/>
      <c r="J2187"/>
      <c r="K2187"/>
      <c r="L2187"/>
      <c r="M2187"/>
      <c r="N2187"/>
      <c r="O2187"/>
      <c r="P2187" s="36"/>
      <c r="Q2187" s="37"/>
      <c r="R2187"/>
      <c r="S2187"/>
      <c r="T2187"/>
      <c r="U2187"/>
      <c r="V2187" s="39"/>
      <c r="W2187"/>
      <c r="X2187"/>
      <c r="Y2187"/>
      <c r="Z2187"/>
      <c r="AA2187"/>
    </row>
    <row r="2188" spans="1:27" x14ac:dyDescent="0.25">
      <c r="A2188"/>
      <c r="B2188" s="36"/>
      <c r="C2188" s="36"/>
      <c r="D2188"/>
      <c r="E2188"/>
      <c r="F2188"/>
      <c r="G2188"/>
      <c r="H2188"/>
      <c r="I2188"/>
      <c r="J2188"/>
      <c r="K2188"/>
      <c r="L2188"/>
      <c r="M2188"/>
      <c r="N2188"/>
      <c r="O2188"/>
      <c r="P2188" s="36"/>
      <c r="Q2188" s="37"/>
      <c r="R2188"/>
      <c r="S2188"/>
      <c r="T2188"/>
      <c r="U2188"/>
      <c r="V2188" s="39"/>
      <c r="W2188"/>
      <c r="X2188"/>
      <c r="Y2188"/>
      <c r="Z2188"/>
      <c r="AA2188"/>
    </row>
    <row r="2189" spans="1:27" x14ac:dyDescent="0.25">
      <c r="A2189"/>
      <c r="B2189" s="36"/>
      <c r="C2189" s="36"/>
      <c r="D2189"/>
      <c r="E2189"/>
      <c r="F2189"/>
      <c r="G2189"/>
      <c r="H2189"/>
      <c r="I2189"/>
      <c r="J2189"/>
      <c r="K2189"/>
      <c r="L2189"/>
      <c r="M2189"/>
      <c r="N2189"/>
      <c r="O2189"/>
      <c r="P2189" s="36"/>
      <c r="Q2189" s="37"/>
      <c r="R2189"/>
      <c r="S2189"/>
      <c r="T2189"/>
      <c r="U2189"/>
      <c r="V2189" s="39"/>
      <c r="W2189"/>
      <c r="X2189"/>
      <c r="Y2189"/>
      <c r="Z2189"/>
      <c r="AA2189"/>
    </row>
    <row r="2190" spans="1:27" x14ac:dyDescent="0.25">
      <c r="A2190"/>
      <c r="B2190" s="36"/>
      <c r="C2190" s="36"/>
      <c r="D2190"/>
      <c r="E2190"/>
      <c r="F2190"/>
      <c r="G2190"/>
      <c r="H2190"/>
      <c r="I2190"/>
      <c r="J2190"/>
      <c r="K2190"/>
      <c r="L2190"/>
      <c r="M2190"/>
      <c r="N2190"/>
      <c r="O2190"/>
      <c r="P2190" s="36"/>
      <c r="Q2190" s="37"/>
      <c r="R2190"/>
      <c r="S2190"/>
      <c r="T2190"/>
      <c r="U2190"/>
      <c r="V2190" s="39"/>
      <c r="W2190"/>
      <c r="X2190"/>
      <c r="Y2190"/>
      <c r="Z2190"/>
      <c r="AA2190"/>
    </row>
    <row r="2191" spans="1:27" x14ac:dyDescent="0.25">
      <c r="A2191"/>
      <c r="B2191" s="36"/>
      <c r="C2191" s="36"/>
      <c r="D2191"/>
      <c r="E2191"/>
      <c r="F2191"/>
      <c r="G2191"/>
      <c r="H2191"/>
      <c r="I2191"/>
      <c r="J2191"/>
      <c r="K2191"/>
      <c r="L2191"/>
      <c r="M2191"/>
      <c r="N2191"/>
      <c r="O2191"/>
      <c r="P2191" s="36"/>
      <c r="Q2191" s="37"/>
      <c r="R2191"/>
      <c r="S2191"/>
      <c r="T2191"/>
      <c r="U2191"/>
      <c r="V2191" s="39"/>
      <c r="W2191"/>
      <c r="X2191"/>
      <c r="Y2191"/>
      <c r="Z2191"/>
      <c r="AA2191"/>
    </row>
    <row r="2192" spans="1:27" x14ac:dyDescent="0.25">
      <c r="A2192"/>
      <c r="B2192" s="36"/>
      <c r="C2192" s="36"/>
      <c r="D2192"/>
      <c r="E2192"/>
      <c r="F2192"/>
      <c r="G2192"/>
      <c r="H2192"/>
      <c r="I2192"/>
      <c r="J2192"/>
      <c r="K2192"/>
      <c r="L2192"/>
      <c r="M2192"/>
      <c r="N2192"/>
      <c r="O2192"/>
      <c r="P2192" s="36"/>
      <c r="Q2192" s="37"/>
      <c r="R2192"/>
      <c r="S2192"/>
      <c r="T2192"/>
      <c r="U2192"/>
      <c r="V2192" s="39"/>
      <c r="W2192"/>
      <c r="X2192"/>
      <c r="Y2192"/>
      <c r="Z2192"/>
      <c r="AA2192"/>
    </row>
    <row r="2193" spans="1:27" x14ac:dyDescent="0.25">
      <c r="A2193"/>
      <c r="B2193" s="36"/>
      <c r="C2193" s="36"/>
      <c r="D2193"/>
      <c r="E2193"/>
      <c r="F2193"/>
      <c r="G2193"/>
      <c r="H2193"/>
      <c r="I2193"/>
      <c r="J2193"/>
      <c r="K2193"/>
      <c r="L2193"/>
      <c r="M2193"/>
      <c r="N2193"/>
      <c r="O2193"/>
      <c r="P2193" s="36"/>
      <c r="Q2193" s="37"/>
      <c r="R2193"/>
      <c r="S2193"/>
      <c r="T2193"/>
      <c r="U2193"/>
      <c r="V2193" s="39"/>
      <c r="W2193"/>
      <c r="X2193"/>
      <c r="Y2193"/>
      <c r="Z2193"/>
      <c r="AA2193"/>
    </row>
    <row r="2194" spans="1:27" x14ac:dyDescent="0.25">
      <c r="A2194"/>
      <c r="B2194" s="36"/>
      <c r="C2194" s="36"/>
      <c r="D2194"/>
      <c r="E2194"/>
      <c r="F2194"/>
      <c r="G2194"/>
      <c r="H2194"/>
      <c r="I2194"/>
      <c r="J2194"/>
      <c r="K2194"/>
      <c r="L2194"/>
      <c r="M2194"/>
      <c r="N2194"/>
      <c r="O2194"/>
      <c r="P2194" s="36"/>
      <c r="Q2194" s="37"/>
      <c r="R2194"/>
      <c r="S2194"/>
      <c r="T2194"/>
      <c r="U2194"/>
      <c r="V2194" s="39"/>
      <c r="W2194"/>
      <c r="X2194"/>
      <c r="Y2194"/>
      <c r="Z2194"/>
      <c r="AA2194"/>
    </row>
    <row r="2195" spans="1:27" x14ac:dyDescent="0.25">
      <c r="A2195"/>
      <c r="B2195" s="36"/>
      <c r="C2195" s="36"/>
      <c r="D2195"/>
      <c r="E2195"/>
      <c r="F2195"/>
      <c r="G2195"/>
      <c r="H2195"/>
      <c r="I2195"/>
      <c r="J2195"/>
      <c r="K2195"/>
      <c r="L2195"/>
      <c r="M2195"/>
      <c r="N2195"/>
      <c r="O2195"/>
      <c r="P2195" s="36"/>
      <c r="Q2195" s="37"/>
      <c r="R2195"/>
      <c r="S2195"/>
      <c r="T2195"/>
      <c r="U2195"/>
      <c r="V2195" s="39"/>
      <c r="W2195"/>
      <c r="X2195"/>
      <c r="Y2195"/>
      <c r="Z2195"/>
      <c r="AA2195"/>
    </row>
    <row r="2196" spans="1:27" x14ac:dyDescent="0.25">
      <c r="A2196"/>
      <c r="B2196" s="36"/>
      <c r="C2196" s="36"/>
      <c r="D2196"/>
      <c r="E2196"/>
      <c r="F2196"/>
      <c r="G2196"/>
      <c r="H2196"/>
      <c r="I2196"/>
      <c r="J2196"/>
      <c r="K2196"/>
      <c r="L2196"/>
      <c r="M2196"/>
      <c r="N2196"/>
      <c r="O2196"/>
      <c r="P2196" s="36"/>
      <c r="Q2196" s="37"/>
      <c r="R2196"/>
      <c r="S2196"/>
      <c r="T2196"/>
      <c r="U2196"/>
      <c r="V2196" s="39"/>
      <c r="W2196"/>
      <c r="X2196"/>
      <c r="Y2196"/>
      <c r="Z2196"/>
      <c r="AA2196"/>
    </row>
    <row r="2197" spans="1:27" x14ac:dyDescent="0.25">
      <c r="A2197"/>
      <c r="B2197" s="36"/>
      <c r="C2197" s="36"/>
      <c r="D2197"/>
      <c r="E2197"/>
      <c r="F2197"/>
      <c r="G2197"/>
      <c r="H2197"/>
      <c r="I2197"/>
      <c r="J2197"/>
      <c r="K2197"/>
      <c r="L2197"/>
      <c r="M2197"/>
      <c r="N2197"/>
      <c r="O2197"/>
      <c r="P2197" s="36"/>
      <c r="Q2197" s="37"/>
      <c r="R2197"/>
      <c r="S2197"/>
      <c r="T2197"/>
      <c r="U2197"/>
      <c r="V2197" s="39"/>
      <c r="W2197"/>
      <c r="X2197"/>
      <c r="Y2197"/>
      <c r="Z2197"/>
      <c r="AA2197"/>
    </row>
    <row r="2198" spans="1:27" x14ac:dyDescent="0.25">
      <c r="A2198"/>
      <c r="B2198" s="36"/>
      <c r="C2198" s="36"/>
      <c r="D2198"/>
      <c r="E2198"/>
      <c r="F2198"/>
      <c r="G2198"/>
      <c r="H2198"/>
      <c r="I2198"/>
      <c r="J2198"/>
      <c r="K2198"/>
      <c r="L2198"/>
      <c r="M2198"/>
      <c r="N2198"/>
      <c r="O2198"/>
      <c r="P2198" s="36"/>
      <c r="Q2198" s="37"/>
      <c r="R2198"/>
      <c r="S2198"/>
      <c r="T2198"/>
      <c r="U2198"/>
      <c r="V2198" s="39"/>
      <c r="W2198"/>
      <c r="X2198"/>
      <c r="Y2198"/>
      <c r="Z2198"/>
      <c r="AA2198"/>
    </row>
    <row r="2199" spans="1:27" x14ac:dyDescent="0.25">
      <c r="A2199"/>
      <c r="B2199" s="36"/>
      <c r="C2199" s="36"/>
      <c r="D2199"/>
      <c r="E2199"/>
      <c r="F2199"/>
      <c r="G2199"/>
      <c r="H2199"/>
      <c r="I2199"/>
      <c r="J2199"/>
      <c r="K2199"/>
      <c r="L2199"/>
      <c r="M2199"/>
      <c r="N2199"/>
      <c r="O2199"/>
      <c r="P2199" s="36"/>
      <c r="Q2199" s="37"/>
      <c r="R2199"/>
      <c r="S2199"/>
      <c r="T2199"/>
      <c r="U2199"/>
      <c r="V2199" s="39"/>
      <c r="W2199"/>
      <c r="X2199"/>
      <c r="Y2199"/>
      <c r="Z2199"/>
      <c r="AA2199"/>
    </row>
    <row r="2200" spans="1:27" x14ac:dyDescent="0.25">
      <c r="A2200"/>
      <c r="B2200" s="36"/>
      <c r="C2200" s="36"/>
      <c r="D2200"/>
      <c r="E2200"/>
      <c r="F2200"/>
      <c r="G2200"/>
      <c r="H2200"/>
      <c r="I2200"/>
      <c r="J2200"/>
      <c r="K2200"/>
      <c r="L2200"/>
      <c r="M2200"/>
      <c r="N2200"/>
      <c r="O2200"/>
      <c r="P2200" s="36"/>
      <c r="Q2200" s="37"/>
      <c r="R2200"/>
      <c r="S2200"/>
      <c r="T2200"/>
      <c r="U2200"/>
      <c r="V2200" s="39"/>
      <c r="W2200"/>
      <c r="X2200"/>
      <c r="Y2200"/>
      <c r="Z2200"/>
      <c r="AA2200"/>
    </row>
    <row r="2201" spans="1:27" x14ac:dyDescent="0.25">
      <c r="A2201"/>
      <c r="B2201" s="36"/>
      <c r="C2201" s="36"/>
      <c r="D2201"/>
      <c r="E2201"/>
      <c r="F2201"/>
      <c r="G2201"/>
      <c r="H2201"/>
      <c r="I2201"/>
      <c r="J2201"/>
      <c r="K2201"/>
      <c r="L2201"/>
      <c r="M2201"/>
      <c r="N2201"/>
      <c r="O2201"/>
      <c r="P2201" s="36"/>
      <c r="Q2201" s="37"/>
      <c r="R2201"/>
      <c r="S2201"/>
      <c r="T2201"/>
      <c r="U2201"/>
      <c r="V2201" s="39"/>
      <c r="W2201"/>
      <c r="X2201"/>
      <c r="Y2201"/>
      <c r="Z2201"/>
      <c r="AA2201"/>
    </row>
    <row r="2202" spans="1:27" x14ac:dyDescent="0.25">
      <c r="A2202"/>
      <c r="B2202" s="36"/>
      <c r="C2202" s="36"/>
      <c r="D2202"/>
      <c r="E2202"/>
      <c r="F2202"/>
      <c r="G2202"/>
      <c r="H2202"/>
      <c r="I2202"/>
      <c r="J2202"/>
      <c r="K2202"/>
      <c r="L2202"/>
      <c r="M2202"/>
      <c r="N2202"/>
      <c r="O2202"/>
      <c r="P2202" s="36"/>
      <c r="Q2202" s="37"/>
      <c r="R2202" s="44"/>
      <c r="S2202"/>
      <c r="T2202"/>
      <c r="U2202"/>
      <c r="V2202" s="39"/>
      <c r="W2202"/>
      <c r="X2202"/>
      <c r="Y2202"/>
      <c r="Z2202"/>
      <c r="AA2202"/>
    </row>
    <row r="2203" spans="1:27" x14ac:dyDescent="0.25">
      <c r="A2203"/>
      <c r="B2203" s="36"/>
      <c r="C2203" s="36"/>
      <c r="D2203"/>
      <c r="E2203"/>
      <c r="F2203"/>
      <c r="G2203"/>
      <c r="H2203"/>
      <c r="I2203"/>
      <c r="J2203"/>
      <c r="K2203"/>
      <c r="L2203"/>
      <c r="M2203"/>
      <c r="N2203"/>
      <c r="O2203"/>
      <c r="P2203" s="36"/>
      <c r="Q2203" s="37"/>
      <c r="R2203"/>
      <c r="S2203"/>
      <c r="T2203"/>
      <c r="U2203"/>
      <c r="V2203" s="39"/>
      <c r="W2203"/>
      <c r="X2203"/>
      <c r="Y2203"/>
      <c r="Z2203"/>
      <c r="AA2203"/>
    </row>
    <row r="2204" spans="1:27" x14ac:dyDescent="0.25">
      <c r="A2204"/>
      <c r="B2204" s="36"/>
      <c r="C2204" s="36"/>
      <c r="D2204"/>
      <c r="E2204"/>
      <c r="F2204"/>
      <c r="G2204"/>
      <c r="H2204"/>
      <c r="I2204"/>
      <c r="J2204"/>
      <c r="K2204"/>
      <c r="L2204"/>
      <c r="M2204"/>
      <c r="N2204"/>
      <c r="O2204"/>
      <c r="P2204" s="36"/>
      <c r="Q2204" s="37"/>
      <c r="R2204"/>
      <c r="S2204"/>
      <c r="T2204"/>
      <c r="U2204"/>
      <c r="V2204" s="39"/>
      <c r="W2204"/>
      <c r="X2204"/>
      <c r="Y2204"/>
      <c r="Z2204"/>
      <c r="AA2204"/>
    </row>
    <row r="2205" spans="1:27" x14ac:dyDescent="0.25">
      <c r="A2205"/>
      <c r="B2205" s="36"/>
      <c r="C2205" s="36"/>
      <c r="D2205"/>
      <c r="E2205"/>
      <c r="F2205"/>
      <c r="G2205"/>
      <c r="H2205"/>
      <c r="I2205"/>
      <c r="J2205"/>
      <c r="K2205"/>
      <c r="L2205"/>
      <c r="M2205"/>
      <c r="N2205"/>
      <c r="O2205"/>
      <c r="P2205" s="36"/>
      <c r="Q2205" s="37"/>
      <c r="R2205"/>
      <c r="S2205"/>
      <c r="T2205"/>
      <c r="U2205"/>
      <c r="V2205" s="39"/>
      <c r="W2205"/>
      <c r="X2205"/>
      <c r="Y2205"/>
      <c r="Z2205"/>
      <c r="AA2205"/>
    </row>
    <row r="2206" spans="1:27" x14ac:dyDescent="0.25">
      <c r="A2206"/>
      <c r="B2206" s="36"/>
      <c r="C2206" s="36"/>
      <c r="D2206"/>
      <c r="E2206"/>
      <c r="F2206"/>
      <c r="G2206"/>
      <c r="H2206"/>
      <c r="I2206"/>
      <c r="J2206"/>
      <c r="K2206"/>
      <c r="L2206"/>
      <c r="M2206"/>
      <c r="N2206"/>
      <c r="O2206"/>
      <c r="P2206" s="36"/>
      <c r="Q2206" s="37"/>
      <c r="R2206"/>
      <c r="S2206"/>
      <c r="T2206"/>
      <c r="U2206"/>
      <c r="V2206" s="39"/>
      <c r="W2206"/>
      <c r="X2206"/>
      <c r="Y2206"/>
      <c r="Z2206"/>
      <c r="AA2206"/>
    </row>
    <row r="2207" spans="1:27" x14ac:dyDescent="0.25">
      <c r="A2207"/>
      <c r="B2207" s="36"/>
      <c r="C2207" s="36"/>
      <c r="D2207"/>
      <c r="E2207"/>
      <c r="F2207"/>
      <c r="G2207"/>
      <c r="H2207"/>
      <c r="I2207"/>
      <c r="J2207"/>
      <c r="K2207"/>
      <c r="L2207"/>
      <c r="M2207"/>
      <c r="N2207"/>
      <c r="O2207"/>
      <c r="P2207" s="36"/>
      <c r="Q2207" s="37"/>
      <c r="R2207"/>
      <c r="S2207"/>
      <c r="T2207"/>
      <c r="U2207"/>
      <c r="V2207" s="39"/>
      <c r="W2207"/>
      <c r="X2207"/>
      <c r="Y2207"/>
      <c r="Z2207"/>
      <c r="AA2207"/>
    </row>
    <row r="2208" spans="1:27" x14ac:dyDescent="0.25">
      <c r="A2208"/>
      <c r="B2208" s="36"/>
      <c r="C2208" s="36"/>
      <c r="D2208"/>
      <c r="E2208"/>
      <c r="F2208"/>
      <c r="G2208"/>
      <c r="H2208"/>
      <c r="I2208"/>
      <c r="J2208"/>
      <c r="K2208"/>
      <c r="L2208"/>
      <c r="M2208"/>
      <c r="N2208"/>
      <c r="O2208"/>
      <c r="P2208" s="36"/>
      <c r="Q2208" s="37"/>
      <c r="R2208"/>
      <c r="S2208"/>
      <c r="T2208"/>
      <c r="U2208"/>
      <c r="V2208" s="39"/>
      <c r="W2208"/>
      <c r="X2208"/>
      <c r="Y2208"/>
      <c r="Z2208"/>
      <c r="AA2208"/>
    </row>
    <row r="2209" spans="1:27" x14ac:dyDescent="0.25">
      <c r="A2209"/>
      <c r="B2209" s="36"/>
      <c r="C2209" s="36"/>
      <c r="D2209"/>
      <c r="E2209"/>
      <c r="F2209"/>
      <c r="G2209"/>
      <c r="H2209"/>
      <c r="I2209"/>
      <c r="J2209"/>
      <c r="K2209"/>
      <c r="L2209"/>
      <c r="M2209"/>
      <c r="N2209"/>
      <c r="O2209"/>
      <c r="P2209" s="36"/>
      <c r="Q2209" s="37"/>
      <c r="R2209"/>
      <c r="S2209"/>
      <c r="T2209"/>
      <c r="U2209"/>
      <c r="V2209" s="39"/>
      <c r="W2209"/>
      <c r="X2209"/>
      <c r="Y2209"/>
      <c r="Z2209"/>
      <c r="AA2209"/>
    </row>
    <row r="2210" spans="1:27" x14ac:dyDescent="0.25">
      <c r="A2210"/>
      <c r="B2210" s="36"/>
      <c r="C2210" s="36"/>
      <c r="D2210"/>
      <c r="E2210"/>
      <c r="F2210"/>
      <c r="G2210"/>
      <c r="H2210"/>
      <c r="I2210"/>
      <c r="J2210"/>
      <c r="K2210"/>
      <c r="L2210"/>
      <c r="M2210"/>
      <c r="N2210"/>
      <c r="O2210"/>
      <c r="P2210" s="36"/>
      <c r="Q2210" s="37"/>
      <c r="R2210"/>
      <c r="S2210"/>
      <c r="T2210"/>
      <c r="U2210"/>
      <c r="V2210" s="39"/>
      <c r="W2210"/>
      <c r="X2210"/>
      <c r="Y2210"/>
      <c r="Z2210"/>
      <c r="AA2210"/>
    </row>
    <row r="2211" spans="1:27" x14ac:dyDescent="0.25">
      <c r="A2211"/>
      <c r="B2211" s="36"/>
      <c r="C2211" s="36"/>
      <c r="D2211"/>
      <c r="E2211"/>
      <c r="F2211"/>
      <c r="G2211"/>
      <c r="H2211"/>
      <c r="I2211"/>
      <c r="J2211"/>
      <c r="K2211"/>
      <c r="L2211"/>
      <c r="M2211"/>
      <c r="N2211"/>
      <c r="O2211"/>
      <c r="P2211" s="36"/>
      <c r="Q2211" s="37"/>
      <c r="R2211"/>
      <c r="S2211"/>
      <c r="T2211"/>
      <c r="U2211"/>
      <c r="V2211" s="39"/>
      <c r="W2211"/>
      <c r="X2211"/>
      <c r="Y2211"/>
      <c r="Z2211"/>
      <c r="AA2211"/>
    </row>
    <row r="2212" spans="1:27" x14ac:dyDescent="0.25">
      <c r="A2212"/>
      <c r="B2212" s="36"/>
      <c r="C2212" s="36"/>
      <c r="D2212"/>
      <c r="E2212"/>
      <c r="F2212"/>
      <c r="G2212"/>
      <c r="H2212"/>
      <c r="I2212"/>
      <c r="J2212"/>
      <c r="K2212"/>
      <c r="L2212"/>
      <c r="M2212"/>
      <c r="N2212"/>
      <c r="O2212"/>
      <c r="P2212" s="36"/>
      <c r="Q2212" s="37"/>
      <c r="R2212"/>
      <c r="S2212"/>
      <c r="T2212"/>
      <c r="U2212"/>
      <c r="V2212" s="39"/>
      <c r="W2212"/>
      <c r="X2212"/>
      <c r="Y2212"/>
      <c r="Z2212"/>
      <c r="AA2212"/>
    </row>
    <row r="2213" spans="1:27" x14ac:dyDescent="0.25">
      <c r="A2213"/>
      <c r="B2213" s="36"/>
      <c r="C2213" s="36"/>
      <c r="D2213"/>
      <c r="E2213"/>
      <c r="F2213"/>
      <c r="G2213"/>
      <c r="H2213"/>
      <c r="I2213"/>
      <c r="J2213"/>
      <c r="K2213"/>
      <c r="L2213"/>
      <c r="M2213"/>
      <c r="N2213"/>
      <c r="O2213"/>
      <c r="P2213" s="36"/>
      <c r="Q2213" s="37"/>
      <c r="R2213"/>
      <c r="S2213"/>
      <c r="T2213"/>
      <c r="U2213"/>
      <c r="V2213" s="39"/>
      <c r="W2213"/>
      <c r="X2213"/>
      <c r="Y2213"/>
      <c r="Z2213"/>
      <c r="AA2213"/>
    </row>
    <row r="2214" spans="1:27" x14ac:dyDescent="0.25">
      <c r="A2214"/>
      <c r="B2214" s="36"/>
      <c r="C2214" s="36"/>
      <c r="D2214"/>
      <c r="E2214"/>
      <c r="F2214"/>
      <c r="G2214"/>
      <c r="H2214"/>
      <c r="I2214"/>
      <c r="J2214"/>
      <c r="K2214"/>
      <c r="L2214"/>
      <c r="M2214"/>
      <c r="N2214"/>
      <c r="O2214"/>
      <c r="P2214" s="36"/>
      <c r="Q2214" s="37"/>
      <c r="R2214"/>
      <c r="S2214"/>
      <c r="T2214"/>
      <c r="U2214"/>
      <c r="V2214" s="39"/>
      <c r="W2214"/>
      <c r="X2214"/>
      <c r="Y2214"/>
      <c r="Z2214"/>
      <c r="AA2214"/>
    </row>
    <row r="2215" spans="1:27" x14ac:dyDescent="0.25">
      <c r="A2215"/>
      <c r="B2215" s="36"/>
      <c r="C2215" s="36"/>
      <c r="D2215"/>
      <c r="E2215"/>
      <c r="F2215"/>
      <c r="G2215"/>
      <c r="H2215"/>
      <c r="I2215"/>
      <c r="J2215"/>
      <c r="K2215"/>
      <c r="L2215"/>
      <c r="M2215"/>
      <c r="N2215"/>
      <c r="O2215"/>
      <c r="P2215" s="36"/>
      <c r="Q2215" s="37"/>
      <c r="R2215"/>
      <c r="S2215"/>
      <c r="T2215"/>
      <c r="U2215"/>
      <c r="V2215" s="39"/>
      <c r="W2215"/>
      <c r="X2215"/>
      <c r="Y2215"/>
      <c r="Z2215"/>
      <c r="AA2215"/>
    </row>
    <row r="2216" spans="1:27" x14ac:dyDescent="0.25">
      <c r="A2216"/>
      <c r="B2216" s="36"/>
      <c r="C2216" s="36"/>
      <c r="D2216"/>
      <c r="E2216"/>
      <c r="F2216"/>
      <c r="G2216"/>
      <c r="H2216"/>
      <c r="I2216"/>
      <c r="J2216"/>
      <c r="K2216"/>
      <c r="L2216"/>
      <c r="M2216"/>
      <c r="N2216"/>
      <c r="O2216"/>
      <c r="P2216" s="36"/>
      <c r="Q2216" s="37"/>
      <c r="R2216"/>
      <c r="S2216"/>
      <c r="T2216"/>
      <c r="U2216"/>
      <c r="V2216" s="39"/>
      <c r="W2216"/>
      <c r="X2216"/>
      <c r="Y2216"/>
      <c r="Z2216"/>
      <c r="AA2216"/>
    </row>
    <row r="2217" spans="1:27" x14ac:dyDescent="0.25">
      <c r="A2217"/>
      <c r="B2217" s="36"/>
      <c r="C2217" s="36"/>
      <c r="D2217"/>
      <c r="E2217"/>
      <c r="F2217"/>
      <c r="G2217"/>
      <c r="H2217"/>
      <c r="I2217"/>
      <c r="J2217"/>
      <c r="K2217"/>
      <c r="L2217"/>
      <c r="M2217"/>
      <c r="N2217"/>
      <c r="O2217"/>
      <c r="P2217" s="36"/>
      <c r="Q2217" s="37"/>
      <c r="R2217"/>
      <c r="S2217"/>
      <c r="T2217"/>
      <c r="U2217"/>
      <c r="V2217" s="39"/>
      <c r="W2217"/>
      <c r="X2217"/>
      <c r="Y2217"/>
      <c r="Z2217"/>
      <c r="AA2217"/>
    </row>
    <row r="2218" spans="1:27" x14ac:dyDescent="0.25">
      <c r="A2218"/>
      <c r="B2218" s="36"/>
      <c r="C2218" s="36"/>
      <c r="D2218"/>
      <c r="E2218"/>
      <c r="F2218"/>
      <c r="G2218"/>
      <c r="H2218"/>
      <c r="I2218"/>
      <c r="J2218"/>
      <c r="K2218"/>
      <c r="L2218"/>
      <c r="M2218"/>
      <c r="N2218"/>
      <c r="O2218"/>
      <c r="P2218" s="36"/>
      <c r="Q2218" s="37"/>
      <c r="R2218"/>
      <c r="S2218"/>
      <c r="T2218"/>
      <c r="U2218"/>
      <c r="V2218" s="39"/>
      <c r="W2218"/>
      <c r="X2218"/>
      <c r="Y2218"/>
      <c r="Z2218"/>
      <c r="AA2218"/>
    </row>
    <row r="2219" spans="1:27" x14ac:dyDescent="0.25">
      <c r="A2219"/>
      <c r="B2219" s="36"/>
      <c r="C2219" s="36"/>
      <c r="D2219"/>
      <c r="E2219"/>
      <c r="F2219"/>
      <c r="G2219"/>
      <c r="H2219"/>
      <c r="I2219"/>
      <c r="J2219"/>
      <c r="K2219"/>
      <c r="L2219"/>
      <c r="M2219"/>
      <c r="N2219"/>
      <c r="O2219"/>
      <c r="P2219" s="36"/>
      <c r="Q2219" s="37"/>
      <c r="R2219"/>
      <c r="S2219"/>
      <c r="T2219"/>
      <c r="U2219"/>
      <c r="V2219" s="39"/>
      <c r="W2219"/>
      <c r="X2219"/>
      <c r="Y2219"/>
      <c r="Z2219"/>
      <c r="AA2219"/>
    </row>
    <row r="2220" spans="1:27" x14ac:dyDescent="0.25">
      <c r="A2220"/>
      <c r="B2220" s="36"/>
      <c r="C2220" s="36"/>
      <c r="D2220"/>
      <c r="E2220"/>
      <c r="F2220"/>
      <c r="G2220"/>
      <c r="H2220"/>
      <c r="I2220"/>
      <c r="J2220"/>
      <c r="K2220"/>
      <c r="L2220"/>
      <c r="M2220"/>
      <c r="N2220"/>
      <c r="O2220"/>
      <c r="P2220" s="36"/>
      <c r="Q2220" s="37"/>
      <c r="R2220"/>
      <c r="S2220"/>
      <c r="T2220"/>
      <c r="U2220"/>
      <c r="V2220" s="39"/>
      <c r="W2220"/>
      <c r="X2220"/>
      <c r="Y2220"/>
      <c r="Z2220"/>
      <c r="AA2220"/>
    </row>
    <row r="2221" spans="1:27" x14ac:dyDescent="0.25">
      <c r="A2221"/>
      <c r="B2221" s="36"/>
      <c r="C2221" s="36"/>
      <c r="D2221"/>
      <c r="E2221"/>
      <c r="F2221"/>
      <c r="G2221"/>
      <c r="H2221"/>
      <c r="I2221"/>
      <c r="J2221"/>
      <c r="K2221"/>
      <c r="L2221"/>
      <c r="M2221"/>
      <c r="N2221"/>
      <c r="O2221"/>
      <c r="P2221" s="36"/>
      <c r="Q2221" s="37"/>
      <c r="R2221"/>
      <c r="S2221"/>
      <c r="T2221"/>
      <c r="U2221"/>
      <c r="V2221" s="39"/>
      <c r="W2221"/>
      <c r="X2221"/>
      <c r="Y2221"/>
      <c r="Z2221"/>
      <c r="AA2221"/>
    </row>
    <row r="2222" spans="1:27" x14ac:dyDescent="0.25">
      <c r="A2222"/>
      <c r="B2222" s="36"/>
      <c r="C2222" s="36"/>
      <c r="D2222"/>
      <c r="E2222"/>
      <c r="F2222"/>
      <c r="G2222"/>
      <c r="H2222"/>
      <c r="I2222"/>
      <c r="J2222"/>
      <c r="K2222"/>
      <c r="L2222"/>
      <c r="M2222"/>
      <c r="N2222"/>
      <c r="O2222"/>
      <c r="P2222" s="36"/>
      <c r="Q2222" s="37"/>
      <c r="R2222"/>
      <c r="S2222"/>
      <c r="T2222"/>
      <c r="U2222"/>
      <c r="V2222" s="39"/>
      <c r="W2222"/>
      <c r="X2222"/>
      <c r="Y2222"/>
      <c r="Z2222"/>
      <c r="AA2222"/>
    </row>
    <row r="2223" spans="1:27" x14ac:dyDescent="0.25">
      <c r="A2223"/>
      <c r="B2223" s="36"/>
      <c r="C2223" s="36"/>
      <c r="D2223"/>
      <c r="E2223"/>
      <c r="F2223"/>
      <c r="G2223"/>
      <c r="H2223"/>
      <c r="I2223"/>
      <c r="J2223"/>
      <c r="K2223"/>
      <c r="L2223"/>
      <c r="M2223"/>
      <c r="N2223"/>
      <c r="O2223"/>
      <c r="P2223" s="36"/>
      <c r="Q2223" s="37"/>
      <c r="R2223"/>
      <c r="S2223"/>
      <c r="T2223"/>
      <c r="U2223"/>
      <c r="V2223" s="39"/>
      <c r="W2223"/>
      <c r="X2223"/>
      <c r="Y2223"/>
      <c r="Z2223"/>
      <c r="AA2223"/>
    </row>
    <row r="2224" spans="1:27" x14ac:dyDescent="0.25">
      <c r="A2224"/>
      <c r="B2224" s="36"/>
      <c r="C2224" s="36"/>
      <c r="D2224"/>
      <c r="E2224"/>
      <c r="F2224"/>
      <c r="G2224"/>
      <c r="H2224"/>
      <c r="I2224"/>
      <c r="J2224"/>
      <c r="K2224"/>
      <c r="L2224"/>
      <c r="M2224"/>
      <c r="N2224"/>
      <c r="O2224"/>
      <c r="P2224" s="36"/>
      <c r="Q2224" s="37"/>
      <c r="R2224"/>
      <c r="S2224"/>
      <c r="T2224"/>
      <c r="U2224"/>
      <c r="V2224" s="39"/>
      <c r="W2224"/>
      <c r="X2224"/>
      <c r="Y2224"/>
      <c r="Z2224"/>
      <c r="AA2224"/>
    </row>
    <row r="2225" spans="1:27" x14ac:dyDescent="0.25">
      <c r="A2225"/>
      <c r="B2225" s="36"/>
      <c r="C2225" s="36"/>
      <c r="D2225"/>
      <c r="E2225"/>
      <c r="F2225"/>
      <c r="G2225"/>
      <c r="H2225"/>
      <c r="I2225"/>
      <c r="J2225"/>
      <c r="K2225"/>
      <c r="L2225"/>
      <c r="M2225"/>
      <c r="N2225"/>
      <c r="O2225"/>
      <c r="P2225" s="36"/>
      <c r="Q2225" s="37"/>
      <c r="R2225"/>
      <c r="S2225"/>
      <c r="T2225"/>
      <c r="U2225"/>
      <c r="V2225" s="39"/>
      <c r="W2225"/>
      <c r="X2225"/>
      <c r="Y2225"/>
      <c r="Z2225"/>
      <c r="AA2225"/>
    </row>
    <row r="2226" spans="1:27" x14ac:dyDescent="0.25">
      <c r="A2226"/>
      <c r="B2226" s="36"/>
      <c r="C2226" s="36"/>
      <c r="D2226"/>
      <c r="E2226"/>
      <c r="F2226"/>
      <c r="G2226"/>
      <c r="H2226"/>
      <c r="I2226"/>
      <c r="J2226"/>
      <c r="K2226"/>
      <c r="L2226"/>
      <c r="M2226"/>
      <c r="N2226"/>
      <c r="O2226"/>
      <c r="P2226" s="36"/>
      <c r="Q2226" s="37"/>
      <c r="R2226"/>
      <c r="S2226"/>
      <c r="T2226"/>
      <c r="U2226"/>
      <c r="V2226" s="39"/>
      <c r="W2226"/>
      <c r="X2226"/>
      <c r="Y2226"/>
      <c r="Z2226"/>
      <c r="AA2226"/>
    </row>
    <row r="2227" spans="1:27" x14ac:dyDescent="0.25">
      <c r="A2227"/>
      <c r="B2227" s="36"/>
      <c r="C2227" s="36"/>
      <c r="D2227"/>
      <c r="E2227"/>
      <c r="F2227"/>
      <c r="G2227"/>
      <c r="H2227"/>
      <c r="I2227"/>
      <c r="J2227"/>
      <c r="K2227"/>
      <c r="L2227"/>
      <c r="M2227"/>
      <c r="N2227"/>
      <c r="O2227"/>
      <c r="P2227" s="36"/>
      <c r="Q2227" s="37"/>
      <c r="R2227"/>
      <c r="S2227"/>
      <c r="T2227"/>
      <c r="U2227"/>
      <c r="V2227" s="39"/>
      <c r="W2227"/>
      <c r="X2227"/>
      <c r="Y2227"/>
      <c r="Z2227"/>
      <c r="AA2227"/>
    </row>
    <row r="2228" spans="1:27" x14ac:dyDescent="0.25">
      <c r="A2228"/>
      <c r="B2228" s="36"/>
      <c r="C2228" s="36"/>
      <c r="D2228"/>
      <c r="E2228"/>
      <c r="F2228"/>
      <c r="G2228"/>
      <c r="H2228"/>
      <c r="I2228"/>
      <c r="J2228"/>
      <c r="K2228"/>
      <c r="L2228"/>
      <c r="M2228"/>
      <c r="N2228"/>
      <c r="O2228"/>
      <c r="P2228" s="36"/>
      <c r="Q2228" s="37"/>
      <c r="R2228"/>
      <c r="S2228"/>
      <c r="T2228"/>
      <c r="U2228"/>
      <c r="V2228" s="39"/>
      <c r="W2228"/>
      <c r="X2228"/>
      <c r="Y2228"/>
      <c r="Z2228"/>
      <c r="AA2228"/>
    </row>
    <row r="2229" spans="1:27" x14ac:dyDescent="0.25">
      <c r="A2229"/>
      <c r="B2229" s="36"/>
      <c r="C2229" s="36"/>
      <c r="D2229"/>
      <c r="E2229"/>
      <c r="F2229"/>
      <c r="G2229"/>
      <c r="H2229"/>
      <c r="I2229"/>
      <c r="J2229"/>
      <c r="K2229"/>
      <c r="L2229"/>
      <c r="M2229"/>
      <c r="N2229"/>
      <c r="O2229"/>
      <c r="P2229" s="36"/>
      <c r="Q2229" s="37"/>
      <c r="R2229"/>
      <c r="S2229"/>
      <c r="T2229"/>
      <c r="U2229"/>
      <c r="V2229" s="39"/>
      <c r="W2229"/>
      <c r="X2229"/>
      <c r="Y2229"/>
      <c r="Z2229"/>
      <c r="AA2229"/>
    </row>
    <row r="2230" spans="1:27" x14ac:dyDescent="0.25">
      <c r="A2230"/>
      <c r="B2230" s="36"/>
      <c r="C2230" s="36"/>
      <c r="D2230"/>
      <c r="E2230"/>
      <c r="F2230"/>
      <c r="G2230"/>
      <c r="H2230"/>
      <c r="I2230"/>
      <c r="J2230"/>
      <c r="K2230"/>
      <c r="L2230"/>
      <c r="M2230"/>
      <c r="N2230"/>
      <c r="O2230"/>
      <c r="P2230" s="36"/>
      <c r="Q2230" s="37"/>
      <c r="R2230"/>
      <c r="S2230"/>
      <c r="T2230"/>
      <c r="U2230"/>
      <c r="V2230" s="39"/>
      <c r="W2230"/>
      <c r="X2230"/>
      <c r="Y2230"/>
      <c r="Z2230"/>
      <c r="AA2230"/>
    </row>
    <row r="2231" spans="1:27" x14ac:dyDescent="0.25">
      <c r="A2231"/>
      <c r="B2231" s="36"/>
      <c r="C2231" s="36"/>
      <c r="D2231"/>
      <c r="E2231"/>
      <c r="F2231"/>
      <c r="G2231"/>
      <c r="H2231"/>
      <c r="I2231"/>
      <c r="J2231"/>
      <c r="K2231"/>
      <c r="L2231"/>
      <c r="M2231"/>
      <c r="N2231"/>
      <c r="O2231"/>
      <c r="P2231" s="36"/>
      <c r="Q2231" s="37"/>
      <c r="R2231"/>
      <c r="S2231"/>
      <c r="T2231"/>
      <c r="U2231"/>
      <c r="V2231" s="39"/>
      <c r="W2231"/>
      <c r="X2231"/>
      <c r="Y2231"/>
      <c r="Z2231"/>
      <c r="AA2231"/>
    </row>
    <row r="2232" spans="1:27" x14ac:dyDescent="0.25">
      <c r="A2232"/>
      <c r="B2232" s="36"/>
      <c r="C2232" s="36"/>
      <c r="D2232"/>
      <c r="E2232"/>
      <c r="F2232"/>
      <c r="G2232"/>
      <c r="H2232"/>
      <c r="I2232"/>
      <c r="J2232"/>
      <c r="K2232"/>
      <c r="L2232"/>
      <c r="M2232"/>
      <c r="N2232"/>
      <c r="O2232"/>
      <c r="P2232" s="36"/>
      <c r="Q2232" s="37"/>
      <c r="R2232"/>
      <c r="S2232"/>
      <c r="T2232"/>
      <c r="U2232"/>
      <c r="V2232" s="39"/>
      <c r="W2232"/>
      <c r="X2232"/>
      <c r="Y2232"/>
      <c r="Z2232"/>
      <c r="AA2232"/>
    </row>
    <row r="2233" spans="1:27" x14ac:dyDescent="0.25">
      <c r="A2233"/>
      <c r="B2233" s="36"/>
      <c r="C2233" s="36"/>
      <c r="D2233"/>
      <c r="E2233"/>
      <c r="F2233"/>
      <c r="G2233"/>
      <c r="H2233"/>
      <c r="I2233"/>
      <c r="J2233"/>
      <c r="K2233"/>
      <c r="L2233"/>
      <c r="M2233"/>
      <c r="N2233"/>
      <c r="O2233"/>
      <c r="P2233" s="36"/>
      <c r="Q2233" s="37"/>
      <c r="R2233"/>
      <c r="S2233"/>
      <c r="T2233"/>
      <c r="U2233"/>
      <c r="V2233" s="39"/>
      <c r="W2233"/>
      <c r="X2233"/>
      <c r="Y2233"/>
      <c r="Z2233"/>
      <c r="AA2233"/>
    </row>
    <row r="2234" spans="1:27" x14ac:dyDescent="0.25">
      <c r="A2234"/>
      <c r="B2234" s="36"/>
      <c r="C2234" s="36"/>
      <c r="D2234"/>
      <c r="E2234"/>
      <c r="F2234"/>
      <c r="G2234"/>
      <c r="H2234"/>
      <c r="I2234"/>
      <c r="J2234"/>
      <c r="K2234"/>
      <c r="L2234"/>
      <c r="M2234"/>
      <c r="N2234"/>
      <c r="O2234"/>
      <c r="P2234" s="36"/>
      <c r="Q2234" s="37"/>
      <c r="R2234"/>
      <c r="S2234"/>
      <c r="T2234"/>
      <c r="U2234"/>
      <c r="V2234" s="39"/>
      <c r="W2234"/>
      <c r="X2234"/>
      <c r="Y2234"/>
      <c r="Z2234"/>
      <c r="AA2234"/>
    </row>
    <row r="2235" spans="1:27" x14ac:dyDescent="0.25">
      <c r="A2235"/>
      <c r="B2235" s="36"/>
      <c r="C2235" s="36"/>
      <c r="D2235"/>
      <c r="E2235"/>
      <c r="F2235"/>
      <c r="G2235"/>
      <c r="H2235"/>
      <c r="I2235"/>
      <c r="J2235"/>
      <c r="K2235"/>
      <c r="L2235"/>
      <c r="M2235"/>
      <c r="N2235"/>
      <c r="O2235"/>
      <c r="P2235" s="36"/>
      <c r="Q2235" s="37"/>
      <c r="R2235"/>
      <c r="S2235"/>
      <c r="T2235"/>
      <c r="U2235"/>
      <c r="V2235" s="39"/>
      <c r="W2235"/>
      <c r="X2235"/>
      <c r="Y2235"/>
      <c r="Z2235"/>
      <c r="AA2235"/>
    </row>
    <row r="2236" spans="1:27" x14ac:dyDescent="0.25">
      <c r="A2236"/>
      <c r="B2236" s="36"/>
      <c r="C2236" s="36"/>
      <c r="D2236"/>
      <c r="E2236"/>
      <c r="F2236"/>
      <c r="G2236"/>
      <c r="H2236"/>
      <c r="I2236"/>
      <c r="J2236"/>
      <c r="K2236"/>
      <c r="L2236"/>
      <c r="M2236"/>
      <c r="N2236"/>
      <c r="O2236"/>
      <c r="P2236" s="36"/>
      <c r="Q2236" s="37"/>
      <c r="R2236"/>
      <c r="S2236"/>
      <c r="T2236"/>
      <c r="U2236"/>
      <c r="V2236" s="39"/>
      <c r="W2236"/>
      <c r="X2236"/>
      <c r="Y2236"/>
      <c r="Z2236"/>
      <c r="AA2236"/>
    </row>
    <row r="2237" spans="1:27" x14ac:dyDescent="0.25">
      <c r="A2237"/>
      <c r="B2237" s="36"/>
      <c r="C2237" s="36"/>
      <c r="D2237"/>
      <c r="E2237"/>
      <c r="F2237"/>
      <c r="G2237"/>
      <c r="H2237"/>
      <c r="I2237"/>
      <c r="J2237"/>
      <c r="K2237"/>
      <c r="L2237"/>
      <c r="M2237"/>
      <c r="N2237"/>
      <c r="O2237"/>
      <c r="P2237" s="36"/>
      <c r="Q2237" s="37"/>
      <c r="R2237"/>
      <c r="S2237"/>
      <c r="T2237"/>
      <c r="U2237"/>
      <c r="V2237" s="39"/>
      <c r="W2237"/>
      <c r="X2237"/>
      <c r="Y2237"/>
      <c r="Z2237"/>
      <c r="AA2237"/>
    </row>
    <row r="2238" spans="1:27" x14ac:dyDescent="0.25">
      <c r="A2238"/>
      <c r="B2238" s="36"/>
      <c r="C2238" s="36"/>
      <c r="D2238"/>
      <c r="E2238"/>
      <c r="F2238"/>
      <c r="G2238"/>
      <c r="H2238"/>
      <c r="I2238"/>
      <c r="J2238"/>
      <c r="K2238"/>
      <c r="L2238"/>
      <c r="M2238"/>
      <c r="N2238"/>
      <c r="O2238"/>
      <c r="P2238" s="36"/>
      <c r="Q2238" s="37"/>
      <c r="R2238"/>
      <c r="S2238"/>
      <c r="T2238"/>
      <c r="U2238"/>
      <c r="V2238" s="39"/>
      <c r="W2238"/>
      <c r="X2238"/>
      <c r="Y2238"/>
      <c r="Z2238"/>
      <c r="AA2238"/>
    </row>
    <row r="2239" spans="1:27" x14ac:dyDescent="0.25">
      <c r="A2239"/>
      <c r="B2239" s="36"/>
      <c r="C2239" s="36"/>
      <c r="D2239"/>
      <c r="E2239"/>
      <c r="F2239"/>
      <c r="G2239"/>
      <c r="H2239"/>
      <c r="I2239"/>
      <c r="J2239"/>
      <c r="K2239"/>
      <c r="L2239"/>
      <c r="M2239"/>
      <c r="N2239"/>
      <c r="O2239"/>
      <c r="P2239" s="36"/>
      <c r="Q2239" s="37"/>
      <c r="R2239"/>
      <c r="S2239"/>
      <c r="T2239"/>
      <c r="U2239"/>
      <c r="V2239" s="39"/>
      <c r="W2239"/>
      <c r="X2239"/>
      <c r="Y2239"/>
      <c r="Z2239"/>
      <c r="AA2239"/>
    </row>
    <row r="2240" spans="1:27" x14ac:dyDescent="0.25">
      <c r="A2240"/>
      <c r="B2240" s="36"/>
      <c r="C2240" s="36"/>
      <c r="D2240"/>
      <c r="E2240"/>
      <c r="F2240"/>
      <c r="G2240"/>
      <c r="H2240"/>
      <c r="I2240"/>
      <c r="J2240"/>
      <c r="K2240"/>
      <c r="L2240"/>
      <c r="M2240"/>
      <c r="N2240"/>
      <c r="O2240"/>
      <c r="P2240" s="36"/>
      <c r="Q2240" s="37"/>
      <c r="R2240"/>
      <c r="S2240"/>
      <c r="T2240"/>
      <c r="U2240"/>
      <c r="V2240" s="39"/>
      <c r="W2240"/>
      <c r="X2240"/>
      <c r="Y2240"/>
      <c r="Z2240"/>
      <c r="AA2240"/>
    </row>
    <row r="2241" spans="1:27" x14ac:dyDescent="0.25">
      <c r="A2241"/>
      <c r="B2241" s="36"/>
      <c r="C2241" s="36"/>
      <c r="D2241"/>
      <c r="E2241"/>
      <c r="F2241"/>
      <c r="G2241"/>
      <c r="H2241"/>
      <c r="I2241"/>
      <c r="J2241"/>
      <c r="K2241"/>
      <c r="L2241"/>
      <c r="M2241"/>
      <c r="N2241"/>
      <c r="O2241"/>
      <c r="P2241" s="36"/>
      <c r="Q2241" s="37"/>
      <c r="R2241"/>
      <c r="S2241"/>
      <c r="T2241"/>
      <c r="U2241"/>
      <c r="V2241" s="39"/>
      <c r="W2241"/>
      <c r="X2241"/>
      <c r="Y2241"/>
      <c r="Z2241"/>
      <c r="AA2241"/>
    </row>
    <row r="2242" spans="1:27" x14ac:dyDescent="0.25">
      <c r="A2242"/>
      <c r="B2242" s="36"/>
      <c r="C2242" s="36"/>
      <c r="D2242"/>
      <c r="E2242"/>
      <c r="F2242"/>
      <c r="G2242"/>
      <c r="H2242"/>
      <c r="I2242"/>
      <c r="J2242"/>
      <c r="K2242"/>
      <c r="L2242"/>
      <c r="M2242"/>
      <c r="N2242"/>
      <c r="O2242"/>
      <c r="P2242" s="36"/>
      <c r="Q2242" s="37"/>
      <c r="R2242"/>
      <c r="S2242"/>
      <c r="T2242"/>
      <c r="U2242"/>
      <c r="V2242" s="39"/>
      <c r="W2242"/>
      <c r="X2242"/>
      <c r="Y2242"/>
      <c r="Z2242"/>
      <c r="AA2242"/>
    </row>
    <row r="2243" spans="1:27" x14ac:dyDescent="0.25">
      <c r="A2243"/>
      <c r="B2243" s="36"/>
      <c r="C2243" s="36"/>
      <c r="D2243"/>
      <c r="E2243"/>
      <c r="F2243"/>
      <c r="G2243"/>
      <c r="H2243"/>
      <c r="I2243"/>
      <c r="J2243"/>
      <c r="K2243"/>
      <c r="L2243"/>
      <c r="M2243"/>
      <c r="N2243"/>
      <c r="O2243"/>
      <c r="P2243" s="36"/>
      <c r="Q2243" s="37"/>
      <c r="R2243"/>
      <c r="S2243"/>
      <c r="T2243"/>
      <c r="U2243"/>
      <c r="V2243" s="39"/>
      <c r="W2243"/>
      <c r="X2243"/>
      <c r="Y2243"/>
      <c r="Z2243"/>
      <c r="AA2243"/>
    </row>
    <row r="2244" spans="1:27" x14ac:dyDescent="0.25">
      <c r="A2244"/>
      <c r="B2244" s="36"/>
      <c r="C2244" s="36"/>
      <c r="D2244"/>
      <c r="E2244"/>
      <c r="F2244"/>
      <c r="G2244"/>
      <c r="H2244"/>
      <c r="I2244"/>
      <c r="J2244"/>
      <c r="K2244"/>
      <c r="L2244"/>
      <c r="M2244"/>
      <c r="N2244"/>
      <c r="O2244"/>
      <c r="P2244" s="36"/>
      <c r="Q2244" s="37"/>
      <c r="R2244"/>
      <c r="S2244"/>
      <c r="T2244"/>
      <c r="U2244"/>
      <c r="V2244" s="39"/>
      <c r="W2244"/>
      <c r="X2244"/>
      <c r="Y2244"/>
      <c r="Z2244"/>
      <c r="AA2244"/>
    </row>
    <row r="2245" spans="1:27" x14ac:dyDescent="0.25">
      <c r="A2245"/>
      <c r="B2245" s="36"/>
      <c r="C2245" s="36"/>
      <c r="D2245"/>
      <c r="E2245"/>
      <c r="F2245"/>
      <c r="G2245"/>
      <c r="H2245"/>
      <c r="I2245"/>
      <c r="J2245"/>
      <c r="K2245"/>
      <c r="L2245"/>
      <c r="M2245"/>
      <c r="N2245"/>
      <c r="O2245"/>
      <c r="P2245" s="36"/>
      <c r="Q2245" s="37"/>
      <c r="R2245"/>
      <c r="S2245"/>
      <c r="T2245"/>
      <c r="U2245"/>
      <c r="V2245" s="39"/>
      <c r="W2245"/>
      <c r="X2245"/>
      <c r="Y2245"/>
      <c r="Z2245"/>
      <c r="AA2245"/>
    </row>
    <row r="2246" spans="1:27" x14ac:dyDescent="0.25">
      <c r="A2246"/>
      <c r="B2246" s="36"/>
      <c r="C2246" s="36"/>
      <c r="D2246"/>
      <c r="E2246"/>
      <c r="F2246"/>
      <c r="G2246"/>
      <c r="H2246"/>
      <c r="I2246"/>
      <c r="J2246"/>
      <c r="K2246"/>
      <c r="L2246"/>
      <c r="M2246"/>
      <c r="N2246"/>
      <c r="O2246"/>
      <c r="P2246" s="36"/>
      <c r="Q2246" s="37"/>
      <c r="R2246"/>
      <c r="S2246"/>
      <c r="T2246"/>
      <c r="U2246"/>
      <c r="V2246" s="39"/>
      <c r="W2246"/>
      <c r="X2246"/>
      <c r="Y2246"/>
      <c r="Z2246"/>
      <c r="AA2246"/>
    </row>
    <row r="2247" spans="1:27" x14ac:dyDescent="0.25">
      <c r="A2247"/>
      <c r="B2247" s="36"/>
      <c r="C2247" s="36"/>
      <c r="D2247"/>
      <c r="E2247"/>
      <c r="F2247"/>
      <c r="G2247"/>
      <c r="H2247"/>
      <c r="I2247"/>
      <c r="J2247"/>
      <c r="K2247"/>
      <c r="L2247"/>
      <c r="M2247"/>
      <c r="N2247"/>
      <c r="O2247"/>
      <c r="P2247" s="36"/>
      <c r="Q2247" s="37"/>
      <c r="R2247"/>
      <c r="S2247"/>
      <c r="T2247"/>
      <c r="U2247"/>
      <c r="V2247" s="39"/>
      <c r="W2247"/>
      <c r="X2247"/>
      <c r="Y2247"/>
      <c r="Z2247"/>
      <c r="AA2247"/>
    </row>
    <row r="2248" spans="1:27" x14ac:dyDescent="0.25">
      <c r="A2248"/>
      <c r="B2248" s="36"/>
      <c r="C2248" s="36"/>
      <c r="D2248"/>
      <c r="E2248"/>
      <c r="F2248"/>
      <c r="G2248"/>
      <c r="H2248"/>
      <c r="I2248"/>
      <c r="J2248"/>
      <c r="K2248"/>
      <c r="L2248"/>
      <c r="M2248"/>
      <c r="N2248"/>
      <c r="O2248"/>
      <c r="P2248" s="36"/>
      <c r="Q2248" s="37"/>
      <c r="R2248"/>
      <c r="S2248"/>
      <c r="T2248"/>
      <c r="U2248"/>
      <c r="V2248" s="39"/>
      <c r="W2248"/>
      <c r="X2248"/>
      <c r="Y2248"/>
      <c r="Z2248"/>
      <c r="AA2248"/>
    </row>
    <row r="2249" spans="1:27" x14ac:dyDescent="0.25">
      <c r="A2249"/>
      <c r="B2249" s="36"/>
      <c r="C2249" s="36"/>
      <c r="D2249"/>
      <c r="E2249"/>
      <c r="F2249"/>
      <c r="G2249"/>
      <c r="H2249"/>
      <c r="I2249"/>
      <c r="J2249"/>
      <c r="K2249"/>
      <c r="L2249"/>
      <c r="M2249"/>
      <c r="N2249"/>
      <c r="O2249"/>
      <c r="P2249" s="36"/>
      <c r="Q2249" s="37"/>
      <c r="R2249"/>
      <c r="S2249"/>
      <c r="T2249"/>
      <c r="U2249"/>
      <c r="V2249" s="39"/>
      <c r="W2249"/>
      <c r="X2249"/>
      <c r="Y2249"/>
      <c r="Z2249"/>
      <c r="AA2249"/>
    </row>
    <row r="2250" spans="1:27" x14ac:dyDescent="0.25">
      <c r="A2250"/>
      <c r="B2250" s="36"/>
      <c r="C2250" s="36"/>
      <c r="D2250"/>
      <c r="E2250"/>
      <c r="F2250"/>
      <c r="G2250"/>
      <c r="H2250"/>
      <c r="I2250"/>
      <c r="J2250"/>
      <c r="K2250"/>
      <c r="L2250"/>
      <c r="M2250"/>
      <c r="N2250"/>
      <c r="O2250"/>
      <c r="P2250" s="36"/>
      <c r="Q2250" s="37"/>
      <c r="R2250"/>
      <c r="S2250"/>
      <c r="T2250"/>
      <c r="U2250"/>
      <c r="V2250" s="39"/>
      <c r="W2250"/>
      <c r="X2250"/>
      <c r="Y2250"/>
      <c r="Z2250"/>
      <c r="AA2250"/>
    </row>
    <row r="2251" spans="1:27" x14ac:dyDescent="0.25">
      <c r="A2251"/>
      <c r="B2251" s="36"/>
      <c r="C2251" s="36"/>
      <c r="D2251"/>
      <c r="E2251"/>
      <c r="F2251"/>
      <c r="G2251"/>
      <c r="H2251"/>
      <c r="I2251"/>
      <c r="J2251"/>
      <c r="K2251"/>
      <c r="L2251"/>
      <c r="M2251"/>
      <c r="N2251"/>
      <c r="O2251"/>
      <c r="P2251" s="36"/>
      <c r="Q2251" s="37"/>
      <c r="R2251"/>
      <c r="S2251"/>
      <c r="T2251"/>
      <c r="U2251"/>
      <c r="V2251" s="39"/>
      <c r="W2251"/>
      <c r="X2251"/>
      <c r="Y2251"/>
      <c r="Z2251"/>
      <c r="AA2251"/>
    </row>
    <row r="2252" spans="1:27" x14ac:dyDescent="0.25">
      <c r="A2252"/>
      <c r="B2252" s="36"/>
      <c r="C2252" s="36"/>
      <c r="D2252"/>
      <c r="E2252"/>
      <c r="F2252"/>
      <c r="G2252"/>
      <c r="H2252"/>
      <c r="I2252"/>
      <c r="J2252"/>
      <c r="K2252"/>
      <c r="L2252"/>
      <c r="M2252"/>
      <c r="N2252"/>
      <c r="O2252"/>
      <c r="P2252" s="36"/>
      <c r="Q2252" s="37"/>
      <c r="R2252"/>
      <c r="S2252"/>
      <c r="T2252"/>
      <c r="U2252"/>
      <c r="V2252" s="39"/>
      <c r="W2252"/>
      <c r="X2252"/>
      <c r="Y2252"/>
      <c r="Z2252"/>
      <c r="AA2252"/>
    </row>
    <row r="2253" spans="1:27" x14ac:dyDescent="0.25">
      <c r="A2253"/>
      <c r="B2253" s="36"/>
      <c r="C2253" s="36"/>
      <c r="D2253"/>
      <c r="E2253"/>
      <c r="F2253"/>
      <c r="G2253"/>
      <c r="H2253"/>
      <c r="I2253"/>
      <c r="J2253"/>
      <c r="K2253"/>
      <c r="L2253"/>
      <c r="M2253"/>
      <c r="N2253"/>
      <c r="O2253"/>
      <c r="P2253" s="36"/>
      <c r="Q2253" s="37"/>
      <c r="R2253"/>
      <c r="S2253"/>
      <c r="T2253"/>
      <c r="U2253"/>
      <c r="V2253" s="39"/>
      <c r="W2253"/>
      <c r="X2253"/>
      <c r="Y2253"/>
      <c r="Z2253"/>
      <c r="AA2253"/>
    </row>
    <row r="2254" spans="1:27" x14ac:dyDescent="0.25">
      <c r="A2254"/>
      <c r="B2254" s="36"/>
      <c r="C2254" s="36"/>
      <c r="D2254"/>
      <c r="E2254"/>
      <c r="F2254"/>
      <c r="G2254"/>
      <c r="H2254"/>
      <c r="I2254"/>
      <c r="J2254"/>
      <c r="K2254"/>
      <c r="L2254"/>
      <c r="M2254"/>
      <c r="N2254"/>
      <c r="O2254"/>
      <c r="P2254" s="36"/>
      <c r="Q2254" s="37"/>
      <c r="R2254"/>
      <c r="S2254"/>
      <c r="T2254"/>
      <c r="U2254"/>
      <c r="V2254" s="39"/>
      <c r="W2254"/>
      <c r="X2254"/>
      <c r="Y2254"/>
      <c r="Z2254"/>
      <c r="AA2254"/>
    </row>
    <row r="2255" spans="1:27" x14ac:dyDescent="0.25">
      <c r="A2255"/>
      <c r="B2255" s="36"/>
      <c r="C2255" s="36"/>
      <c r="D2255"/>
      <c r="E2255"/>
      <c r="F2255"/>
      <c r="G2255"/>
      <c r="H2255"/>
      <c r="I2255"/>
      <c r="J2255"/>
      <c r="K2255"/>
      <c r="L2255"/>
      <c r="M2255"/>
      <c r="N2255"/>
      <c r="O2255"/>
      <c r="P2255" s="36"/>
      <c r="Q2255" s="37"/>
      <c r="R2255"/>
      <c r="S2255"/>
      <c r="T2255"/>
      <c r="U2255"/>
      <c r="V2255" s="39"/>
      <c r="W2255"/>
      <c r="X2255"/>
      <c r="Y2255"/>
      <c r="Z2255"/>
      <c r="AA2255"/>
    </row>
    <row r="2256" spans="1:27" x14ac:dyDescent="0.25">
      <c r="A2256"/>
      <c r="B2256" s="36"/>
      <c r="C2256" s="36"/>
      <c r="D2256"/>
      <c r="E2256"/>
      <c r="F2256"/>
      <c r="G2256"/>
      <c r="H2256"/>
      <c r="I2256"/>
      <c r="J2256"/>
      <c r="K2256"/>
      <c r="L2256"/>
      <c r="M2256"/>
      <c r="N2256"/>
      <c r="O2256"/>
      <c r="P2256" s="36"/>
      <c r="Q2256" s="37"/>
      <c r="R2256"/>
      <c r="S2256"/>
      <c r="T2256"/>
      <c r="U2256"/>
      <c r="V2256" s="39"/>
      <c r="W2256"/>
      <c r="X2256"/>
      <c r="Y2256"/>
      <c r="Z2256"/>
      <c r="AA2256"/>
    </row>
    <row r="2257" spans="1:27" x14ac:dyDescent="0.25">
      <c r="A2257"/>
      <c r="B2257" s="36"/>
      <c r="C2257" s="36"/>
      <c r="D2257"/>
      <c r="E2257"/>
      <c r="F2257"/>
      <c r="G2257"/>
      <c r="H2257"/>
      <c r="I2257"/>
      <c r="J2257"/>
      <c r="K2257"/>
      <c r="L2257"/>
      <c r="M2257"/>
      <c r="N2257"/>
      <c r="O2257"/>
      <c r="P2257" s="36"/>
      <c r="Q2257" s="37"/>
      <c r="R2257"/>
      <c r="S2257"/>
      <c r="T2257"/>
      <c r="U2257"/>
      <c r="V2257" s="39"/>
      <c r="W2257"/>
      <c r="X2257"/>
      <c r="Y2257"/>
      <c r="Z2257"/>
      <c r="AA2257"/>
    </row>
    <row r="2258" spans="1:27" x14ac:dyDescent="0.25">
      <c r="A2258"/>
      <c r="B2258" s="36"/>
      <c r="C2258" s="36"/>
      <c r="D2258"/>
      <c r="E2258"/>
      <c r="F2258"/>
      <c r="G2258"/>
      <c r="H2258"/>
      <c r="I2258"/>
      <c r="J2258"/>
      <c r="K2258"/>
      <c r="L2258"/>
      <c r="M2258"/>
      <c r="N2258"/>
      <c r="O2258"/>
      <c r="P2258" s="36"/>
      <c r="Q2258" s="37"/>
      <c r="R2258"/>
      <c r="S2258"/>
      <c r="T2258"/>
      <c r="U2258"/>
      <c r="V2258" s="39"/>
      <c r="W2258"/>
      <c r="X2258"/>
      <c r="Y2258"/>
      <c r="Z2258"/>
      <c r="AA2258"/>
    </row>
    <row r="2259" spans="1:27" x14ac:dyDescent="0.25">
      <c r="A2259"/>
      <c r="B2259" s="36"/>
      <c r="C2259" s="36"/>
      <c r="D2259"/>
      <c r="E2259"/>
      <c r="F2259"/>
      <c r="G2259"/>
      <c r="H2259"/>
      <c r="I2259"/>
      <c r="J2259"/>
      <c r="K2259"/>
      <c r="L2259"/>
      <c r="M2259"/>
      <c r="N2259"/>
      <c r="O2259"/>
      <c r="P2259" s="36"/>
      <c r="Q2259" s="37"/>
      <c r="R2259"/>
      <c r="S2259"/>
      <c r="T2259"/>
      <c r="U2259"/>
      <c r="V2259" s="39"/>
      <c r="W2259"/>
      <c r="X2259"/>
      <c r="Y2259"/>
      <c r="Z2259"/>
      <c r="AA2259"/>
    </row>
    <row r="2260" spans="1:27" x14ac:dyDescent="0.25">
      <c r="A2260"/>
      <c r="B2260" s="36"/>
      <c r="C2260" s="36"/>
      <c r="D2260"/>
      <c r="E2260"/>
      <c r="F2260"/>
      <c r="G2260"/>
      <c r="H2260"/>
      <c r="I2260"/>
      <c r="J2260"/>
      <c r="K2260"/>
      <c r="L2260"/>
      <c r="M2260"/>
      <c r="N2260"/>
      <c r="O2260"/>
      <c r="P2260" s="36"/>
      <c r="Q2260" s="37"/>
      <c r="R2260"/>
      <c r="S2260"/>
      <c r="T2260"/>
      <c r="U2260"/>
      <c r="V2260" s="39"/>
      <c r="W2260"/>
      <c r="X2260"/>
      <c r="Y2260"/>
      <c r="Z2260"/>
      <c r="AA2260"/>
    </row>
    <row r="2261" spans="1:27" x14ac:dyDescent="0.25">
      <c r="A2261"/>
      <c r="B2261" s="36"/>
      <c r="C2261" s="36"/>
      <c r="D2261"/>
      <c r="E2261"/>
      <c r="F2261"/>
      <c r="G2261"/>
      <c r="H2261"/>
      <c r="I2261"/>
      <c r="J2261"/>
      <c r="K2261"/>
      <c r="L2261"/>
      <c r="M2261"/>
      <c r="N2261"/>
      <c r="O2261"/>
      <c r="P2261" s="36"/>
      <c r="Q2261" s="37"/>
      <c r="R2261"/>
      <c r="S2261"/>
      <c r="T2261"/>
      <c r="U2261"/>
      <c r="V2261" s="39"/>
      <c r="W2261"/>
      <c r="X2261"/>
      <c r="Y2261"/>
      <c r="Z2261"/>
      <c r="AA2261"/>
    </row>
    <row r="2262" spans="1:27" x14ac:dyDescent="0.25">
      <c r="A2262"/>
      <c r="B2262" s="36"/>
      <c r="C2262" s="36"/>
      <c r="D2262"/>
      <c r="E2262"/>
      <c r="F2262"/>
      <c r="G2262"/>
      <c r="H2262"/>
      <c r="I2262"/>
      <c r="J2262"/>
      <c r="K2262"/>
      <c r="L2262"/>
      <c r="M2262"/>
      <c r="N2262"/>
      <c r="O2262"/>
      <c r="P2262" s="36"/>
      <c r="Q2262" s="37"/>
      <c r="R2262"/>
      <c r="S2262"/>
      <c r="T2262"/>
      <c r="U2262"/>
      <c r="V2262" s="39"/>
      <c r="W2262"/>
      <c r="X2262"/>
      <c r="Y2262"/>
      <c r="Z2262"/>
      <c r="AA2262"/>
    </row>
    <row r="2263" spans="1:27" x14ac:dyDescent="0.25">
      <c r="A2263"/>
      <c r="B2263" s="36"/>
      <c r="C2263" s="36"/>
      <c r="D2263"/>
      <c r="E2263"/>
      <c r="F2263"/>
      <c r="G2263"/>
      <c r="H2263"/>
      <c r="I2263"/>
      <c r="J2263"/>
      <c r="K2263"/>
      <c r="L2263"/>
      <c r="M2263"/>
      <c r="N2263"/>
      <c r="O2263"/>
      <c r="P2263" s="36"/>
      <c r="Q2263" s="37"/>
      <c r="R2263"/>
      <c r="S2263"/>
      <c r="T2263"/>
      <c r="U2263"/>
      <c r="V2263" s="39"/>
      <c r="W2263"/>
      <c r="X2263"/>
      <c r="Y2263"/>
      <c r="Z2263"/>
      <c r="AA2263"/>
    </row>
    <row r="2264" spans="1:27" x14ac:dyDescent="0.25">
      <c r="A2264"/>
      <c r="B2264" s="36"/>
      <c r="C2264" s="36"/>
      <c r="D2264"/>
      <c r="E2264"/>
      <c r="F2264"/>
      <c r="G2264"/>
      <c r="H2264"/>
      <c r="I2264"/>
      <c r="J2264"/>
      <c r="K2264"/>
      <c r="L2264"/>
      <c r="M2264"/>
      <c r="N2264"/>
      <c r="O2264"/>
      <c r="P2264" s="36"/>
      <c r="Q2264" s="37"/>
      <c r="R2264"/>
      <c r="S2264"/>
      <c r="T2264"/>
      <c r="U2264"/>
      <c r="V2264" s="39"/>
      <c r="W2264"/>
      <c r="X2264"/>
      <c r="Y2264"/>
      <c r="Z2264"/>
      <c r="AA2264"/>
    </row>
    <row r="2265" spans="1:27" x14ac:dyDescent="0.25">
      <c r="A2265"/>
      <c r="B2265" s="36"/>
      <c r="C2265" s="36"/>
      <c r="D2265"/>
      <c r="E2265"/>
      <c r="F2265"/>
      <c r="G2265"/>
      <c r="H2265"/>
      <c r="I2265"/>
      <c r="J2265"/>
      <c r="K2265"/>
      <c r="L2265"/>
      <c r="M2265"/>
      <c r="N2265"/>
      <c r="O2265"/>
      <c r="P2265" s="36"/>
      <c r="Q2265" s="37"/>
      <c r="R2265"/>
      <c r="S2265"/>
      <c r="T2265"/>
      <c r="U2265"/>
      <c r="V2265" s="39"/>
      <c r="W2265"/>
      <c r="X2265"/>
      <c r="Y2265"/>
      <c r="Z2265"/>
      <c r="AA2265"/>
    </row>
    <row r="2266" spans="1:27" x14ac:dyDescent="0.25">
      <c r="A2266"/>
      <c r="B2266" s="36"/>
      <c r="C2266" s="36"/>
      <c r="D2266"/>
      <c r="E2266"/>
      <c r="F2266"/>
      <c r="G2266"/>
      <c r="H2266"/>
      <c r="I2266"/>
      <c r="J2266"/>
      <c r="K2266"/>
      <c r="L2266"/>
      <c r="M2266"/>
      <c r="N2266"/>
      <c r="O2266"/>
      <c r="P2266" s="36"/>
      <c r="Q2266" s="37"/>
      <c r="R2266"/>
      <c r="S2266"/>
      <c r="T2266"/>
      <c r="U2266"/>
      <c r="V2266" s="39"/>
      <c r="W2266"/>
      <c r="X2266"/>
      <c r="Y2266"/>
      <c r="Z2266"/>
      <c r="AA2266"/>
    </row>
    <row r="2267" spans="1:27" x14ac:dyDescent="0.25">
      <c r="A2267"/>
      <c r="B2267" s="36"/>
      <c r="C2267" s="36"/>
      <c r="D2267"/>
      <c r="E2267"/>
      <c r="F2267"/>
      <c r="G2267"/>
      <c r="H2267"/>
      <c r="I2267"/>
      <c r="J2267"/>
      <c r="K2267"/>
      <c r="L2267"/>
      <c r="M2267"/>
      <c r="N2267"/>
      <c r="O2267"/>
      <c r="P2267" s="36"/>
      <c r="Q2267" s="37"/>
      <c r="R2267"/>
      <c r="S2267"/>
      <c r="T2267"/>
      <c r="U2267"/>
      <c r="V2267" s="39"/>
      <c r="W2267"/>
      <c r="X2267"/>
      <c r="Y2267"/>
      <c r="Z2267"/>
      <c r="AA2267"/>
    </row>
    <row r="2268" spans="1:27" x14ac:dyDescent="0.25">
      <c r="A2268"/>
      <c r="B2268" s="36"/>
      <c r="C2268" s="36"/>
      <c r="D2268"/>
      <c r="E2268"/>
      <c r="F2268"/>
      <c r="G2268"/>
      <c r="H2268"/>
      <c r="I2268"/>
      <c r="J2268"/>
      <c r="K2268"/>
      <c r="L2268"/>
      <c r="M2268"/>
      <c r="N2268"/>
      <c r="O2268"/>
      <c r="P2268" s="36"/>
      <c r="Q2268" s="37"/>
      <c r="R2268"/>
      <c r="S2268"/>
      <c r="T2268"/>
      <c r="U2268"/>
      <c r="V2268" s="39"/>
      <c r="W2268"/>
      <c r="X2268"/>
      <c r="Y2268"/>
      <c r="Z2268"/>
      <c r="AA2268"/>
    </row>
    <row r="2269" spans="1:27" x14ac:dyDescent="0.25">
      <c r="A2269"/>
      <c r="B2269" s="36"/>
      <c r="C2269" s="36"/>
      <c r="D2269"/>
      <c r="E2269"/>
      <c r="F2269"/>
      <c r="G2269"/>
      <c r="H2269"/>
      <c r="I2269"/>
      <c r="J2269"/>
      <c r="K2269"/>
      <c r="L2269"/>
      <c r="M2269"/>
      <c r="N2269"/>
      <c r="O2269"/>
      <c r="P2269" s="36"/>
      <c r="Q2269" s="37"/>
      <c r="R2269"/>
      <c r="S2269"/>
      <c r="T2269"/>
      <c r="U2269"/>
      <c r="V2269" s="39"/>
      <c r="W2269"/>
      <c r="X2269"/>
      <c r="Y2269"/>
      <c r="Z2269"/>
      <c r="AA2269"/>
    </row>
    <row r="2270" spans="1:27" x14ac:dyDescent="0.25">
      <c r="A2270"/>
      <c r="B2270" s="36"/>
      <c r="C2270" s="36"/>
      <c r="D2270"/>
      <c r="E2270"/>
      <c r="F2270"/>
      <c r="G2270"/>
      <c r="H2270"/>
      <c r="I2270"/>
      <c r="J2270"/>
      <c r="K2270"/>
      <c r="L2270"/>
      <c r="M2270"/>
      <c r="N2270"/>
      <c r="O2270"/>
      <c r="P2270" s="36"/>
      <c r="Q2270" s="37"/>
      <c r="R2270"/>
      <c r="S2270"/>
      <c r="T2270"/>
      <c r="U2270"/>
      <c r="V2270" s="39"/>
      <c r="W2270"/>
      <c r="X2270"/>
      <c r="Y2270"/>
      <c r="Z2270"/>
      <c r="AA2270"/>
    </row>
    <row r="2271" spans="1:27" x14ac:dyDescent="0.25">
      <c r="A2271"/>
      <c r="B2271" s="36"/>
      <c r="C2271" s="36"/>
      <c r="D2271"/>
      <c r="E2271"/>
      <c r="F2271"/>
      <c r="G2271"/>
      <c r="H2271"/>
      <c r="I2271"/>
      <c r="J2271"/>
      <c r="K2271"/>
      <c r="L2271"/>
      <c r="M2271"/>
      <c r="N2271"/>
      <c r="O2271"/>
      <c r="P2271" s="36"/>
      <c r="Q2271" s="37"/>
      <c r="R2271"/>
      <c r="S2271"/>
      <c r="T2271"/>
      <c r="U2271"/>
      <c r="V2271" s="39"/>
      <c r="W2271"/>
      <c r="X2271"/>
      <c r="Y2271"/>
      <c r="Z2271"/>
      <c r="AA2271"/>
    </row>
    <row r="2272" spans="1:27" x14ac:dyDescent="0.25">
      <c r="A2272"/>
      <c r="B2272" s="36"/>
      <c r="C2272" s="36"/>
      <c r="D2272"/>
      <c r="E2272"/>
      <c r="F2272"/>
      <c r="G2272"/>
      <c r="H2272"/>
      <c r="I2272"/>
      <c r="J2272"/>
      <c r="K2272"/>
      <c r="L2272"/>
      <c r="M2272"/>
      <c r="N2272"/>
      <c r="O2272"/>
      <c r="P2272" s="36"/>
      <c r="Q2272" s="37"/>
      <c r="R2272"/>
      <c r="S2272"/>
      <c r="T2272"/>
      <c r="U2272"/>
      <c r="V2272" s="39"/>
      <c r="W2272"/>
      <c r="X2272"/>
      <c r="Y2272"/>
      <c r="Z2272"/>
      <c r="AA2272"/>
    </row>
    <row r="2273" spans="1:27" x14ac:dyDescent="0.25">
      <c r="A2273"/>
      <c r="B2273" s="36"/>
      <c r="C2273" s="36"/>
      <c r="D2273"/>
      <c r="E2273"/>
      <c r="F2273"/>
      <c r="G2273"/>
      <c r="H2273"/>
      <c r="I2273"/>
      <c r="J2273"/>
      <c r="K2273"/>
      <c r="L2273"/>
      <c r="M2273"/>
      <c r="N2273"/>
      <c r="O2273"/>
      <c r="P2273" s="36"/>
      <c r="Q2273" s="37"/>
      <c r="R2273"/>
      <c r="S2273"/>
      <c r="T2273"/>
      <c r="U2273"/>
      <c r="V2273" s="39"/>
      <c r="W2273"/>
      <c r="X2273"/>
      <c r="Y2273"/>
      <c r="Z2273"/>
      <c r="AA2273"/>
    </row>
    <row r="2274" spans="1:27" x14ac:dyDescent="0.25">
      <c r="A2274"/>
      <c r="B2274" s="36"/>
      <c r="C2274" s="36"/>
      <c r="D2274"/>
      <c r="E2274"/>
      <c r="F2274"/>
      <c r="G2274"/>
      <c r="H2274"/>
      <c r="I2274"/>
      <c r="J2274"/>
      <c r="K2274"/>
      <c r="L2274"/>
      <c r="M2274"/>
      <c r="N2274"/>
      <c r="O2274"/>
      <c r="P2274" s="36"/>
      <c r="Q2274" s="37"/>
      <c r="R2274"/>
      <c r="S2274"/>
      <c r="T2274"/>
      <c r="U2274"/>
      <c r="V2274" s="39"/>
      <c r="W2274"/>
      <c r="X2274"/>
      <c r="Y2274"/>
      <c r="Z2274"/>
      <c r="AA2274"/>
    </row>
    <row r="2275" spans="1:27" x14ac:dyDescent="0.25">
      <c r="A2275"/>
      <c r="B2275" s="36"/>
      <c r="C2275" s="36"/>
      <c r="D2275"/>
      <c r="E2275"/>
      <c r="F2275"/>
      <c r="G2275"/>
      <c r="H2275"/>
      <c r="I2275"/>
      <c r="J2275"/>
      <c r="K2275"/>
      <c r="L2275"/>
      <c r="M2275"/>
      <c r="N2275"/>
      <c r="O2275"/>
      <c r="P2275" s="36"/>
      <c r="Q2275" s="37"/>
      <c r="R2275"/>
      <c r="S2275"/>
      <c r="T2275"/>
      <c r="U2275"/>
      <c r="V2275" s="39"/>
      <c r="W2275"/>
      <c r="X2275"/>
      <c r="Y2275"/>
      <c r="Z2275"/>
      <c r="AA2275"/>
    </row>
    <row r="2276" spans="1:27" x14ac:dyDescent="0.25">
      <c r="A2276"/>
      <c r="B2276" s="36"/>
      <c r="C2276" s="36"/>
      <c r="D2276"/>
      <c r="E2276"/>
      <c r="F2276"/>
      <c r="G2276"/>
      <c r="H2276"/>
      <c r="I2276"/>
      <c r="J2276"/>
      <c r="K2276"/>
      <c r="L2276"/>
      <c r="M2276"/>
      <c r="N2276"/>
      <c r="O2276"/>
      <c r="P2276" s="36"/>
      <c r="Q2276" s="37"/>
      <c r="R2276"/>
      <c r="S2276"/>
      <c r="T2276"/>
      <c r="U2276"/>
      <c r="V2276" s="39"/>
      <c r="W2276"/>
      <c r="X2276"/>
      <c r="Y2276"/>
      <c r="Z2276"/>
      <c r="AA2276"/>
    </row>
    <row r="2277" spans="1:27" x14ac:dyDescent="0.25">
      <c r="A2277"/>
      <c r="B2277" s="36"/>
      <c r="C2277" s="36"/>
      <c r="D2277"/>
      <c r="E2277"/>
      <c r="F2277"/>
      <c r="G2277"/>
      <c r="H2277"/>
      <c r="I2277"/>
      <c r="J2277"/>
      <c r="K2277"/>
      <c r="L2277"/>
      <c r="M2277"/>
      <c r="N2277"/>
      <c r="O2277"/>
      <c r="P2277" s="36"/>
      <c r="Q2277" s="37"/>
      <c r="R2277"/>
      <c r="S2277"/>
      <c r="T2277"/>
      <c r="U2277"/>
      <c r="V2277" s="39"/>
      <c r="W2277"/>
      <c r="X2277"/>
      <c r="Y2277"/>
      <c r="Z2277"/>
      <c r="AA2277"/>
    </row>
    <row r="2278" spans="1:27" x14ac:dyDescent="0.25">
      <c r="A2278"/>
      <c r="B2278" s="36"/>
      <c r="C2278" s="36"/>
      <c r="D2278"/>
      <c r="E2278"/>
      <c r="F2278"/>
      <c r="G2278"/>
      <c r="H2278"/>
      <c r="I2278"/>
      <c r="J2278"/>
      <c r="K2278"/>
      <c r="L2278"/>
      <c r="M2278"/>
      <c r="N2278"/>
      <c r="O2278"/>
      <c r="P2278" s="36"/>
      <c r="Q2278" s="37"/>
      <c r="R2278"/>
      <c r="S2278"/>
      <c r="T2278"/>
      <c r="U2278"/>
      <c r="V2278" s="39"/>
      <c r="W2278"/>
      <c r="X2278"/>
      <c r="Y2278"/>
      <c r="Z2278"/>
      <c r="AA2278"/>
    </row>
    <row r="2279" spans="1:27" x14ac:dyDescent="0.25">
      <c r="A2279"/>
      <c r="B2279" s="36"/>
      <c r="C2279" s="36"/>
      <c r="D2279"/>
      <c r="E2279"/>
      <c r="F2279"/>
      <c r="G2279"/>
      <c r="H2279"/>
      <c r="I2279"/>
      <c r="J2279"/>
      <c r="K2279"/>
      <c r="L2279"/>
      <c r="M2279"/>
      <c r="N2279"/>
      <c r="O2279"/>
      <c r="P2279" s="36"/>
      <c r="Q2279" s="37"/>
      <c r="R2279"/>
      <c r="S2279"/>
      <c r="T2279"/>
      <c r="U2279"/>
      <c r="V2279" s="39"/>
      <c r="W2279"/>
      <c r="X2279"/>
      <c r="Y2279"/>
      <c r="Z2279"/>
      <c r="AA2279"/>
    </row>
    <row r="2280" spans="1:27" x14ac:dyDescent="0.25">
      <c r="A2280"/>
      <c r="B2280" s="36"/>
      <c r="C2280" s="36"/>
      <c r="D2280"/>
      <c r="E2280"/>
      <c r="F2280"/>
      <c r="G2280"/>
      <c r="H2280"/>
      <c r="I2280"/>
      <c r="J2280"/>
      <c r="K2280"/>
      <c r="L2280"/>
      <c r="M2280"/>
      <c r="N2280"/>
      <c r="O2280"/>
      <c r="P2280" s="36"/>
      <c r="Q2280" s="37"/>
      <c r="R2280"/>
      <c r="S2280"/>
      <c r="T2280"/>
      <c r="U2280"/>
      <c r="V2280" s="39"/>
      <c r="W2280"/>
      <c r="X2280"/>
      <c r="Y2280"/>
      <c r="Z2280"/>
      <c r="AA2280"/>
    </row>
    <row r="2281" spans="1:27" x14ac:dyDescent="0.25">
      <c r="A2281"/>
      <c r="B2281" s="36"/>
      <c r="C2281" s="36"/>
      <c r="D2281"/>
      <c r="E2281"/>
      <c r="F2281"/>
      <c r="G2281"/>
      <c r="H2281"/>
      <c r="I2281"/>
      <c r="J2281"/>
      <c r="K2281"/>
      <c r="L2281"/>
      <c r="M2281"/>
      <c r="N2281"/>
      <c r="O2281"/>
      <c r="P2281" s="36"/>
      <c r="Q2281" s="37"/>
      <c r="R2281"/>
      <c r="S2281"/>
      <c r="T2281"/>
      <c r="U2281"/>
      <c r="V2281" s="39"/>
      <c r="W2281"/>
      <c r="X2281"/>
      <c r="Y2281"/>
      <c r="Z2281"/>
      <c r="AA2281"/>
    </row>
    <row r="2282" spans="1:27" x14ac:dyDescent="0.25">
      <c r="A2282"/>
      <c r="B2282" s="36"/>
      <c r="C2282" s="36"/>
      <c r="D2282"/>
      <c r="E2282"/>
      <c r="F2282"/>
      <c r="G2282"/>
      <c r="H2282"/>
      <c r="I2282"/>
      <c r="J2282"/>
      <c r="K2282"/>
      <c r="L2282"/>
      <c r="M2282"/>
      <c r="N2282"/>
      <c r="O2282"/>
      <c r="P2282" s="36"/>
      <c r="Q2282" s="37"/>
      <c r="R2282"/>
      <c r="S2282"/>
      <c r="T2282"/>
      <c r="U2282"/>
      <c r="V2282" s="39"/>
      <c r="W2282"/>
      <c r="X2282"/>
      <c r="Y2282"/>
      <c r="Z2282"/>
      <c r="AA2282"/>
    </row>
    <row r="2283" spans="1:27" x14ac:dyDescent="0.25">
      <c r="A2283"/>
      <c r="B2283" s="36"/>
      <c r="C2283" s="36"/>
      <c r="D2283"/>
      <c r="E2283"/>
      <c r="F2283"/>
      <c r="G2283"/>
      <c r="H2283"/>
      <c r="I2283"/>
      <c r="J2283"/>
      <c r="K2283"/>
      <c r="L2283"/>
      <c r="M2283"/>
      <c r="N2283"/>
      <c r="O2283"/>
      <c r="P2283" s="36"/>
      <c r="Q2283" s="37"/>
      <c r="R2283"/>
      <c r="S2283"/>
      <c r="T2283"/>
      <c r="U2283"/>
      <c r="V2283" s="39"/>
      <c r="W2283"/>
      <c r="X2283"/>
      <c r="Y2283"/>
      <c r="Z2283"/>
      <c r="AA2283"/>
    </row>
    <row r="2284" spans="1:27" x14ac:dyDescent="0.25">
      <c r="A2284"/>
      <c r="B2284" s="36"/>
      <c r="C2284" s="36"/>
      <c r="D2284"/>
      <c r="E2284"/>
      <c r="F2284"/>
      <c r="G2284"/>
      <c r="H2284"/>
      <c r="I2284"/>
      <c r="J2284"/>
      <c r="K2284"/>
      <c r="L2284"/>
      <c r="M2284"/>
      <c r="N2284"/>
      <c r="O2284"/>
      <c r="P2284" s="36"/>
      <c r="Q2284" s="37"/>
      <c r="R2284"/>
      <c r="S2284"/>
      <c r="T2284"/>
      <c r="U2284"/>
      <c r="V2284" s="39"/>
      <c r="W2284"/>
      <c r="X2284"/>
      <c r="Y2284"/>
      <c r="Z2284"/>
      <c r="AA2284"/>
    </row>
    <row r="2285" spans="1:27" x14ac:dyDescent="0.25">
      <c r="A2285"/>
      <c r="B2285" s="36"/>
      <c r="C2285" s="36"/>
      <c r="D2285"/>
      <c r="E2285"/>
      <c r="F2285"/>
      <c r="G2285"/>
      <c r="H2285"/>
      <c r="I2285"/>
      <c r="J2285"/>
      <c r="K2285"/>
      <c r="L2285"/>
      <c r="M2285"/>
      <c r="N2285"/>
      <c r="O2285"/>
      <c r="P2285" s="36"/>
      <c r="Q2285" s="37"/>
      <c r="R2285"/>
      <c r="S2285"/>
      <c r="T2285"/>
      <c r="U2285"/>
      <c r="V2285" s="39"/>
      <c r="W2285"/>
      <c r="X2285"/>
      <c r="Y2285"/>
      <c r="Z2285"/>
      <c r="AA2285"/>
    </row>
    <row r="2286" spans="1:27" x14ac:dyDescent="0.25">
      <c r="A2286"/>
      <c r="B2286" s="36"/>
      <c r="C2286" s="36"/>
      <c r="D2286"/>
      <c r="E2286"/>
      <c r="F2286"/>
      <c r="G2286"/>
      <c r="H2286"/>
      <c r="I2286"/>
      <c r="J2286"/>
      <c r="K2286"/>
      <c r="L2286"/>
      <c r="M2286"/>
      <c r="N2286"/>
      <c r="O2286"/>
      <c r="P2286" s="36"/>
      <c r="Q2286" s="37"/>
      <c r="R2286"/>
      <c r="S2286"/>
      <c r="T2286"/>
      <c r="U2286"/>
      <c r="V2286" s="39"/>
      <c r="W2286"/>
      <c r="X2286"/>
      <c r="Y2286"/>
      <c r="Z2286"/>
      <c r="AA2286"/>
    </row>
    <row r="2287" spans="1:27" x14ac:dyDescent="0.25">
      <c r="A2287"/>
      <c r="B2287" s="36"/>
      <c r="C2287" s="36"/>
      <c r="D2287"/>
      <c r="E2287"/>
      <c r="F2287"/>
      <c r="G2287"/>
      <c r="H2287"/>
      <c r="I2287"/>
      <c r="J2287"/>
      <c r="K2287"/>
      <c r="L2287"/>
      <c r="M2287"/>
      <c r="N2287"/>
      <c r="O2287"/>
      <c r="P2287" s="36"/>
      <c r="Q2287" s="37"/>
      <c r="R2287"/>
      <c r="S2287"/>
      <c r="T2287"/>
      <c r="U2287"/>
      <c r="V2287" s="39"/>
      <c r="W2287"/>
      <c r="X2287"/>
      <c r="Y2287"/>
      <c r="Z2287"/>
      <c r="AA2287"/>
    </row>
    <row r="2288" spans="1:27" x14ac:dyDescent="0.25">
      <c r="A2288"/>
      <c r="B2288" s="36"/>
      <c r="C2288" s="36"/>
      <c r="D2288"/>
      <c r="E2288"/>
      <c r="F2288"/>
      <c r="G2288"/>
      <c r="H2288"/>
      <c r="I2288"/>
      <c r="J2288"/>
      <c r="K2288"/>
      <c r="L2288"/>
      <c r="M2288"/>
      <c r="N2288"/>
      <c r="O2288"/>
      <c r="P2288" s="36"/>
      <c r="Q2288" s="37"/>
      <c r="R2288"/>
      <c r="S2288"/>
      <c r="T2288"/>
      <c r="U2288"/>
      <c r="V2288" s="39"/>
      <c r="W2288"/>
      <c r="X2288"/>
      <c r="Y2288"/>
      <c r="Z2288"/>
      <c r="AA2288"/>
    </row>
    <row r="2289" spans="1:27" x14ac:dyDescent="0.25">
      <c r="A2289"/>
      <c r="B2289" s="36"/>
      <c r="C2289" s="36"/>
      <c r="D2289"/>
      <c r="E2289"/>
      <c r="F2289"/>
      <c r="G2289"/>
      <c r="H2289"/>
      <c r="I2289"/>
      <c r="J2289"/>
      <c r="K2289"/>
      <c r="L2289"/>
      <c r="M2289"/>
      <c r="N2289"/>
      <c r="O2289"/>
      <c r="P2289" s="36"/>
      <c r="Q2289" s="37"/>
      <c r="R2289"/>
      <c r="S2289"/>
      <c r="T2289"/>
      <c r="U2289"/>
      <c r="V2289" s="39"/>
      <c r="W2289"/>
      <c r="X2289"/>
      <c r="Y2289"/>
      <c r="Z2289"/>
      <c r="AA2289"/>
    </row>
    <row r="2290" spans="1:27" x14ac:dyDescent="0.25">
      <c r="A2290"/>
      <c r="B2290" s="36"/>
      <c r="C2290" s="36"/>
      <c r="D2290"/>
      <c r="E2290"/>
      <c r="F2290"/>
      <c r="G2290"/>
      <c r="H2290"/>
      <c r="I2290"/>
      <c r="J2290"/>
      <c r="K2290"/>
      <c r="L2290"/>
      <c r="M2290"/>
      <c r="N2290"/>
      <c r="O2290"/>
      <c r="P2290" s="36"/>
      <c r="Q2290" s="37"/>
      <c r="R2290"/>
      <c r="S2290"/>
      <c r="T2290"/>
      <c r="U2290"/>
      <c r="V2290" s="39"/>
      <c r="W2290"/>
      <c r="X2290"/>
      <c r="Y2290"/>
      <c r="Z2290"/>
      <c r="AA2290"/>
    </row>
    <row r="2291" spans="1:27" x14ac:dyDescent="0.25">
      <c r="A2291"/>
      <c r="B2291" s="36"/>
      <c r="C2291" s="36"/>
      <c r="D2291"/>
      <c r="E2291"/>
      <c r="F2291"/>
      <c r="G2291"/>
      <c r="H2291"/>
      <c r="I2291"/>
      <c r="J2291"/>
      <c r="K2291"/>
      <c r="L2291"/>
      <c r="M2291"/>
      <c r="N2291"/>
      <c r="O2291"/>
      <c r="P2291" s="36"/>
      <c r="Q2291" s="37"/>
      <c r="R2291"/>
      <c r="S2291"/>
      <c r="T2291"/>
      <c r="U2291"/>
      <c r="V2291" s="39"/>
      <c r="W2291"/>
      <c r="X2291"/>
      <c r="Y2291"/>
      <c r="Z2291"/>
      <c r="AA2291"/>
    </row>
    <row r="2292" spans="1:27" x14ac:dyDescent="0.25">
      <c r="A2292"/>
      <c r="B2292" s="36"/>
      <c r="C2292" s="36"/>
      <c r="D2292"/>
      <c r="E2292"/>
      <c r="F2292"/>
      <c r="G2292"/>
      <c r="H2292"/>
      <c r="I2292"/>
      <c r="J2292"/>
      <c r="K2292"/>
      <c r="L2292"/>
      <c r="M2292"/>
      <c r="N2292"/>
      <c r="O2292"/>
      <c r="P2292" s="36"/>
      <c r="Q2292" s="37"/>
      <c r="R2292"/>
      <c r="S2292"/>
      <c r="T2292"/>
      <c r="U2292"/>
      <c r="V2292" s="39"/>
      <c r="W2292"/>
      <c r="X2292"/>
      <c r="Y2292"/>
      <c r="Z2292"/>
      <c r="AA2292"/>
    </row>
    <row r="2293" spans="1:27" x14ac:dyDescent="0.25">
      <c r="A2293"/>
      <c r="B2293" s="36"/>
      <c r="C2293" s="36"/>
      <c r="D2293"/>
      <c r="E2293"/>
      <c r="F2293"/>
      <c r="G2293"/>
      <c r="H2293"/>
      <c r="I2293"/>
      <c r="J2293"/>
      <c r="K2293"/>
      <c r="L2293"/>
      <c r="M2293"/>
      <c r="N2293"/>
      <c r="O2293"/>
      <c r="P2293" s="36"/>
      <c r="Q2293" s="37"/>
      <c r="R2293"/>
      <c r="S2293"/>
      <c r="T2293"/>
      <c r="U2293"/>
      <c r="V2293" s="39"/>
      <c r="W2293"/>
      <c r="X2293"/>
      <c r="Y2293"/>
      <c r="Z2293"/>
      <c r="AA2293"/>
    </row>
    <row r="2294" spans="1:27" x14ac:dyDescent="0.25">
      <c r="A2294"/>
      <c r="B2294" s="36"/>
      <c r="C2294" s="36"/>
      <c r="D2294"/>
      <c r="E2294"/>
      <c r="F2294"/>
      <c r="G2294"/>
      <c r="H2294"/>
      <c r="I2294"/>
      <c r="J2294"/>
      <c r="K2294"/>
      <c r="L2294"/>
      <c r="M2294"/>
      <c r="N2294"/>
      <c r="O2294"/>
      <c r="P2294" s="36"/>
      <c r="Q2294" s="37"/>
      <c r="R2294"/>
      <c r="S2294"/>
      <c r="T2294"/>
      <c r="U2294"/>
      <c r="V2294" s="39"/>
      <c r="W2294"/>
      <c r="X2294"/>
      <c r="Y2294"/>
      <c r="Z2294"/>
      <c r="AA2294"/>
    </row>
    <row r="2295" spans="1:27" x14ac:dyDescent="0.25">
      <c r="A2295"/>
      <c r="B2295" s="36"/>
      <c r="C2295" s="36"/>
      <c r="D2295"/>
      <c r="E2295"/>
      <c r="F2295"/>
      <c r="G2295"/>
      <c r="H2295"/>
      <c r="I2295"/>
      <c r="J2295"/>
      <c r="K2295"/>
      <c r="L2295"/>
      <c r="M2295"/>
      <c r="N2295"/>
      <c r="O2295"/>
      <c r="P2295" s="36"/>
      <c r="Q2295" s="37"/>
      <c r="R2295"/>
      <c r="S2295"/>
      <c r="T2295"/>
      <c r="U2295"/>
      <c r="V2295" s="39"/>
      <c r="W2295"/>
      <c r="X2295"/>
      <c r="Y2295"/>
      <c r="Z2295"/>
      <c r="AA2295"/>
    </row>
    <row r="2296" spans="1:27" x14ac:dyDescent="0.25">
      <c r="A2296"/>
      <c r="B2296" s="36"/>
      <c r="C2296" s="36"/>
      <c r="D2296"/>
      <c r="E2296"/>
      <c r="F2296"/>
      <c r="G2296"/>
      <c r="H2296"/>
      <c r="I2296"/>
      <c r="J2296"/>
      <c r="K2296"/>
      <c r="L2296"/>
      <c r="M2296"/>
      <c r="N2296"/>
      <c r="O2296"/>
      <c r="P2296" s="36"/>
      <c r="Q2296" s="37"/>
      <c r="R2296"/>
      <c r="S2296"/>
      <c r="T2296"/>
      <c r="U2296"/>
      <c r="V2296" s="39"/>
      <c r="W2296"/>
      <c r="X2296"/>
      <c r="Y2296"/>
      <c r="Z2296"/>
      <c r="AA2296"/>
    </row>
    <row r="2297" spans="1:27" x14ac:dyDescent="0.25">
      <c r="A2297"/>
      <c r="B2297" s="36"/>
      <c r="C2297" s="36"/>
      <c r="D2297"/>
      <c r="E2297"/>
      <c r="F2297"/>
      <c r="G2297"/>
      <c r="H2297"/>
      <c r="I2297"/>
      <c r="J2297"/>
      <c r="K2297"/>
      <c r="L2297"/>
      <c r="M2297"/>
      <c r="N2297"/>
      <c r="O2297"/>
      <c r="P2297" s="36"/>
      <c r="Q2297" s="37"/>
      <c r="R2297"/>
      <c r="S2297"/>
      <c r="T2297"/>
      <c r="U2297"/>
      <c r="V2297" s="39"/>
      <c r="W2297"/>
      <c r="X2297"/>
      <c r="Y2297"/>
      <c r="Z2297"/>
      <c r="AA2297"/>
    </row>
    <row r="2298" spans="1:27" x14ac:dyDescent="0.25">
      <c r="A2298"/>
      <c r="B2298" s="36"/>
      <c r="C2298" s="36"/>
      <c r="D2298"/>
      <c r="E2298"/>
      <c r="F2298"/>
      <c r="G2298"/>
      <c r="H2298"/>
      <c r="I2298"/>
      <c r="J2298"/>
      <c r="K2298"/>
      <c r="L2298"/>
      <c r="M2298"/>
      <c r="N2298"/>
      <c r="O2298"/>
      <c r="P2298" s="36"/>
      <c r="Q2298" s="37"/>
      <c r="R2298"/>
      <c r="S2298"/>
      <c r="T2298"/>
      <c r="U2298"/>
      <c r="V2298" s="39"/>
      <c r="W2298"/>
      <c r="X2298"/>
      <c r="Y2298"/>
      <c r="Z2298"/>
      <c r="AA2298"/>
    </row>
    <row r="2299" spans="1:27" x14ac:dyDescent="0.25">
      <c r="A2299"/>
      <c r="B2299" s="36"/>
      <c r="C2299" s="36"/>
      <c r="D2299"/>
      <c r="E2299"/>
      <c r="F2299"/>
      <c r="G2299"/>
      <c r="H2299"/>
      <c r="I2299"/>
      <c r="J2299"/>
      <c r="K2299"/>
      <c r="L2299"/>
      <c r="M2299"/>
      <c r="N2299"/>
      <c r="O2299"/>
      <c r="P2299" s="36"/>
      <c r="Q2299" s="37"/>
      <c r="R2299"/>
      <c r="S2299"/>
      <c r="T2299"/>
      <c r="U2299"/>
      <c r="V2299" s="39"/>
      <c r="W2299"/>
      <c r="X2299"/>
      <c r="Y2299"/>
      <c r="Z2299"/>
      <c r="AA2299"/>
    </row>
    <row r="2300" spans="1:27" x14ac:dyDescent="0.25">
      <c r="A2300"/>
      <c r="B2300" s="36"/>
      <c r="C2300" s="36"/>
      <c r="D2300"/>
      <c r="E2300"/>
      <c r="F2300"/>
      <c r="G2300"/>
      <c r="H2300"/>
      <c r="I2300"/>
      <c r="J2300"/>
      <c r="K2300"/>
      <c r="L2300"/>
      <c r="M2300"/>
      <c r="N2300"/>
      <c r="O2300"/>
      <c r="P2300" s="36"/>
      <c r="Q2300" s="37"/>
      <c r="R2300"/>
      <c r="S2300"/>
      <c r="T2300"/>
      <c r="U2300"/>
      <c r="V2300" s="39"/>
      <c r="W2300"/>
      <c r="X2300"/>
      <c r="Y2300"/>
      <c r="Z2300"/>
      <c r="AA2300"/>
    </row>
    <row r="2301" spans="1:27" x14ac:dyDescent="0.25">
      <c r="A2301"/>
      <c r="B2301" s="36"/>
      <c r="C2301" s="36"/>
      <c r="D2301"/>
      <c r="E2301"/>
      <c r="F2301"/>
      <c r="G2301"/>
      <c r="H2301"/>
      <c r="I2301"/>
      <c r="J2301"/>
      <c r="K2301"/>
      <c r="L2301"/>
      <c r="M2301"/>
      <c r="N2301"/>
      <c r="O2301"/>
      <c r="P2301" s="36"/>
      <c r="Q2301" s="37"/>
      <c r="R2301"/>
      <c r="S2301"/>
      <c r="T2301"/>
      <c r="U2301"/>
      <c r="V2301" s="39"/>
      <c r="W2301"/>
      <c r="X2301"/>
      <c r="Y2301"/>
      <c r="Z2301"/>
      <c r="AA2301"/>
    </row>
    <row r="2302" spans="1:27" x14ac:dyDescent="0.25">
      <c r="A2302"/>
      <c r="B2302" s="36"/>
      <c r="C2302" s="36"/>
      <c r="D2302"/>
      <c r="E2302"/>
      <c r="F2302"/>
      <c r="G2302"/>
      <c r="H2302"/>
      <c r="I2302"/>
      <c r="J2302"/>
      <c r="K2302"/>
      <c r="L2302"/>
      <c r="M2302"/>
      <c r="N2302"/>
      <c r="O2302"/>
      <c r="P2302" s="36"/>
      <c r="Q2302" s="37"/>
      <c r="R2302"/>
      <c r="S2302"/>
      <c r="T2302"/>
      <c r="U2302"/>
      <c r="V2302" s="39"/>
      <c r="W2302"/>
      <c r="X2302"/>
      <c r="Y2302"/>
      <c r="Z2302"/>
      <c r="AA2302"/>
    </row>
    <row r="2303" spans="1:27" x14ac:dyDescent="0.25">
      <c r="A2303"/>
      <c r="B2303" s="36"/>
      <c r="C2303" s="36"/>
      <c r="D2303"/>
      <c r="E2303"/>
      <c r="F2303"/>
      <c r="G2303"/>
      <c r="H2303"/>
      <c r="I2303"/>
      <c r="J2303"/>
      <c r="K2303"/>
      <c r="L2303"/>
      <c r="M2303"/>
      <c r="N2303"/>
      <c r="O2303"/>
      <c r="P2303" s="36"/>
      <c r="Q2303" s="37"/>
      <c r="R2303"/>
      <c r="S2303"/>
      <c r="T2303"/>
      <c r="U2303"/>
      <c r="V2303" s="39"/>
      <c r="W2303"/>
      <c r="X2303"/>
      <c r="Y2303"/>
      <c r="Z2303"/>
      <c r="AA2303"/>
    </row>
    <row r="2304" spans="1:27" x14ac:dyDescent="0.25">
      <c r="A2304"/>
      <c r="B2304" s="36"/>
      <c r="C2304" s="36"/>
      <c r="D2304"/>
      <c r="E2304"/>
      <c r="F2304"/>
      <c r="G2304"/>
      <c r="H2304"/>
      <c r="I2304"/>
      <c r="J2304"/>
      <c r="K2304"/>
      <c r="L2304"/>
      <c r="M2304"/>
      <c r="N2304"/>
      <c r="O2304"/>
      <c r="P2304" s="36"/>
      <c r="Q2304" s="37"/>
      <c r="R2304"/>
      <c r="S2304"/>
      <c r="T2304"/>
      <c r="U2304"/>
      <c r="V2304" s="39"/>
      <c r="W2304"/>
      <c r="X2304"/>
      <c r="Y2304"/>
      <c r="Z2304"/>
      <c r="AA2304"/>
    </row>
    <row r="2305" spans="1:27" x14ac:dyDescent="0.25">
      <c r="A2305"/>
      <c r="B2305" s="36"/>
      <c r="C2305" s="36"/>
      <c r="D2305"/>
      <c r="E2305"/>
      <c r="F2305"/>
      <c r="G2305"/>
      <c r="H2305"/>
      <c r="I2305"/>
      <c r="J2305"/>
      <c r="K2305"/>
      <c r="L2305"/>
      <c r="M2305"/>
      <c r="N2305"/>
      <c r="O2305"/>
      <c r="P2305" s="36"/>
      <c r="Q2305" s="37"/>
      <c r="R2305"/>
      <c r="S2305"/>
      <c r="T2305"/>
      <c r="U2305"/>
      <c r="V2305" s="39"/>
      <c r="W2305"/>
      <c r="X2305"/>
      <c r="Y2305"/>
      <c r="Z2305"/>
      <c r="AA2305"/>
    </row>
    <row r="2306" spans="1:27" x14ac:dyDescent="0.25">
      <c r="A2306"/>
      <c r="B2306" s="36"/>
      <c r="C2306" s="36"/>
      <c r="D2306"/>
      <c r="E2306"/>
      <c r="F2306"/>
      <c r="G2306"/>
      <c r="H2306"/>
      <c r="I2306"/>
      <c r="J2306"/>
      <c r="K2306"/>
      <c r="L2306"/>
      <c r="M2306"/>
      <c r="N2306"/>
      <c r="O2306"/>
      <c r="P2306" s="36"/>
      <c r="Q2306" s="37"/>
      <c r="R2306"/>
      <c r="S2306"/>
      <c r="T2306"/>
      <c r="U2306"/>
      <c r="V2306" s="39"/>
      <c r="W2306"/>
      <c r="X2306"/>
      <c r="Y2306"/>
      <c r="Z2306"/>
      <c r="AA2306"/>
    </row>
    <row r="2307" spans="1:27" x14ac:dyDescent="0.25">
      <c r="A2307"/>
      <c r="B2307" s="36"/>
      <c r="C2307" s="36"/>
      <c r="D2307"/>
      <c r="E2307"/>
      <c r="F2307"/>
      <c r="G2307"/>
      <c r="H2307"/>
      <c r="I2307"/>
      <c r="J2307"/>
      <c r="K2307"/>
      <c r="L2307"/>
      <c r="M2307"/>
      <c r="N2307"/>
      <c r="O2307"/>
      <c r="P2307" s="36"/>
      <c r="Q2307" s="37"/>
      <c r="R2307"/>
      <c r="S2307"/>
      <c r="T2307"/>
      <c r="U2307"/>
      <c r="V2307" s="39"/>
      <c r="W2307"/>
      <c r="X2307"/>
      <c r="Y2307"/>
      <c r="Z2307"/>
      <c r="AA2307"/>
    </row>
    <row r="2308" spans="1:27" x14ac:dyDescent="0.25">
      <c r="A2308"/>
      <c r="B2308" s="36"/>
      <c r="C2308" s="36"/>
      <c r="D2308"/>
      <c r="E2308"/>
      <c r="F2308"/>
      <c r="G2308"/>
      <c r="H2308"/>
      <c r="I2308"/>
      <c r="J2308"/>
      <c r="K2308"/>
      <c r="L2308"/>
      <c r="M2308"/>
      <c r="N2308"/>
      <c r="O2308"/>
      <c r="P2308" s="36"/>
      <c r="Q2308" s="37"/>
      <c r="R2308"/>
      <c r="S2308"/>
      <c r="T2308"/>
      <c r="U2308"/>
      <c r="V2308" s="39"/>
      <c r="W2308"/>
      <c r="X2308"/>
      <c r="Y2308"/>
      <c r="Z2308"/>
      <c r="AA2308"/>
    </row>
    <row r="2309" spans="1:27" x14ac:dyDescent="0.25">
      <c r="A2309"/>
      <c r="B2309" s="36"/>
      <c r="C2309" s="36"/>
      <c r="D2309"/>
      <c r="E2309"/>
      <c r="F2309"/>
      <c r="G2309"/>
      <c r="H2309"/>
      <c r="I2309"/>
      <c r="J2309"/>
      <c r="K2309"/>
      <c r="L2309"/>
      <c r="M2309"/>
      <c r="N2309"/>
      <c r="O2309"/>
      <c r="P2309" s="36"/>
      <c r="Q2309" s="37"/>
      <c r="R2309" s="44"/>
      <c r="S2309"/>
      <c r="T2309"/>
      <c r="U2309"/>
      <c r="V2309" s="39"/>
      <c r="W2309"/>
      <c r="X2309"/>
      <c r="Y2309"/>
      <c r="Z2309"/>
      <c r="AA2309"/>
    </row>
    <row r="2310" spans="1:27" x14ac:dyDescent="0.25">
      <c r="A2310"/>
      <c r="B2310" s="36"/>
      <c r="C2310" s="36"/>
      <c r="D2310"/>
      <c r="E2310"/>
      <c r="F2310"/>
      <c r="G2310"/>
      <c r="H2310"/>
      <c r="I2310"/>
      <c r="J2310"/>
      <c r="K2310"/>
      <c r="L2310"/>
      <c r="M2310"/>
      <c r="N2310"/>
      <c r="O2310"/>
      <c r="P2310" s="36"/>
      <c r="Q2310" s="37"/>
      <c r="R2310"/>
      <c r="S2310"/>
      <c r="T2310"/>
      <c r="U2310"/>
      <c r="V2310" s="39"/>
      <c r="W2310"/>
      <c r="X2310"/>
      <c r="Y2310"/>
      <c r="Z2310"/>
      <c r="AA2310"/>
    </row>
    <row r="2311" spans="1:27" x14ac:dyDescent="0.25">
      <c r="A2311"/>
      <c r="B2311" s="36"/>
      <c r="C2311" s="36"/>
      <c r="D2311"/>
      <c r="E2311"/>
      <c r="F2311"/>
      <c r="G2311"/>
      <c r="H2311"/>
      <c r="I2311"/>
      <c r="J2311"/>
      <c r="K2311"/>
      <c r="L2311"/>
      <c r="M2311"/>
      <c r="N2311"/>
      <c r="O2311"/>
      <c r="P2311" s="36"/>
      <c r="Q2311" s="37"/>
      <c r="R2311"/>
      <c r="S2311"/>
      <c r="T2311"/>
      <c r="U2311"/>
      <c r="V2311" s="39"/>
      <c r="W2311"/>
      <c r="X2311"/>
      <c r="Y2311"/>
      <c r="Z2311"/>
      <c r="AA2311"/>
    </row>
    <row r="2312" spans="1:27" x14ac:dyDescent="0.25">
      <c r="A2312"/>
      <c r="B2312" s="36"/>
      <c r="C2312" s="36"/>
      <c r="D2312"/>
      <c r="E2312"/>
      <c r="F2312"/>
      <c r="G2312"/>
      <c r="H2312"/>
      <c r="I2312"/>
      <c r="J2312"/>
      <c r="K2312"/>
      <c r="L2312"/>
      <c r="M2312"/>
      <c r="N2312"/>
      <c r="O2312"/>
      <c r="P2312" s="36"/>
      <c r="Q2312" s="37"/>
      <c r="R2312"/>
      <c r="S2312"/>
      <c r="T2312"/>
      <c r="U2312"/>
      <c r="V2312" s="39"/>
      <c r="W2312"/>
      <c r="X2312"/>
      <c r="Y2312"/>
      <c r="Z2312"/>
      <c r="AA2312"/>
    </row>
    <row r="2313" spans="1:27" x14ac:dyDescent="0.25">
      <c r="A2313"/>
      <c r="B2313" s="36"/>
      <c r="C2313" s="36"/>
      <c r="D2313"/>
      <c r="E2313"/>
      <c r="F2313"/>
      <c r="G2313"/>
      <c r="H2313"/>
      <c r="I2313"/>
      <c r="J2313"/>
      <c r="K2313"/>
      <c r="L2313"/>
      <c r="M2313"/>
      <c r="N2313"/>
      <c r="O2313"/>
      <c r="P2313" s="36"/>
      <c r="Q2313" s="37"/>
      <c r="R2313"/>
      <c r="S2313"/>
      <c r="T2313"/>
      <c r="U2313"/>
      <c r="V2313" s="39"/>
      <c r="W2313"/>
      <c r="X2313"/>
      <c r="Y2313"/>
      <c r="Z2313"/>
      <c r="AA2313"/>
    </row>
    <row r="2314" spans="1:27" x14ac:dyDescent="0.25">
      <c r="A2314"/>
      <c r="B2314" s="36"/>
      <c r="C2314" s="36"/>
      <c r="D2314"/>
      <c r="E2314"/>
      <c r="F2314"/>
      <c r="G2314"/>
      <c r="H2314"/>
      <c r="I2314"/>
      <c r="J2314"/>
      <c r="K2314"/>
      <c r="L2314"/>
      <c r="M2314"/>
      <c r="N2314"/>
      <c r="O2314"/>
      <c r="P2314" s="36"/>
      <c r="Q2314" s="37"/>
      <c r="R2314"/>
      <c r="S2314"/>
      <c r="T2314"/>
      <c r="U2314"/>
      <c r="V2314" s="39"/>
      <c r="W2314"/>
      <c r="X2314"/>
      <c r="Y2314"/>
      <c r="Z2314"/>
      <c r="AA2314"/>
    </row>
    <row r="2315" spans="1:27" x14ac:dyDescent="0.25">
      <c r="A2315"/>
      <c r="B2315" s="36"/>
      <c r="C2315" s="36"/>
      <c r="D2315"/>
      <c r="E2315"/>
      <c r="F2315"/>
      <c r="G2315"/>
      <c r="H2315"/>
      <c r="I2315"/>
      <c r="J2315"/>
      <c r="K2315"/>
      <c r="L2315"/>
      <c r="M2315"/>
      <c r="N2315"/>
      <c r="O2315"/>
      <c r="P2315" s="36"/>
      <c r="Q2315" s="37"/>
      <c r="R2315"/>
      <c r="S2315"/>
      <c r="T2315"/>
      <c r="U2315"/>
      <c r="V2315" s="39"/>
      <c r="W2315"/>
      <c r="X2315"/>
      <c r="Y2315"/>
      <c r="Z2315"/>
      <c r="AA2315"/>
    </row>
    <row r="2316" spans="1:27" x14ac:dyDescent="0.25">
      <c r="A2316"/>
      <c r="B2316" s="36"/>
      <c r="C2316" s="36"/>
      <c r="D2316"/>
      <c r="E2316"/>
      <c r="F2316"/>
      <c r="G2316"/>
      <c r="H2316"/>
      <c r="I2316"/>
      <c r="J2316"/>
      <c r="K2316"/>
      <c r="L2316"/>
      <c r="M2316"/>
      <c r="N2316"/>
      <c r="O2316"/>
      <c r="P2316" s="36"/>
      <c r="Q2316" s="37"/>
      <c r="R2316"/>
      <c r="S2316"/>
      <c r="T2316"/>
      <c r="U2316"/>
      <c r="V2316" s="39"/>
      <c r="W2316"/>
      <c r="X2316"/>
      <c r="Y2316"/>
      <c r="Z2316"/>
      <c r="AA2316"/>
    </row>
    <row r="2317" spans="1:27" x14ac:dyDescent="0.25">
      <c r="A2317"/>
      <c r="B2317" s="36"/>
      <c r="C2317" s="36"/>
      <c r="D2317"/>
      <c r="E2317"/>
      <c r="F2317"/>
      <c r="G2317"/>
      <c r="H2317"/>
      <c r="I2317"/>
      <c r="J2317"/>
      <c r="K2317"/>
      <c r="L2317"/>
      <c r="M2317"/>
      <c r="N2317"/>
      <c r="O2317"/>
      <c r="P2317" s="36"/>
      <c r="Q2317" s="37"/>
      <c r="R2317"/>
      <c r="S2317"/>
      <c r="T2317"/>
      <c r="U2317"/>
      <c r="V2317" s="39"/>
      <c r="W2317"/>
      <c r="X2317"/>
      <c r="Y2317"/>
      <c r="Z2317"/>
      <c r="AA2317"/>
    </row>
    <row r="2318" spans="1:27" x14ac:dyDescent="0.25">
      <c r="A2318"/>
      <c r="B2318" s="36"/>
      <c r="C2318" s="36"/>
      <c r="D2318"/>
      <c r="E2318"/>
      <c r="F2318"/>
      <c r="G2318"/>
      <c r="H2318"/>
      <c r="I2318"/>
      <c r="J2318"/>
      <c r="K2318"/>
      <c r="L2318"/>
      <c r="M2318"/>
      <c r="N2318"/>
      <c r="O2318"/>
      <c r="P2318" s="36"/>
      <c r="Q2318" s="37"/>
      <c r="R2318"/>
      <c r="S2318"/>
      <c r="T2318"/>
      <c r="U2318"/>
      <c r="V2318" s="39"/>
      <c r="W2318"/>
      <c r="X2318"/>
      <c r="Y2318"/>
      <c r="Z2318"/>
      <c r="AA2318"/>
    </row>
    <row r="2319" spans="1:27" x14ac:dyDescent="0.25">
      <c r="A2319"/>
      <c r="B2319" s="36"/>
      <c r="C2319" s="36"/>
      <c r="D2319"/>
      <c r="E2319"/>
      <c r="F2319"/>
      <c r="G2319"/>
      <c r="H2319"/>
      <c r="I2319"/>
      <c r="J2319"/>
      <c r="K2319"/>
      <c r="L2319"/>
      <c r="M2319"/>
      <c r="N2319"/>
      <c r="O2319"/>
      <c r="P2319" s="36"/>
      <c r="Q2319" s="37"/>
      <c r="R2319"/>
      <c r="S2319"/>
      <c r="T2319"/>
      <c r="U2319"/>
      <c r="V2319" s="39"/>
      <c r="W2319"/>
      <c r="X2319"/>
      <c r="Y2319"/>
      <c r="Z2319"/>
      <c r="AA2319"/>
    </row>
    <row r="2320" spans="1:27" x14ac:dyDescent="0.25">
      <c r="A2320"/>
      <c r="B2320" s="36"/>
      <c r="C2320" s="36"/>
      <c r="D2320"/>
      <c r="E2320"/>
      <c r="F2320"/>
      <c r="G2320"/>
      <c r="H2320"/>
      <c r="I2320"/>
      <c r="J2320"/>
      <c r="K2320"/>
      <c r="L2320"/>
      <c r="M2320"/>
      <c r="N2320"/>
      <c r="O2320"/>
      <c r="P2320" s="36"/>
      <c r="Q2320" s="37"/>
      <c r="R2320"/>
      <c r="S2320"/>
      <c r="T2320"/>
      <c r="U2320"/>
      <c r="V2320" s="39"/>
      <c r="W2320"/>
      <c r="X2320"/>
      <c r="Y2320"/>
      <c r="Z2320"/>
      <c r="AA2320"/>
    </row>
    <row r="2321" spans="1:27" x14ac:dyDescent="0.25">
      <c r="A2321"/>
      <c r="B2321" s="36"/>
      <c r="C2321" s="36"/>
      <c r="D2321"/>
      <c r="E2321"/>
      <c r="F2321"/>
      <c r="G2321"/>
      <c r="H2321"/>
      <c r="I2321"/>
      <c r="J2321"/>
      <c r="K2321"/>
      <c r="L2321"/>
      <c r="M2321"/>
      <c r="N2321"/>
      <c r="O2321"/>
      <c r="P2321" s="36"/>
      <c r="Q2321" s="37"/>
      <c r="R2321"/>
      <c r="S2321"/>
      <c r="T2321"/>
      <c r="U2321"/>
      <c r="V2321" s="39"/>
      <c r="W2321"/>
      <c r="X2321"/>
      <c r="Y2321"/>
      <c r="Z2321"/>
      <c r="AA2321"/>
    </row>
    <row r="2322" spans="1:27" x14ac:dyDescent="0.25">
      <c r="A2322"/>
      <c r="B2322" s="36"/>
      <c r="C2322" s="36"/>
      <c r="D2322"/>
      <c r="E2322"/>
      <c r="F2322"/>
      <c r="G2322"/>
      <c r="H2322"/>
      <c r="I2322"/>
      <c r="J2322"/>
      <c r="K2322"/>
      <c r="L2322"/>
      <c r="M2322"/>
      <c r="N2322"/>
      <c r="O2322"/>
      <c r="P2322" s="36"/>
      <c r="Q2322" s="37"/>
      <c r="R2322"/>
      <c r="S2322"/>
      <c r="T2322"/>
      <c r="U2322"/>
      <c r="V2322" s="39"/>
      <c r="W2322"/>
      <c r="X2322"/>
      <c r="Y2322"/>
      <c r="Z2322"/>
      <c r="AA2322"/>
    </row>
    <row r="2323" spans="1:27" x14ac:dyDescent="0.25">
      <c r="A2323"/>
      <c r="B2323" s="36"/>
      <c r="C2323" s="36"/>
      <c r="D2323"/>
      <c r="E2323"/>
      <c r="F2323"/>
      <c r="G2323"/>
      <c r="H2323"/>
      <c r="I2323"/>
      <c r="J2323"/>
      <c r="K2323"/>
      <c r="M2323"/>
      <c r="N2323"/>
      <c r="O2323"/>
      <c r="P2323" s="36"/>
      <c r="Q2323" s="37"/>
      <c r="R2323"/>
      <c r="S2323"/>
      <c r="T2323"/>
      <c r="U2323"/>
      <c r="V2323" s="39"/>
      <c r="W2323"/>
      <c r="X2323"/>
      <c r="Y2323"/>
      <c r="Z2323"/>
      <c r="AA2323"/>
    </row>
    <row r="2324" spans="1:27" x14ac:dyDescent="0.25">
      <c r="A2324"/>
      <c r="B2324" s="36"/>
      <c r="C2324" s="36"/>
      <c r="D2324"/>
      <c r="E2324"/>
      <c r="F2324"/>
      <c r="G2324"/>
      <c r="H2324"/>
      <c r="I2324"/>
      <c r="J2324"/>
      <c r="K2324"/>
      <c r="L2324"/>
      <c r="M2324"/>
      <c r="N2324"/>
      <c r="O2324"/>
      <c r="P2324" s="36"/>
      <c r="Q2324" s="37"/>
      <c r="R2324"/>
      <c r="S2324"/>
      <c r="T2324"/>
      <c r="U2324"/>
      <c r="V2324" s="39"/>
      <c r="W2324"/>
      <c r="X2324"/>
      <c r="Y2324"/>
      <c r="Z2324"/>
      <c r="AA2324"/>
    </row>
    <row r="2325" spans="1:27" x14ac:dyDescent="0.25">
      <c r="A2325"/>
      <c r="B2325" s="36"/>
      <c r="C2325" s="36"/>
      <c r="D2325"/>
      <c r="E2325"/>
      <c r="F2325"/>
      <c r="G2325"/>
      <c r="H2325"/>
      <c r="I2325"/>
      <c r="J2325"/>
      <c r="K2325"/>
      <c r="L2325"/>
      <c r="M2325"/>
      <c r="N2325"/>
      <c r="O2325"/>
      <c r="P2325" s="36"/>
      <c r="Q2325" s="37"/>
      <c r="R2325"/>
      <c r="S2325"/>
      <c r="T2325"/>
      <c r="U2325"/>
      <c r="V2325" s="39"/>
      <c r="W2325"/>
      <c r="X2325"/>
      <c r="Y2325"/>
      <c r="Z2325"/>
      <c r="AA2325"/>
    </row>
    <row r="2326" spans="1:27" x14ac:dyDescent="0.25">
      <c r="A2326"/>
      <c r="B2326" s="36"/>
      <c r="C2326" s="36"/>
      <c r="D2326"/>
      <c r="E2326"/>
      <c r="F2326"/>
      <c r="G2326"/>
      <c r="H2326"/>
      <c r="I2326"/>
      <c r="J2326"/>
      <c r="K2326"/>
      <c r="L2326"/>
      <c r="M2326"/>
      <c r="N2326"/>
      <c r="O2326"/>
      <c r="P2326" s="36"/>
      <c r="Q2326" s="37"/>
      <c r="R2326"/>
      <c r="S2326"/>
      <c r="T2326"/>
      <c r="U2326"/>
      <c r="V2326" s="39"/>
      <c r="W2326"/>
      <c r="X2326"/>
      <c r="Y2326"/>
      <c r="Z2326"/>
      <c r="AA2326"/>
    </row>
    <row r="2327" spans="1:27" x14ac:dyDescent="0.25">
      <c r="A2327"/>
      <c r="B2327" s="36"/>
      <c r="C2327" s="36"/>
      <c r="D2327"/>
      <c r="E2327"/>
      <c r="F2327"/>
      <c r="G2327"/>
      <c r="H2327"/>
      <c r="I2327"/>
      <c r="J2327"/>
      <c r="K2327"/>
      <c r="L2327"/>
      <c r="M2327"/>
      <c r="N2327"/>
      <c r="O2327"/>
      <c r="P2327" s="36"/>
      <c r="Q2327" s="37"/>
      <c r="R2327"/>
      <c r="S2327"/>
      <c r="T2327"/>
      <c r="U2327"/>
      <c r="V2327" s="39"/>
      <c r="W2327"/>
      <c r="X2327"/>
      <c r="Y2327"/>
      <c r="Z2327"/>
      <c r="AA2327"/>
    </row>
    <row r="2328" spans="1:27" x14ac:dyDescent="0.25">
      <c r="A2328"/>
      <c r="B2328" s="36"/>
      <c r="C2328" s="36"/>
      <c r="D2328"/>
      <c r="E2328"/>
      <c r="F2328"/>
      <c r="G2328"/>
      <c r="H2328"/>
      <c r="I2328"/>
      <c r="J2328"/>
      <c r="K2328"/>
      <c r="L2328"/>
      <c r="M2328"/>
      <c r="N2328"/>
      <c r="O2328"/>
      <c r="P2328" s="36"/>
      <c r="Q2328" s="37"/>
      <c r="R2328"/>
      <c r="S2328"/>
      <c r="T2328"/>
      <c r="U2328"/>
      <c r="V2328" s="39"/>
      <c r="W2328"/>
      <c r="X2328"/>
      <c r="Y2328"/>
      <c r="Z2328"/>
      <c r="AA2328"/>
    </row>
    <row r="2329" spans="1:27" x14ac:dyDescent="0.25">
      <c r="A2329"/>
      <c r="B2329" s="36"/>
      <c r="C2329" s="36"/>
      <c r="D2329"/>
      <c r="E2329"/>
      <c r="F2329"/>
      <c r="G2329"/>
      <c r="H2329"/>
      <c r="I2329"/>
      <c r="J2329"/>
      <c r="K2329"/>
      <c r="L2329"/>
      <c r="M2329"/>
      <c r="N2329"/>
      <c r="O2329"/>
      <c r="P2329" s="36"/>
      <c r="Q2329" s="37"/>
      <c r="R2329"/>
      <c r="S2329"/>
      <c r="T2329"/>
      <c r="U2329"/>
      <c r="V2329" s="39"/>
      <c r="W2329"/>
      <c r="X2329"/>
      <c r="Y2329"/>
      <c r="Z2329"/>
      <c r="AA2329"/>
    </row>
    <row r="2330" spans="1:27" x14ac:dyDescent="0.25">
      <c r="A2330"/>
      <c r="B2330" s="36"/>
      <c r="C2330" s="36"/>
      <c r="D2330"/>
      <c r="E2330"/>
      <c r="F2330"/>
      <c r="G2330"/>
      <c r="H2330"/>
      <c r="I2330"/>
      <c r="J2330"/>
      <c r="K2330"/>
      <c r="L2330"/>
      <c r="M2330"/>
      <c r="N2330"/>
      <c r="O2330"/>
      <c r="P2330" s="36"/>
      <c r="Q2330" s="37"/>
      <c r="R2330"/>
      <c r="S2330"/>
      <c r="T2330"/>
      <c r="U2330"/>
      <c r="V2330" s="39"/>
      <c r="W2330"/>
      <c r="X2330"/>
      <c r="Y2330"/>
      <c r="Z2330"/>
      <c r="AA2330"/>
    </row>
    <row r="2331" spans="1:27" x14ac:dyDescent="0.25">
      <c r="A2331"/>
      <c r="B2331" s="36"/>
      <c r="C2331" s="36"/>
      <c r="D2331"/>
      <c r="E2331"/>
      <c r="F2331"/>
      <c r="G2331"/>
      <c r="H2331"/>
      <c r="I2331"/>
      <c r="J2331"/>
      <c r="K2331"/>
      <c r="L2331"/>
      <c r="M2331"/>
      <c r="N2331"/>
      <c r="O2331"/>
      <c r="P2331" s="36"/>
      <c r="Q2331" s="37"/>
      <c r="R2331"/>
      <c r="S2331"/>
      <c r="T2331"/>
      <c r="U2331"/>
      <c r="V2331" s="39"/>
      <c r="W2331"/>
      <c r="X2331"/>
      <c r="Y2331"/>
      <c r="Z2331"/>
      <c r="AA2331"/>
    </row>
    <row r="2332" spans="1:27" x14ac:dyDescent="0.25">
      <c r="A2332"/>
      <c r="B2332" s="36"/>
      <c r="C2332" s="36"/>
      <c r="D2332"/>
      <c r="E2332"/>
      <c r="F2332"/>
      <c r="G2332"/>
      <c r="H2332"/>
      <c r="I2332"/>
      <c r="J2332"/>
      <c r="K2332"/>
      <c r="L2332"/>
      <c r="M2332"/>
      <c r="N2332"/>
      <c r="O2332"/>
      <c r="P2332" s="36"/>
      <c r="Q2332" s="37"/>
      <c r="R2332"/>
      <c r="S2332"/>
      <c r="T2332"/>
      <c r="U2332"/>
      <c r="V2332" s="39"/>
      <c r="W2332"/>
      <c r="X2332"/>
      <c r="Y2332"/>
      <c r="Z2332"/>
      <c r="AA2332"/>
    </row>
    <row r="2333" spans="1:27" x14ac:dyDescent="0.25">
      <c r="A2333"/>
      <c r="B2333" s="36"/>
      <c r="C2333" s="36"/>
      <c r="D2333"/>
      <c r="E2333"/>
      <c r="F2333"/>
      <c r="G2333"/>
      <c r="H2333"/>
      <c r="I2333"/>
      <c r="J2333"/>
      <c r="K2333"/>
      <c r="L2333"/>
      <c r="M2333"/>
      <c r="N2333"/>
      <c r="O2333"/>
      <c r="P2333" s="36"/>
      <c r="Q2333" s="37"/>
      <c r="R2333"/>
      <c r="S2333"/>
      <c r="T2333"/>
      <c r="U2333"/>
      <c r="V2333" s="39"/>
      <c r="W2333"/>
      <c r="X2333"/>
      <c r="Y2333"/>
      <c r="Z2333"/>
      <c r="AA2333"/>
    </row>
    <row r="2334" spans="1:27" x14ac:dyDescent="0.25">
      <c r="A2334"/>
      <c r="B2334" s="36"/>
      <c r="C2334" s="36"/>
      <c r="D2334"/>
      <c r="E2334"/>
      <c r="F2334"/>
      <c r="G2334"/>
      <c r="H2334"/>
      <c r="I2334"/>
      <c r="J2334"/>
      <c r="K2334"/>
      <c r="L2334"/>
      <c r="M2334"/>
      <c r="N2334"/>
      <c r="O2334"/>
      <c r="P2334" s="36"/>
      <c r="Q2334" s="37"/>
      <c r="R2334"/>
      <c r="S2334"/>
      <c r="T2334"/>
      <c r="U2334"/>
      <c r="V2334" s="39"/>
      <c r="W2334"/>
      <c r="X2334"/>
      <c r="Y2334"/>
      <c r="Z2334"/>
      <c r="AA2334"/>
    </row>
    <row r="2335" spans="1:27" x14ac:dyDescent="0.25">
      <c r="A2335"/>
      <c r="B2335" s="36"/>
      <c r="C2335" s="36"/>
      <c r="D2335"/>
      <c r="E2335"/>
      <c r="F2335"/>
      <c r="G2335"/>
      <c r="H2335"/>
      <c r="I2335"/>
      <c r="J2335"/>
      <c r="K2335"/>
      <c r="L2335"/>
      <c r="M2335"/>
      <c r="N2335"/>
      <c r="O2335"/>
      <c r="P2335" s="36"/>
      <c r="Q2335" s="37"/>
      <c r="R2335"/>
      <c r="S2335"/>
      <c r="T2335"/>
      <c r="U2335"/>
      <c r="V2335" s="39"/>
      <c r="W2335"/>
      <c r="X2335"/>
      <c r="Y2335"/>
      <c r="Z2335"/>
      <c r="AA2335"/>
    </row>
    <row r="2336" spans="1:27" x14ac:dyDescent="0.25">
      <c r="A2336"/>
      <c r="B2336" s="36"/>
      <c r="C2336" s="36"/>
      <c r="D2336"/>
      <c r="E2336"/>
      <c r="F2336"/>
      <c r="G2336"/>
      <c r="H2336"/>
      <c r="I2336"/>
      <c r="J2336"/>
      <c r="K2336"/>
      <c r="L2336"/>
      <c r="M2336"/>
      <c r="N2336"/>
      <c r="O2336"/>
      <c r="P2336" s="36"/>
      <c r="Q2336" s="37"/>
      <c r="R2336"/>
      <c r="S2336"/>
      <c r="T2336"/>
      <c r="U2336"/>
      <c r="V2336" s="39"/>
      <c r="W2336"/>
      <c r="X2336"/>
      <c r="Y2336"/>
      <c r="Z2336"/>
      <c r="AA2336"/>
    </row>
    <row r="2337" spans="1:27" x14ac:dyDescent="0.25">
      <c r="A2337"/>
      <c r="B2337" s="36"/>
      <c r="C2337" s="36"/>
      <c r="D2337"/>
      <c r="E2337"/>
      <c r="F2337"/>
      <c r="G2337"/>
      <c r="H2337"/>
      <c r="I2337"/>
      <c r="J2337"/>
      <c r="K2337"/>
      <c r="L2337"/>
      <c r="M2337"/>
      <c r="N2337"/>
      <c r="O2337"/>
      <c r="P2337" s="36"/>
      <c r="Q2337" s="37"/>
      <c r="R2337"/>
      <c r="S2337"/>
      <c r="T2337"/>
      <c r="U2337"/>
      <c r="V2337" s="39"/>
      <c r="W2337"/>
      <c r="X2337"/>
      <c r="Y2337"/>
      <c r="Z2337"/>
      <c r="AA2337"/>
    </row>
    <row r="2338" spans="1:27" x14ac:dyDescent="0.25">
      <c r="A2338"/>
      <c r="B2338" s="36"/>
      <c r="C2338" s="36"/>
      <c r="D2338"/>
      <c r="E2338"/>
      <c r="F2338"/>
      <c r="G2338"/>
      <c r="H2338"/>
      <c r="I2338"/>
      <c r="J2338"/>
      <c r="K2338"/>
      <c r="L2338"/>
      <c r="M2338"/>
      <c r="N2338"/>
      <c r="O2338"/>
      <c r="P2338" s="36"/>
      <c r="Q2338" s="37"/>
      <c r="R2338"/>
      <c r="S2338"/>
      <c r="T2338"/>
      <c r="U2338"/>
      <c r="V2338" s="39"/>
      <c r="W2338"/>
      <c r="X2338"/>
      <c r="Y2338"/>
      <c r="Z2338"/>
      <c r="AA2338"/>
    </row>
    <row r="2339" spans="1:27" x14ac:dyDescent="0.25">
      <c r="A2339"/>
      <c r="B2339" s="36"/>
      <c r="C2339" s="36"/>
      <c r="D2339"/>
      <c r="E2339"/>
      <c r="F2339"/>
      <c r="G2339"/>
      <c r="H2339"/>
      <c r="I2339"/>
      <c r="J2339"/>
      <c r="K2339"/>
      <c r="L2339"/>
      <c r="M2339"/>
      <c r="N2339"/>
      <c r="O2339"/>
      <c r="P2339" s="36"/>
      <c r="Q2339" s="37"/>
      <c r="R2339"/>
      <c r="S2339"/>
      <c r="T2339"/>
      <c r="U2339"/>
      <c r="V2339" s="39"/>
      <c r="W2339"/>
      <c r="X2339"/>
      <c r="Y2339"/>
      <c r="Z2339"/>
      <c r="AA2339"/>
    </row>
    <row r="2340" spans="1:27" x14ac:dyDescent="0.25">
      <c r="A2340"/>
      <c r="B2340" s="36"/>
      <c r="C2340" s="36"/>
      <c r="D2340"/>
      <c r="E2340"/>
      <c r="F2340"/>
      <c r="G2340"/>
      <c r="H2340"/>
      <c r="I2340"/>
      <c r="J2340"/>
      <c r="K2340"/>
      <c r="L2340"/>
      <c r="M2340"/>
      <c r="N2340"/>
      <c r="O2340"/>
      <c r="P2340" s="36"/>
      <c r="Q2340" s="37"/>
      <c r="R2340"/>
      <c r="S2340"/>
      <c r="T2340"/>
      <c r="U2340"/>
      <c r="V2340" s="39"/>
      <c r="W2340"/>
      <c r="X2340"/>
      <c r="Y2340"/>
      <c r="Z2340"/>
      <c r="AA2340"/>
    </row>
    <row r="2341" spans="1:27" x14ac:dyDescent="0.25">
      <c r="A2341"/>
      <c r="B2341" s="36"/>
      <c r="C2341" s="36"/>
      <c r="D2341"/>
      <c r="E2341"/>
      <c r="F2341"/>
      <c r="G2341"/>
      <c r="H2341"/>
      <c r="I2341"/>
      <c r="J2341"/>
      <c r="K2341"/>
      <c r="L2341"/>
      <c r="M2341"/>
      <c r="N2341"/>
      <c r="O2341"/>
      <c r="P2341" s="36"/>
      <c r="Q2341" s="37"/>
      <c r="R2341"/>
      <c r="S2341"/>
      <c r="T2341"/>
      <c r="U2341"/>
      <c r="V2341" s="39"/>
      <c r="W2341"/>
      <c r="X2341"/>
      <c r="Y2341"/>
      <c r="Z2341"/>
      <c r="AA2341"/>
    </row>
    <row r="2342" spans="1:27" x14ac:dyDescent="0.25">
      <c r="A2342"/>
      <c r="B2342" s="36"/>
      <c r="C2342" s="36"/>
      <c r="D2342"/>
      <c r="E2342"/>
      <c r="F2342"/>
      <c r="G2342"/>
      <c r="H2342"/>
      <c r="I2342"/>
      <c r="J2342"/>
      <c r="K2342"/>
      <c r="L2342"/>
      <c r="M2342"/>
      <c r="N2342"/>
      <c r="O2342"/>
      <c r="P2342" s="36"/>
      <c r="Q2342" s="37"/>
      <c r="R2342"/>
      <c r="S2342"/>
      <c r="T2342"/>
      <c r="U2342"/>
      <c r="V2342" s="39"/>
      <c r="W2342"/>
      <c r="X2342"/>
      <c r="Y2342"/>
      <c r="Z2342"/>
      <c r="AA2342"/>
    </row>
    <row r="2343" spans="1:27" x14ac:dyDescent="0.25">
      <c r="A2343"/>
      <c r="B2343" s="36"/>
      <c r="C2343" s="36"/>
      <c r="D2343"/>
      <c r="E2343"/>
      <c r="F2343"/>
      <c r="G2343"/>
      <c r="H2343"/>
      <c r="I2343"/>
      <c r="J2343"/>
      <c r="K2343"/>
      <c r="L2343"/>
      <c r="M2343"/>
      <c r="N2343"/>
      <c r="O2343"/>
      <c r="P2343" s="36"/>
      <c r="Q2343" s="37"/>
      <c r="R2343"/>
      <c r="S2343"/>
      <c r="T2343"/>
      <c r="U2343"/>
      <c r="V2343" s="39"/>
      <c r="W2343"/>
      <c r="X2343"/>
      <c r="Y2343"/>
      <c r="Z2343"/>
      <c r="AA2343"/>
    </row>
    <row r="2344" spans="1:27" x14ac:dyDescent="0.25">
      <c r="A2344"/>
      <c r="B2344" s="36"/>
      <c r="C2344" s="36"/>
      <c r="D2344"/>
      <c r="E2344"/>
      <c r="F2344"/>
      <c r="G2344"/>
      <c r="H2344"/>
      <c r="I2344"/>
      <c r="J2344"/>
      <c r="K2344"/>
      <c r="L2344"/>
      <c r="M2344"/>
      <c r="N2344"/>
      <c r="O2344"/>
      <c r="P2344" s="36"/>
      <c r="Q2344" s="37"/>
      <c r="R2344"/>
      <c r="S2344"/>
      <c r="T2344"/>
      <c r="U2344"/>
      <c r="V2344" s="39"/>
      <c r="W2344"/>
      <c r="X2344"/>
      <c r="Y2344"/>
      <c r="Z2344"/>
      <c r="AA2344"/>
    </row>
    <row r="2345" spans="1:27" x14ac:dyDescent="0.25">
      <c r="A2345"/>
      <c r="B2345" s="36"/>
      <c r="C2345" s="36"/>
      <c r="D2345"/>
      <c r="E2345"/>
      <c r="F2345"/>
      <c r="G2345"/>
      <c r="H2345"/>
      <c r="I2345"/>
      <c r="J2345"/>
      <c r="K2345"/>
      <c r="L2345"/>
      <c r="M2345"/>
      <c r="N2345"/>
      <c r="O2345"/>
      <c r="P2345" s="36"/>
      <c r="Q2345" s="37"/>
      <c r="R2345"/>
      <c r="S2345"/>
      <c r="T2345"/>
      <c r="U2345"/>
      <c r="V2345" s="39"/>
      <c r="W2345"/>
      <c r="X2345"/>
      <c r="Y2345"/>
      <c r="Z2345"/>
      <c r="AA2345"/>
    </row>
    <row r="2346" spans="1:27" x14ac:dyDescent="0.25">
      <c r="A2346"/>
      <c r="B2346" s="36"/>
      <c r="C2346" s="36"/>
      <c r="D2346"/>
      <c r="E2346"/>
      <c r="F2346"/>
      <c r="G2346"/>
      <c r="H2346"/>
      <c r="I2346"/>
      <c r="J2346"/>
      <c r="K2346"/>
      <c r="L2346"/>
      <c r="M2346"/>
      <c r="N2346"/>
      <c r="O2346"/>
      <c r="P2346" s="36"/>
      <c r="Q2346" s="37"/>
      <c r="R2346"/>
      <c r="S2346"/>
      <c r="T2346"/>
      <c r="U2346"/>
      <c r="V2346" s="39"/>
      <c r="W2346"/>
      <c r="X2346"/>
      <c r="Y2346"/>
      <c r="Z2346"/>
      <c r="AA2346"/>
    </row>
    <row r="2347" spans="1:27" x14ac:dyDescent="0.25">
      <c r="A2347"/>
      <c r="B2347" s="36"/>
      <c r="C2347" s="36"/>
      <c r="D2347"/>
      <c r="E2347"/>
      <c r="F2347"/>
      <c r="G2347"/>
      <c r="H2347"/>
      <c r="I2347"/>
      <c r="J2347"/>
      <c r="K2347"/>
      <c r="L2347"/>
      <c r="M2347"/>
      <c r="N2347"/>
      <c r="O2347"/>
      <c r="P2347" s="36"/>
      <c r="Q2347" s="37"/>
      <c r="R2347"/>
      <c r="S2347"/>
      <c r="T2347"/>
      <c r="U2347"/>
      <c r="V2347" s="39"/>
      <c r="W2347"/>
      <c r="X2347"/>
      <c r="Y2347"/>
      <c r="Z2347"/>
      <c r="AA2347"/>
    </row>
    <row r="2348" spans="1:27" x14ac:dyDescent="0.25">
      <c r="A2348"/>
      <c r="B2348" s="36"/>
      <c r="C2348" s="36"/>
      <c r="D2348"/>
      <c r="E2348"/>
      <c r="F2348"/>
      <c r="G2348"/>
      <c r="H2348"/>
      <c r="I2348"/>
      <c r="J2348"/>
      <c r="K2348"/>
      <c r="L2348"/>
      <c r="M2348"/>
      <c r="N2348"/>
      <c r="O2348"/>
      <c r="P2348" s="36"/>
      <c r="Q2348" s="37"/>
      <c r="R2348"/>
      <c r="S2348"/>
      <c r="T2348"/>
      <c r="U2348"/>
      <c r="V2348" s="39"/>
      <c r="W2348"/>
      <c r="X2348"/>
      <c r="Y2348"/>
      <c r="Z2348"/>
      <c r="AA2348"/>
    </row>
    <row r="2349" spans="1:27" x14ac:dyDescent="0.25">
      <c r="A2349"/>
      <c r="B2349" s="36"/>
      <c r="C2349" s="36"/>
      <c r="D2349"/>
      <c r="E2349"/>
      <c r="F2349"/>
      <c r="G2349"/>
      <c r="H2349"/>
      <c r="I2349"/>
      <c r="J2349"/>
      <c r="K2349"/>
      <c r="L2349"/>
      <c r="M2349"/>
      <c r="N2349"/>
      <c r="O2349"/>
      <c r="P2349" s="36"/>
      <c r="Q2349" s="37"/>
      <c r="R2349"/>
      <c r="S2349"/>
      <c r="T2349"/>
      <c r="U2349"/>
      <c r="V2349" s="39"/>
      <c r="W2349"/>
      <c r="X2349"/>
      <c r="Y2349"/>
      <c r="Z2349"/>
      <c r="AA2349"/>
    </row>
    <row r="2350" spans="1:27" x14ac:dyDescent="0.25">
      <c r="A2350"/>
      <c r="B2350" s="36"/>
      <c r="C2350" s="36"/>
      <c r="D2350"/>
      <c r="E2350"/>
      <c r="F2350"/>
      <c r="G2350"/>
      <c r="H2350"/>
      <c r="I2350"/>
      <c r="J2350"/>
      <c r="K2350"/>
      <c r="L2350"/>
      <c r="M2350"/>
      <c r="N2350"/>
      <c r="O2350"/>
      <c r="P2350" s="36"/>
      <c r="Q2350" s="37"/>
      <c r="R2350"/>
      <c r="S2350"/>
      <c r="T2350"/>
      <c r="U2350"/>
      <c r="V2350" s="39"/>
      <c r="W2350"/>
      <c r="X2350"/>
      <c r="Y2350"/>
      <c r="Z2350"/>
      <c r="AA2350"/>
    </row>
    <row r="2351" spans="1:27" x14ac:dyDescent="0.25">
      <c r="A2351"/>
      <c r="B2351" s="36"/>
      <c r="C2351" s="36"/>
      <c r="D2351"/>
      <c r="E2351"/>
      <c r="F2351"/>
      <c r="G2351"/>
      <c r="H2351"/>
      <c r="I2351"/>
      <c r="J2351"/>
      <c r="K2351"/>
      <c r="L2351"/>
      <c r="M2351"/>
      <c r="N2351"/>
      <c r="O2351"/>
      <c r="P2351" s="36"/>
      <c r="Q2351" s="37"/>
      <c r="R2351"/>
      <c r="S2351"/>
      <c r="T2351"/>
      <c r="U2351"/>
      <c r="V2351" s="39"/>
      <c r="W2351"/>
      <c r="X2351"/>
      <c r="Y2351"/>
      <c r="Z2351"/>
      <c r="AA2351"/>
    </row>
    <row r="2352" spans="1:27" x14ac:dyDescent="0.25">
      <c r="A2352"/>
      <c r="B2352" s="36"/>
      <c r="C2352" s="36"/>
      <c r="D2352"/>
      <c r="E2352"/>
      <c r="F2352"/>
      <c r="G2352"/>
      <c r="H2352"/>
      <c r="I2352"/>
      <c r="J2352"/>
      <c r="K2352"/>
      <c r="L2352"/>
      <c r="M2352"/>
      <c r="N2352"/>
      <c r="O2352"/>
      <c r="P2352" s="36"/>
      <c r="Q2352" s="37"/>
      <c r="R2352"/>
      <c r="S2352"/>
      <c r="T2352"/>
      <c r="U2352"/>
      <c r="V2352" s="39"/>
      <c r="W2352"/>
      <c r="X2352"/>
      <c r="Y2352"/>
      <c r="Z2352"/>
      <c r="AA2352"/>
    </row>
    <row r="2353" spans="1:27" x14ac:dyDescent="0.25">
      <c r="A2353"/>
      <c r="B2353" s="36"/>
      <c r="C2353" s="36"/>
      <c r="D2353"/>
      <c r="E2353"/>
      <c r="F2353"/>
      <c r="G2353"/>
      <c r="H2353"/>
      <c r="I2353"/>
      <c r="J2353"/>
      <c r="K2353"/>
      <c r="L2353"/>
      <c r="M2353"/>
      <c r="N2353"/>
      <c r="O2353"/>
      <c r="P2353" s="36"/>
      <c r="Q2353" s="37"/>
      <c r="R2353"/>
      <c r="S2353"/>
      <c r="T2353"/>
      <c r="U2353"/>
      <c r="V2353" s="39"/>
      <c r="W2353"/>
      <c r="X2353"/>
      <c r="Y2353"/>
      <c r="Z2353"/>
      <c r="AA2353"/>
    </row>
    <row r="2354" spans="1:27" x14ac:dyDescent="0.25">
      <c r="A2354"/>
      <c r="B2354" s="36"/>
      <c r="C2354" s="36"/>
      <c r="D2354"/>
      <c r="E2354"/>
      <c r="F2354"/>
      <c r="G2354"/>
      <c r="H2354"/>
      <c r="I2354"/>
      <c r="J2354"/>
      <c r="K2354"/>
      <c r="L2354"/>
      <c r="M2354"/>
      <c r="N2354"/>
      <c r="O2354"/>
      <c r="P2354" s="36"/>
      <c r="Q2354" s="37"/>
      <c r="R2354"/>
      <c r="S2354"/>
      <c r="T2354"/>
      <c r="U2354"/>
      <c r="V2354" s="39"/>
      <c r="W2354"/>
      <c r="X2354"/>
      <c r="Y2354"/>
      <c r="Z2354"/>
      <c r="AA2354"/>
    </row>
    <row r="2355" spans="1:27" x14ac:dyDescent="0.25">
      <c r="A2355"/>
      <c r="B2355" s="36"/>
      <c r="C2355" s="36"/>
      <c r="D2355"/>
      <c r="E2355"/>
      <c r="F2355"/>
      <c r="G2355"/>
      <c r="H2355"/>
      <c r="I2355"/>
      <c r="J2355"/>
      <c r="K2355"/>
      <c r="L2355"/>
      <c r="M2355"/>
      <c r="N2355"/>
      <c r="O2355"/>
      <c r="P2355" s="36"/>
      <c r="Q2355" s="37"/>
      <c r="R2355"/>
      <c r="S2355"/>
      <c r="T2355"/>
      <c r="U2355"/>
      <c r="V2355" s="39"/>
      <c r="W2355"/>
      <c r="X2355"/>
      <c r="Y2355"/>
      <c r="Z2355"/>
      <c r="AA2355"/>
    </row>
    <row r="2356" spans="1:27" x14ac:dyDescent="0.25">
      <c r="A2356"/>
      <c r="B2356" s="36"/>
      <c r="C2356" s="36"/>
      <c r="D2356"/>
      <c r="E2356"/>
      <c r="F2356"/>
      <c r="G2356"/>
      <c r="H2356"/>
      <c r="I2356"/>
      <c r="J2356"/>
      <c r="K2356"/>
      <c r="L2356"/>
      <c r="M2356"/>
      <c r="N2356"/>
      <c r="O2356"/>
      <c r="P2356" s="36"/>
      <c r="Q2356" s="37"/>
      <c r="R2356"/>
      <c r="S2356"/>
      <c r="T2356"/>
      <c r="U2356"/>
      <c r="V2356" s="39"/>
      <c r="W2356"/>
      <c r="X2356"/>
      <c r="Y2356"/>
      <c r="Z2356"/>
      <c r="AA2356"/>
    </row>
    <row r="2357" spans="1:27" x14ac:dyDescent="0.25">
      <c r="A2357"/>
      <c r="B2357" s="36"/>
      <c r="C2357" s="36"/>
      <c r="D2357"/>
      <c r="E2357"/>
      <c r="F2357"/>
      <c r="G2357"/>
      <c r="H2357"/>
      <c r="I2357"/>
      <c r="J2357"/>
      <c r="K2357"/>
      <c r="L2357"/>
      <c r="M2357"/>
      <c r="N2357"/>
      <c r="O2357"/>
      <c r="P2357" s="36"/>
      <c r="Q2357" s="37"/>
      <c r="R2357"/>
      <c r="S2357"/>
      <c r="T2357"/>
      <c r="U2357"/>
      <c r="V2357" s="39"/>
      <c r="W2357"/>
      <c r="X2357"/>
      <c r="Y2357"/>
      <c r="Z2357"/>
      <c r="AA2357"/>
    </row>
    <row r="2358" spans="1:27" x14ac:dyDescent="0.25">
      <c r="A2358"/>
      <c r="B2358" s="36"/>
      <c r="C2358" s="36"/>
      <c r="D2358"/>
      <c r="E2358"/>
      <c r="F2358"/>
      <c r="G2358"/>
      <c r="H2358"/>
      <c r="I2358"/>
      <c r="J2358"/>
      <c r="K2358"/>
      <c r="L2358"/>
      <c r="M2358"/>
      <c r="N2358"/>
      <c r="O2358"/>
      <c r="P2358" s="36"/>
      <c r="Q2358" s="37"/>
      <c r="R2358"/>
      <c r="S2358"/>
      <c r="T2358"/>
      <c r="U2358"/>
      <c r="V2358" s="39"/>
      <c r="W2358"/>
      <c r="X2358"/>
      <c r="Y2358"/>
      <c r="Z2358"/>
      <c r="AA2358"/>
    </row>
    <row r="2359" spans="1:27" x14ac:dyDescent="0.25">
      <c r="A2359"/>
      <c r="B2359" s="36"/>
      <c r="C2359" s="36"/>
      <c r="D2359"/>
      <c r="E2359"/>
      <c r="F2359"/>
      <c r="G2359"/>
      <c r="H2359"/>
      <c r="I2359"/>
      <c r="J2359"/>
      <c r="K2359"/>
      <c r="L2359"/>
      <c r="M2359"/>
      <c r="N2359"/>
      <c r="O2359"/>
      <c r="P2359" s="36"/>
      <c r="Q2359" s="37"/>
      <c r="R2359"/>
      <c r="S2359"/>
      <c r="T2359"/>
      <c r="U2359"/>
      <c r="V2359" s="39"/>
      <c r="W2359"/>
      <c r="X2359"/>
      <c r="Y2359"/>
      <c r="Z2359"/>
      <c r="AA2359"/>
    </row>
    <row r="2360" spans="1:27" x14ac:dyDescent="0.25">
      <c r="A2360"/>
      <c r="B2360" s="36"/>
      <c r="C2360" s="36"/>
      <c r="D2360"/>
      <c r="E2360"/>
      <c r="F2360"/>
      <c r="G2360"/>
      <c r="H2360"/>
      <c r="I2360"/>
      <c r="J2360"/>
      <c r="K2360"/>
      <c r="L2360"/>
      <c r="M2360"/>
      <c r="N2360"/>
      <c r="O2360"/>
      <c r="P2360" s="36"/>
      <c r="Q2360" s="37"/>
      <c r="R2360"/>
      <c r="S2360"/>
      <c r="T2360"/>
      <c r="U2360"/>
      <c r="V2360" s="39"/>
      <c r="W2360"/>
      <c r="X2360"/>
      <c r="Y2360"/>
      <c r="Z2360"/>
      <c r="AA2360"/>
    </row>
    <row r="2361" spans="1:27" x14ac:dyDescent="0.25">
      <c r="A2361"/>
      <c r="B2361" s="36"/>
      <c r="C2361" s="36"/>
      <c r="D2361"/>
      <c r="E2361"/>
      <c r="F2361"/>
      <c r="G2361"/>
      <c r="H2361"/>
      <c r="I2361"/>
      <c r="J2361"/>
      <c r="K2361"/>
      <c r="L2361"/>
      <c r="M2361"/>
      <c r="N2361"/>
      <c r="O2361"/>
      <c r="P2361" s="36"/>
      <c r="Q2361" s="37"/>
      <c r="R2361"/>
      <c r="S2361"/>
      <c r="T2361"/>
      <c r="U2361"/>
      <c r="V2361" s="39"/>
      <c r="W2361"/>
      <c r="X2361"/>
      <c r="Y2361"/>
      <c r="Z2361"/>
      <c r="AA2361"/>
    </row>
    <row r="2362" spans="1:27" x14ac:dyDescent="0.25">
      <c r="A2362"/>
      <c r="B2362" s="36"/>
      <c r="C2362" s="36"/>
      <c r="D2362"/>
      <c r="E2362"/>
      <c r="F2362"/>
      <c r="G2362"/>
      <c r="H2362"/>
      <c r="I2362"/>
      <c r="J2362"/>
      <c r="K2362"/>
      <c r="L2362"/>
      <c r="M2362"/>
      <c r="N2362"/>
      <c r="O2362"/>
      <c r="P2362" s="36"/>
      <c r="Q2362" s="37"/>
      <c r="R2362"/>
      <c r="S2362"/>
      <c r="T2362"/>
      <c r="U2362"/>
      <c r="V2362" s="39"/>
      <c r="W2362"/>
      <c r="X2362"/>
      <c r="Y2362"/>
      <c r="Z2362"/>
      <c r="AA2362"/>
    </row>
    <row r="2363" spans="1:27" x14ac:dyDescent="0.25">
      <c r="A2363"/>
      <c r="B2363" s="36"/>
      <c r="C2363" s="36"/>
      <c r="D2363"/>
      <c r="E2363"/>
      <c r="F2363"/>
      <c r="G2363"/>
      <c r="H2363"/>
      <c r="I2363"/>
      <c r="J2363"/>
      <c r="K2363"/>
      <c r="L2363"/>
      <c r="M2363"/>
      <c r="N2363"/>
      <c r="O2363"/>
      <c r="P2363" s="36"/>
      <c r="Q2363" s="37"/>
      <c r="R2363"/>
      <c r="S2363"/>
      <c r="T2363"/>
      <c r="U2363"/>
      <c r="V2363" s="39"/>
      <c r="W2363"/>
      <c r="X2363"/>
      <c r="Y2363"/>
      <c r="Z2363"/>
      <c r="AA2363"/>
    </row>
    <row r="2364" spans="1:27" x14ac:dyDescent="0.25">
      <c r="A2364"/>
      <c r="B2364" s="36"/>
      <c r="C2364" s="36"/>
      <c r="D2364"/>
      <c r="E2364"/>
      <c r="F2364"/>
      <c r="G2364"/>
      <c r="H2364"/>
      <c r="I2364"/>
      <c r="J2364"/>
      <c r="K2364"/>
      <c r="L2364"/>
      <c r="M2364"/>
      <c r="N2364"/>
      <c r="O2364"/>
      <c r="P2364" s="36"/>
      <c r="Q2364" s="37"/>
      <c r="R2364"/>
      <c r="S2364"/>
      <c r="T2364"/>
      <c r="U2364"/>
      <c r="V2364" s="39"/>
      <c r="W2364"/>
      <c r="X2364"/>
      <c r="Y2364"/>
      <c r="Z2364"/>
      <c r="AA2364"/>
    </row>
    <row r="2365" spans="1:27" x14ac:dyDescent="0.25">
      <c r="A2365"/>
      <c r="B2365" s="36"/>
      <c r="C2365" s="36"/>
      <c r="D2365"/>
      <c r="E2365"/>
      <c r="F2365"/>
      <c r="G2365"/>
      <c r="H2365"/>
      <c r="I2365"/>
      <c r="J2365"/>
      <c r="K2365"/>
      <c r="L2365"/>
      <c r="M2365"/>
      <c r="N2365"/>
      <c r="O2365"/>
      <c r="P2365" s="36"/>
      <c r="Q2365" s="37"/>
      <c r="R2365"/>
      <c r="S2365"/>
      <c r="T2365"/>
      <c r="U2365"/>
      <c r="V2365" s="39"/>
      <c r="W2365"/>
      <c r="X2365"/>
      <c r="Y2365"/>
      <c r="Z2365"/>
      <c r="AA2365"/>
    </row>
    <row r="2366" spans="1:27" x14ac:dyDescent="0.25">
      <c r="A2366"/>
      <c r="B2366" s="36"/>
      <c r="C2366" s="36"/>
      <c r="D2366"/>
      <c r="E2366"/>
      <c r="F2366"/>
      <c r="G2366"/>
      <c r="H2366"/>
      <c r="I2366"/>
      <c r="J2366"/>
      <c r="K2366"/>
      <c r="L2366"/>
      <c r="M2366"/>
      <c r="N2366"/>
      <c r="O2366"/>
      <c r="P2366" s="36"/>
      <c r="Q2366" s="37"/>
      <c r="R2366"/>
      <c r="S2366"/>
      <c r="T2366"/>
      <c r="U2366"/>
      <c r="V2366" s="39"/>
      <c r="W2366"/>
      <c r="X2366"/>
      <c r="Y2366"/>
      <c r="Z2366"/>
      <c r="AA2366"/>
    </row>
    <row r="2367" spans="1:27" x14ac:dyDescent="0.25">
      <c r="A2367"/>
      <c r="B2367" s="36"/>
      <c r="C2367" s="36"/>
      <c r="D2367"/>
      <c r="E2367"/>
      <c r="F2367"/>
      <c r="G2367"/>
      <c r="H2367"/>
      <c r="I2367"/>
      <c r="J2367"/>
      <c r="K2367"/>
      <c r="L2367"/>
      <c r="M2367"/>
      <c r="N2367"/>
      <c r="O2367"/>
      <c r="P2367" s="36"/>
      <c r="Q2367" s="37"/>
      <c r="R2367"/>
      <c r="S2367"/>
      <c r="T2367"/>
      <c r="U2367"/>
      <c r="V2367" s="39"/>
      <c r="W2367"/>
      <c r="X2367"/>
      <c r="Y2367"/>
      <c r="Z2367"/>
      <c r="AA2367"/>
    </row>
    <row r="2368" spans="1:27" x14ac:dyDescent="0.25">
      <c r="A2368"/>
      <c r="B2368" s="36"/>
      <c r="C2368" s="36"/>
      <c r="D2368"/>
      <c r="E2368"/>
      <c r="F2368"/>
      <c r="G2368"/>
      <c r="H2368"/>
      <c r="I2368"/>
      <c r="J2368"/>
      <c r="K2368"/>
      <c r="L2368"/>
      <c r="M2368"/>
      <c r="N2368"/>
      <c r="O2368"/>
      <c r="P2368" s="36"/>
      <c r="Q2368" s="37"/>
      <c r="R2368"/>
      <c r="S2368"/>
      <c r="T2368"/>
      <c r="U2368"/>
      <c r="V2368" s="39"/>
      <c r="W2368"/>
      <c r="X2368"/>
      <c r="Y2368"/>
      <c r="Z2368"/>
      <c r="AA2368"/>
    </row>
    <row r="2369" spans="1:27" x14ac:dyDescent="0.25">
      <c r="A2369"/>
      <c r="B2369" s="36"/>
      <c r="C2369" s="36"/>
      <c r="D2369"/>
      <c r="E2369"/>
      <c r="F2369"/>
      <c r="G2369"/>
      <c r="H2369"/>
      <c r="I2369"/>
      <c r="J2369"/>
      <c r="K2369"/>
      <c r="L2369"/>
      <c r="M2369"/>
      <c r="N2369"/>
      <c r="O2369"/>
      <c r="P2369" s="36"/>
      <c r="Q2369" s="37"/>
      <c r="R2369"/>
      <c r="S2369"/>
      <c r="T2369"/>
      <c r="U2369"/>
      <c r="V2369" s="39"/>
      <c r="W2369"/>
      <c r="X2369"/>
      <c r="Y2369"/>
      <c r="Z2369"/>
      <c r="AA2369"/>
    </row>
    <row r="2370" spans="1:27" x14ac:dyDescent="0.25">
      <c r="A2370"/>
      <c r="B2370" s="36"/>
      <c r="C2370" s="36"/>
      <c r="D2370"/>
      <c r="E2370"/>
      <c r="F2370"/>
      <c r="G2370"/>
      <c r="H2370"/>
      <c r="I2370"/>
      <c r="J2370"/>
      <c r="K2370"/>
      <c r="L2370"/>
      <c r="M2370"/>
      <c r="N2370"/>
      <c r="O2370"/>
      <c r="P2370" s="36"/>
      <c r="Q2370" s="37"/>
      <c r="R2370"/>
      <c r="S2370"/>
      <c r="T2370"/>
      <c r="U2370"/>
      <c r="V2370" s="39"/>
      <c r="W2370"/>
      <c r="X2370"/>
      <c r="Y2370"/>
      <c r="Z2370"/>
      <c r="AA2370"/>
    </row>
    <row r="2371" spans="1:27" x14ac:dyDescent="0.25">
      <c r="A2371"/>
      <c r="B2371" s="36"/>
      <c r="C2371" s="36"/>
      <c r="D2371"/>
      <c r="E2371"/>
      <c r="F2371"/>
      <c r="G2371"/>
      <c r="H2371"/>
      <c r="I2371"/>
      <c r="J2371"/>
      <c r="K2371"/>
      <c r="L2371"/>
      <c r="M2371"/>
      <c r="N2371"/>
      <c r="O2371"/>
      <c r="P2371" s="36"/>
      <c r="Q2371" s="37"/>
      <c r="R2371"/>
      <c r="S2371"/>
      <c r="T2371"/>
      <c r="U2371"/>
      <c r="V2371" s="39"/>
      <c r="W2371"/>
      <c r="X2371"/>
      <c r="Y2371"/>
      <c r="Z2371"/>
      <c r="AA2371"/>
    </row>
    <row r="2372" spans="1:27" x14ac:dyDescent="0.25">
      <c r="A2372"/>
      <c r="B2372" s="36"/>
      <c r="C2372" s="36"/>
      <c r="D2372"/>
      <c r="E2372"/>
      <c r="F2372"/>
      <c r="G2372"/>
      <c r="H2372"/>
      <c r="I2372"/>
      <c r="J2372"/>
      <c r="K2372"/>
      <c r="L2372"/>
      <c r="M2372"/>
      <c r="N2372"/>
      <c r="O2372"/>
      <c r="P2372" s="36"/>
      <c r="Q2372" s="37"/>
      <c r="R2372"/>
      <c r="S2372"/>
      <c r="T2372"/>
      <c r="U2372"/>
      <c r="V2372" s="39"/>
      <c r="W2372"/>
      <c r="X2372"/>
      <c r="Y2372"/>
      <c r="Z2372"/>
      <c r="AA2372"/>
    </row>
    <row r="2373" spans="1:27" x14ac:dyDescent="0.25">
      <c r="A2373"/>
      <c r="B2373" s="36"/>
      <c r="C2373" s="36"/>
      <c r="D2373"/>
      <c r="E2373"/>
      <c r="F2373"/>
      <c r="G2373"/>
      <c r="H2373"/>
      <c r="I2373"/>
      <c r="J2373"/>
      <c r="K2373"/>
      <c r="L2373"/>
      <c r="M2373"/>
      <c r="N2373"/>
      <c r="O2373"/>
      <c r="P2373" s="36"/>
      <c r="Q2373" s="37"/>
      <c r="R2373"/>
      <c r="S2373"/>
      <c r="T2373"/>
      <c r="U2373"/>
      <c r="V2373" s="39"/>
      <c r="W2373"/>
      <c r="X2373"/>
      <c r="Y2373"/>
      <c r="Z2373"/>
      <c r="AA2373"/>
    </row>
    <row r="2374" spans="1:27" x14ac:dyDescent="0.25">
      <c r="A2374"/>
      <c r="B2374" s="36"/>
      <c r="C2374" s="36"/>
      <c r="D2374"/>
      <c r="E2374"/>
      <c r="F2374"/>
      <c r="G2374"/>
      <c r="H2374"/>
      <c r="I2374"/>
      <c r="J2374"/>
      <c r="K2374"/>
      <c r="L2374"/>
      <c r="M2374"/>
      <c r="N2374"/>
      <c r="O2374"/>
      <c r="P2374" s="36"/>
      <c r="Q2374" s="37"/>
      <c r="R2374"/>
      <c r="S2374"/>
      <c r="T2374"/>
      <c r="U2374"/>
      <c r="V2374" s="39"/>
      <c r="W2374"/>
      <c r="X2374"/>
      <c r="Y2374"/>
      <c r="Z2374"/>
      <c r="AA2374"/>
    </row>
    <row r="2375" spans="1:27" x14ac:dyDescent="0.25">
      <c r="A2375"/>
      <c r="B2375" s="36"/>
      <c r="C2375" s="36"/>
      <c r="D2375"/>
      <c r="E2375"/>
      <c r="F2375"/>
      <c r="G2375"/>
      <c r="H2375"/>
      <c r="I2375"/>
      <c r="J2375"/>
      <c r="K2375"/>
      <c r="L2375"/>
      <c r="M2375"/>
      <c r="N2375"/>
      <c r="O2375"/>
      <c r="P2375" s="36"/>
      <c r="Q2375" s="37"/>
      <c r="R2375"/>
      <c r="S2375"/>
      <c r="T2375"/>
      <c r="U2375"/>
      <c r="V2375" s="39"/>
      <c r="W2375"/>
      <c r="X2375"/>
      <c r="Y2375"/>
      <c r="Z2375"/>
      <c r="AA2375"/>
    </row>
    <row r="2376" spans="1:27" x14ac:dyDescent="0.25">
      <c r="A2376"/>
      <c r="B2376" s="36"/>
      <c r="C2376" s="36"/>
      <c r="D2376"/>
      <c r="E2376"/>
      <c r="F2376"/>
      <c r="G2376"/>
      <c r="H2376"/>
      <c r="I2376"/>
      <c r="J2376"/>
      <c r="K2376"/>
      <c r="L2376"/>
      <c r="M2376"/>
      <c r="N2376"/>
      <c r="O2376"/>
      <c r="P2376" s="36"/>
      <c r="Q2376" s="37"/>
      <c r="R2376"/>
      <c r="S2376"/>
      <c r="T2376"/>
      <c r="U2376"/>
      <c r="V2376" s="39"/>
      <c r="W2376"/>
      <c r="X2376"/>
      <c r="Y2376"/>
      <c r="Z2376"/>
      <c r="AA2376"/>
    </row>
    <row r="2377" spans="1:27" x14ac:dyDescent="0.25">
      <c r="A2377"/>
      <c r="B2377" s="36"/>
      <c r="C2377" s="36"/>
      <c r="D2377"/>
      <c r="E2377"/>
      <c r="F2377"/>
      <c r="G2377"/>
      <c r="H2377"/>
      <c r="I2377"/>
      <c r="J2377"/>
      <c r="K2377"/>
      <c r="L2377"/>
      <c r="M2377"/>
      <c r="N2377"/>
      <c r="O2377"/>
      <c r="P2377" s="36"/>
      <c r="Q2377" s="37"/>
      <c r="R2377"/>
      <c r="S2377"/>
      <c r="T2377"/>
      <c r="U2377"/>
      <c r="V2377" s="39"/>
      <c r="W2377"/>
      <c r="X2377"/>
      <c r="Y2377"/>
      <c r="Z2377"/>
      <c r="AA2377"/>
    </row>
    <row r="2378" spans="1:27" x14ac:dyDescent="0.25">
      <c r="A2378"/>
      <c r="B2378" s="36"/>
      <c r="C2378" s="36"/>
      <c r="D2378"/>
      <c r="E2378"/>
      <c r="F2378"/>
      <c r="G2378"/>
      <c r="H2378"/>
      <c r="I2378"/>
      <c r="J2378"/>
      <c r="K2378"/>
      <c r="L2378"/>
      <c r="M2378"/>
      <c r="N2378"/>
      <c r="O2378"/>
      <c r="P2378" s="36"/>
      <c r="Q2378" s="37"/>
      <c r="R2378"/>
      <c r="S2378"/>
      <c r="T2378"/>
      <c r="U2378"/>
      <c r="V2378" s="39"/>
      <c r="W2378"/>
      <c r="X2378"/>
      <c r="Y2378"/>
      <c r="Z2378"/>
      <c r="AA2378"/>
    </row>
    <row r="2379" spans="1:27" x14ac:dyDescent="0.25">
      <c r="A2379"/>
      <c r="B2379" s="36"/>
      <c r="C2379" s="36"/>
      <c r="D2379"/>
      <c r="E2379"/>
      <c r="F2379"/>
      <c r="G2379"/>
      <c r="H2379"/>
      <c r="I2379"/>
      <c r="J2379"/>
      <c r="K2379"/>
      <c r="L2379"/>
      <c r="M2379"/>
      <c r="N2379"/>
      <c r="O2379"/>
      <c r="P2379" s="36"/>
      <c r="Q2379" s="37"/>
      <c r="R2379"/>
      <c r="S2379"/>
      <c r="T2379"/>
      <c r="U2379"/>
      <c r="V2379" s="39"/>
      <c r="W2379"/>
      <c r="X2379"/>
      <c r="Y2379"/>
      <c r="Z2379"/>
      <c r="AA2379"/>
    </row>
    <row r="2380" spans="1:27" x14ac:dyDescent="0.25">
      <c r="A2380"/>
      <c r="B2380" s="36"/>
      <c r="C2380" s="36"/>
      <c r="D2380"/>
      <c r="E2380"/>
      <c r="F2380"/>
      <c r="G2380"/>
      <c r="H2380"/>
      <c r="I2380"/>
      <c r="J2380"/>
      <c r="K2380"/>
      <c r="L2380"/>
      <c r="M2380"/>
      <c r="N2380"/>
      <c r="O2380"/>
      <c r="P2380" s="36"/>
      <c r="Q2380" s="37"/>
      <c r="R2380"/>
      <c r="S2380"/>
      <c r="T2380"/>
      <c r="U2380"/>
      <c r="V2380" s="39"/>
      <c r="W2380"/>
      <c r="X2380"/>
      <c r="Y2380"/>
      <c r="Z2380"/>
      <c r="AA2380"/>
    </row>
    <row r="2381" spans="1:27" x14ac:dyDescent="0.25">
      <c r="A2381"/>
      <c r="B2381" s="36"/>
      <c r="C2381" s="36"/>
      <c r="D2381"/>
      <c r="E2381"/>
      <c r="F2381"/>
      <c r="G2381"/>
      <c r="H2381"/>
      <c r="I2381"/>
      <c r="J2381"/>
      <c r="K2381"/>
      <c r="L2381"/>
      <c r="M2381"/>
      <c r="N2381"/>
      <c r="O2381"/>
      <c r="P2381" s="36"/>
      <c r="Q2381" s="37"/>
      <c r="R2381"/>
      <c r="S2381"/>
      <c r="T2381"/>
      <c r="U2381"/>
      <c r="V2381" s="39"/>
      <c r="W2381"/>
      <c r="X2381"/>
      <c r="Y2381"/>
      <c r="Z2381"/>
      <c r="AA2381"/>
    </row>
    <row r="2382" spans="1:27" x14ac:dyDescent="0.25">
      <c r="A2382"/>
      <c r="B2382" s="36"/>
      <c r="C2382" s="36"/>
      <c r="D2382"/>
      <c r="E2382"/>
      <c r="F2382"/>
      <c r="G2382"/>
      <c r="H2382"/>
      <c r="I2382"/>
      <c r="J2382"/>
      <c r="K2382"/>
      <c r="L2382"/>
      <c r="M2382"/>
      <c r="N2382"/>
      <c r="O2382"/>
      <c r="P2382" s="36"/>
      <c r="Q2382" s="37"/>
      <c r="R2382"/>
      <c r="S2382"/>
      <c r="T2382"/>
      <c r="U2382"/>
      <c r="V2382" s="39"/>
      <c r="W2382"/>
      <c r="X2382"/>
      <c r="Y2382"/>
      <c r="Z2382"/>
      <c r="AA2382"/>
    </row>
    <row r="2383" spans="1:27" x14ac:dyDescent="0.25">
      <c r="A2383"/>
      <c r="B2383" s="36"/>
      <c r="C2383" s="36"/>
      <c r="D2383"/>
      <c r="E2383"/>
      <c r="F2383"/>
      <c r="G2383"/>
      <c r="H2383"/>
      <c r="I2383"/>
      <c r="J2383"/>
      <c r="K2383"/>
      <c r="L2383"/>
      <c r="M2383"/>
      <c r="N2383"/>
      <c r="O2383"/>
      <c r="P2383" s="36"/>
      <c r="Q2383" s="37"/>
      <c r="R2383"/>
      <c r="S2383"/>
      <c r="T2383"/>
      <c r="U2383"/>
      <c r="V2383" s="39"/>
      <c r="W2383"/>
      <c r="X2383"/>
      <c r="Y2383"/>
      <c r="Z2383"/>
      <c r="AA2383"/>
    </row>
    <row r="2384" spans="1:27" x14ac:dyDescent="0.25">
      <c r="A2384"/>
      <c r="B2384" s="36"/>
      <c r="C2384" s="36"/>
      <c r="D2384"/>
      <c r="E2384"/>
      <c r="F2384"/>
      <c r="G2384"/>
      <c r="H2384"/>
      <c r="I2384"/>
      <c r="J2384"/>
      <c r="K2384"/>
      <c r="L2384"/>
      <c r="M2384"/>
      <c r="N2384"/>
      <c r="O2384"/>
      <c r="P2384" s="36"/>
      <c r="Q2384" s="37"/>
      <c r="R2384"/>
      <c r="S2384"/>
      <c r="T2384"/>
      <c r="U2384"/>
      <c r="V2384" s="39"/>
      <c r="W2384"/>
      <c r="X2384"/>
      <c r="Y2384"/>
      <c r="Z2384"/>
      <c r="AA2384"/>
    </row>
    <row r="2385" spans="1:27" x14ac:dyDescent="0.25">
      <c r="A2385"/>
      <c r="B2385" s="36"/>
      <c r="C2385" s="36"/>
      <c r="D2385"/>
      <c r="E2385"/>
      <c r="F2385"/>
      <c r="G2385"/>
      <c r="H2385"/>
      <c r="I2385"/>
      <c r="J2385"/>
      <c r="K2385"/>
      <c r="L2385"/>
      <c r="M2385"/>
      <c r="N2385"/>
      <c r="O2385"/>
      <c r="P2385" s="36"/>
      <c r="Q2385" s="37"/>
      <c r="R2385"/>
      <c r="S2385"/>
      <c r="T2385"/>
      <c r="U2385"/>
      <c r="V2385" s="39"/>
      <c r="W2385"/>
      <c r="X2385"/>
      <c r="Y2385"/>
      <c r="Z2385"/>
      <c r="AA2385"/>
    </row>
    <row r="2386" spans="1:27" x14ac:dyDescent="0.25">
      <c r="A2386"/>
      <c r="B2386" s="36"/>
      <c r="C2386" s="36"/>
      <c r="D2386"/>
      <c r="E2386"/>
      <c r="F2386"/>
      <c r="G2386"/>
      <c r="H2386"/>
      <c r="I2386"/>
      <c r="J2386"/>
      <c r="K2386"/>
      <c r="L2386"/>
      <c r="M2386"/>
      <c r="N2386"/>
      <c r="O2386"/>
      <c r="P2386" s="36"/>
      <c r="Q2386" s="37"/>
      <c r="R2386"/>
      <c r="S2386"/>
      <c r="T2386"/>
      <c r="U2386"/>
      <c r="V2386" s="39"/>
      <c r="W2386"/>
      <c r="X2386"/>
      <c r="Y2386"/>
      <c r="Z2386"/>
      <c r="AA2386"/>
    </row>
    <row r="2387" spans="1:27" x14ac:dyDescent="0.25">
      <c r="A2387"/>
      <c r="B2387" s="36"/>
      <c r="C2387" s="36"/>
      <c r="D2387"/>
      <c r="E2387"/>
      <c r="F2387"/>
      <c r="G2387"/>
      <c r="H2387"/>
      <c r="I2387"/>
      <c r="J2387"/>
      <c r="K2387"/>
      <c r="L2387"/>
      <c r="M2387"/>
      <c r="N2387"/>
      <c r="O2387"/>
      <c r="P2387" s="36"/>
      <c r="Q2387" s="37"/>
      <c r="R2387"/>
      <c r="S2387"/>
      <c r="T2387"/>
      <c r="U2387"/>
      <c r="V2387" s="39"/>
      <c r="W2387"/>
      <c r="X2387"/>
      <c r="Y2387"/>
      <c r="Z2387"/>
      <c r="AA2387"/>
    </row>
    <row r="2388" spans="1:27" x14ac:dyDescent="0.25">
      <c r="A2388"/>
      <c r="B2388" s="36"/>
      <c r="C2388" s="36"/>
      <c r="D2388"/>
      <c r="E2388"/>
      <c r="F2388"/>
      <c r="G2388"/>
      <c r="H2388"/>
      <c r="I2388"/>
      <c r="J2388"/>
      <c r="K2388"/>
      <c r="L2388"/>
      <c r="M2388"/>
      <c r="N2388"/>
      <c r="O2388"/>
      <c r="P2388" s="36"/>
      <c r="Q2388" s="37"/>
      <c r="R2388"/>
      <c r="S2388"/>
      <c r="T2388"/>
      <c r="U2388"/>
      <c r="V2388" s="39"/>
      <c r="W2388"/>
      <c r="X2388"/>
      <c r="Y2388"/>
      <c r="Z2388"/>
      <c r="AA2388"/>
    </row>
    <row r="2389" spans="1:27" x14ac:dyDescent="0.25">
      <c r="A2389"/>
      <c r="B2389" s="36"/>
      <c r="C2389" s="36"/>
      <c r="D2389"/>
      <c r="E2389"/>
      <c r="F2389"/>
      <c r="G2389"/>
      <c r="H2389"/>
      <c r="I2389"/>
      <c r="J2389"/>
      <c r="K2389"/>
      <c r="L2389"/>
      <c r="M2389"/>
      <c r="N2389"/>
      <c r="O2389"/>
      <c r="P2389" s="36"/>
      <c r="Q2389" s="37"/>
      <c r="R2389"/>
      <c r="S2389"/>
      <c r="T2389"/>
      <c r="U2389"/>
      <c r="V2389" s="39"/>
      <c r="W2389"/>
      <c r="X2389"/>
      <c r="Y2389"/>
      <c r="Z2389"/>
      <c r="AA2389"/>
    </row>
    <row r="2390" spans="1:27" x14ac:dyDescent="0.25">
      <c r="A2390"/>
      <c r="B2390" s="36"/>
      <c r="C2390" s="36"/>
      <c r="D2390"/>
      <c r="E2390"/>
      <c r="F2390"/>
      <c r="G2390"/>
      <c r="H2390"/>
      <c r="I2390"/>
      <c r="J2390"/>
      <c r="K2390"/>
      <c r="L2390"/>
      <c r="M2390"/>
      <c r="N2390"/>
      <c r="O2390"/>
      <c r="P2390" s="36"/>
      <c r="Q2390" s="37"/>
      <c r="R2390"/>
      <c r="S2390"/>
      <c r="T2390"/>
      <c r="U2390"/>
      <c r="V2390" s="39"/>
      <c r="W2390"/>
      <c r="X2390"/>
      <c r="Y2390"/>
      <c r="Z2390"/>
      <c r="AA2390"/>
    </row>
    <row r="2391" spans="1:27" x14ac:dyDescent="0.25">
      <c r="A2391"/>
      <c r="B2391" s="36"/>
      <c r="C2391" s="36"/>
      <c r="D2391"/>
      <c r="E2391"/>
      <c r="F2391"/>
      <c r="G2391"/>
      <c r="H2391"/>
      <c r="I2391"/>
      <c r="J2391"/>
      <c r="K2391"/>
      <c r="L2391"/>
      <c r="M2391"/>
      <c r="N2391"/>
      <c r="O2391"/>
      <c r="P2391" s="36"/>
      <c r="Q2391" s="37"/>
      <c r="R2391"/>
      <c r="S2391"/>
      <c r="T2391"/>
      <c r="U2391"/>
      <c r="V2391" s="39"/>
      <c r="W2391"/>
      <c r="X2391"/>
      <c r="Y2391"/>
      <c r="Z2391"/>
      <c r="AA2391"/>
    </row>
    <row r="2392" spans="1:27" x14ac:dyDescent="0.25">
      <c r="A2392"/>
      <c r="B2392" s="36"/>
      <c r="C2392" s="36"/>
      <c r="D2392"/>
      <c r="E2392"/>
      <c r="F2392"/>
      <c r="G2392"/>
      <c r="H2392"/>
      <c r="I2392"/>
      <c r="J2392"/>
      <c r="K2392"/>
      <c r="L2392"/>
      <c r="M2392"/>
      <c r="N2392"/>
      <c r="O2392"/>
      <c r="P2392" s="36"/>
      <c r="Q2392" s="37"/>
      <c r="R2392" s="44"/>
      <c r="S2392"/>
      <c r="T2392"/>
      <c r="U2392"/>
      <c r="V2392" s="39"/>
      <c r="W2392"/>
      <c r="X2392"/>
      <c r="Y2392"/>
      <c r="Z2392"/>
      <c r="AA2392"/>
    </row>
    <row r="2393" spans="1:27" x14ac:dyDescent="0.25">
      <c r="A2393"/>
      <c r="B2393" s="36"/>
      <c r="C2393" s="36"/>
      <c r="D2393"/>
      <c r="E2393"/>
      <c r="F2393"/>
      <c r="G2393"/>
      <c r="H2393"/>
      <c r="I2393"/>
      <c r="J2393"/>
      <c r="K2393"/>
      <c r="L2393"/>
      <c r="M2393"/>
      <c r="N2393"/>
      <c r="O2393"/>
      <c r="P2393" s="36"/>
      <c r="Q2393" s="37"/>
      <c r="R2393"/>
      <c r="S2393"/>
      <c r="T2393"/>
      <c r="U2393"/>
      <c r="V2393" s="39"/>
      <c r="W2393"/>
      <c r="X2393"/>
      <c r="Y2393"/>
      <c r="Z2393"/>
      <c r="AA2393"/>
    </row>
    <row r="2394" spans="1:27" x14ac:dyDescent="0.25">
      <c r="A2394"/>
      <c r="B2394" s="36"/>
      <c r="C2394" s="36"/>
      <c r="D2394"/>
      <c r="E2394"/>
      <c r="F2394"/>
      <c r="G2394"/>
      <c r="H2394"/>
      <c r="I2394"/>
      <c r="J2394"/>
      <c r="K2394"/>
      <c r="L2394"/>
      <c r="M2394"/>
      <c r="N2394"/>
      <c r="O2394"/>
      <c r="P2394" s="36"/>
      <c r="Q2394" s="37"/>
      <c r="R2394"/>
      <c r="S2394"/>
      <c r="T2394"/>
      <c r="U2394"/>
      <c r="V2394" s="39"/>
      <c r="W2394"/>
      <c r="X2394"/>
      <c r="Y2394"/>
      <c r="Z2394"/>
      <c r="AA2394"/>
    </row>
    <row r="2395" spans="1:27" x14ac:dyDescent="0.25">
      <c r="A2395"/>
      <c r="B2395" s="36"/>
      <c r="C2395" s="36"/>
      <c r="D2395"/>
      <c r="E2395"/>
      <c r="F2395"/>
      <c r="G2395"/>
      <c r="H2395"/>
      <c r="I2395"/>
      <c r="J2395"/>
      <c r="K2395"/>
      <c r="L2395"/>
      <c r="M2395"/>
      <c r="N2395"/>
      <c r="O2395"/>
      <c r="P2395" s="36"/>
      <c r="Q2395" s="37"/>
      <c r="R2395"/>
      <c r="S2395"/>
      <c r="T2395"/>
      <c r="U2395"/>
      <c r="V2395" s="39"/>
      <c r="W2395"/>
      <c r="X2395"/>
      <c r="Y2395"/>
      <c r="Z2395"/>
      <c r="AA2395"/>
    </row>
    <row r="2396" spans="1:27" x14ac:dyDescent="0.25">
      <c r="A2396"/>
      <c r="B2396" s="36"/>
      <c r="C2396" s="36"/>
      <c r="D2396"/>
      <c r="E2396"/>
      <c r="F2396"/>
      <c r="G2396"/>
      <c r="H2396"/>
      <c r="I2396"/>
      <c r="J2396"/>
      <c r="K2396"/>
      <c r="L2396"/>
      <c r="M2396"/>
      <c r="N2396"/>
      <c r="O2396"/>
      <c r="P2396" s="36"/>
      <c r="Q2396" s="37"/>
      <c r="R2396" s="44"/>
      <c r="S2396"/>
      <c r="T2396"/>
      <c r="U2396"/>
      <c r="V2396" s="39"/>
      <c r="W2396"/>
      <c r="X2396"/>
      <c r="Y2396"/>
      <c r="Z2396"/>
      <c r="AA2396"/>
    </row>
    <row r="2397" spans="1:27" x14ac:dyDescent="0.25">
      <c r="A2397"/>
      <c r="B2397" s="36"/>
      <c r="C2397" s="36"/>
      <c r="D2397"/>
      <c r="E2397"/>
      <c r="F2397"/>
      <c r="G2397"/>
      <c r="H2397"/>
      <c r="I2397"/>
      <c r="J2397"/>
      <c r="K2397"/>
      <c r="L2397"/>
      <c r="M2397"/>
      <c r="N2397"/>
      <c r="O2397"/>
      <c r="P2397" s="36"/>
      <c r="Q2397" s="37"/>
      <c r="R2397"/>
      <c r="S2397"/>
      <c r="T2397"/>
      <c r="U2397"/>
      <c r="V2397" s="39"/>
      <c r="W2397"/>
      <c r="X2397"/>
      <c r="Y2397"/>
      <c r="Z2397"/>
      <c r="AA2397"/>
    </row>
    <row r="2398" spans="1:27" x14ac:dyDescent="0.25">
      <c r="A2398"/>
      <c r="B2398" s="36"/>
      <c r="C2398" s="36"/>
      <c r="D2398"/>
      <c r="E2398"/>
      <c r="F2398"/>
      <c r="G2398"/>
      <c r="H2398"/>
      <c r="I2398"/>
      <c r="J2398"/>
      <c r="K2398"/>
      <c r="L2398"/>
      <c r="M2398"/>
      <c r="N2398"/>
      <c r="O2398"/>
      <c r="P2398" s="36"/>
      <c r="Q2398" s="37"/>
      <c r="R2398"/>
      <c r="S2398"/>
      <c r="T2398"/>
      <c r="U2398"/>
      <c r="V2398" s="39"/>
      <c r="W2398"/>
      <c r="X2398"/>
      <c r="Y2398"/>
      <c r="Z2398"/>
      <c r="AA2398"/>
    </row>
    <row r="2399" spans="1:27" x14ac:dyDescent="0.25">
      <c r="A2399"/>
      <c r="B2399" s="36"/>
      <c r="C2399" s="36"/>
      <c r="D2399"/>
      <c r="E2399"/>
      <c r="F2399"/>
      <c r="G2399"/>
      <c r="H2399"/>
      <c r="I2399"/>
      <c r="J2399"/>
      <c r="K2399"/>
      <c r="L2399"/>
      <c r="M2399"/>
      <c r="N2399"/>
      <c r="O2399"/>
      <c r="P2399" s="36"/>
      <c r="Q2399" s="37"/>
      <c r="R2399"/>
      <c r="S2399"/>
      <c r="T2399"/>
      <c r="U2399"/>
      <c r="V2399" s="39"/>
      <c r="W2399"/>
      <c r="X2399"/>
      <c r="Y2399"/>
      <c r="Z2399"/>
      <c r="AA2399"/>
    </row>
    <row r="2400" spans="1:27" x14ac:dyDescent="0.25">
      <c r="A2400"/>
      <c r="B2400" s="36"/>
      <c r="C2400" s="36"/>
      <c r="D2400"/>
      <c r="E2400"/>
      <c r="F2400"/>
      <c r="G2400"/>
      <c r="H2400"/>
      <c r="I2400"/>
      <c r="J2400"/>
      <c r="K2400"/>
      <c r="L2400"/>
      <c r="M2400"/>
      <c r="N2400"/>
      <c r="O2400"/>
      <c r="P2400" s="36"/>
      <c r="Q2400" s="37"/>
      <c r="R2400"/>
      <c r="S2400"/>
      <c r="T2400"/>
      <c r="U2400"/>
      <c r="V2400" s="39"/>
      <c r="W2400"/>
      <c r="X2400"/>
      <c r="Y2400"/>
      <c r="Z2400"/>
      <c r="AA2400"/>
    </row>
    <row r="2401" spans="1:27" x14ac:dyDescent="0.25">
      <c r="A2401"/>
      <c r="B2401" s="36"/>
      <c r="C2401" s="36"/>
      <c r="D2401"/>
      <c r="E2401"/>
      <c r="F2401"/>
      <c r="G2401"/>
      <c r="H2401"/>
      <c r="I2401"/>
      <c r="J2401"/>
      <c r="K2401"/>
      <c r="L2401"/>
      <c r="M2401"/>
      <c r="N2401"/>
      <c r="O2401"/>
      <c r="P2401" s="36"/>
      <c r="Q2401" s="37"/>
      <c r="R2401"/>
      <c r="S2401"/>
      <c r="T2401"/>
      <c r="U2401"/>
      <c r="V2401" s="39"/>
      <c r="W2401"/>
      <c r="X2401"/>
      <c r="Y2401"/>
      <c r="Z2401"/>
      <c r="AA2401"/>
    </row>
    <row r="2402" spans="1:27" x14ac:dyDescent="0.25">
      <c r="A2402"/>
      <c r="B2402" s="36"/>
      <c r="C2402" s="36"/>
      <c r="D2402"/>
      <c r="E2402"/>
      <c r="F2402"/>
      <c r="G2402"/>
      <c r="H2402"/>
      <c r="I2402"/>
      <c r="J2402"/>
      <c r="K2402"/>
      <c r="L2402"/>
      <c r="M2402"/>
      <c r="N2402"/>
      <c r="O2402"/>
      <c r="P2402" s="36"/>
      <c r="Q2402" s="37"/>
      <c r="R2402"/>
      <c r="S2402"/>
      <c r="T2402"/>
      <c r="U2402"/>
      <c r="V2402" s="39"/>
      <c r="W2402"/>
      <c r="X2402"/>
      <c r="Y2402"/>
      <c r="Z2402"/>
      <c r="AA2402"/>
    </row>
    <row r="2403" spans="1:27" x14ac:dyDescent="0.25">
      <c r="A2403"/>
      <c r="B2403" s="36"/>
      <c r="C2403" s="36"/>
      <c r="D2403"/>
      <c r="E2403"/>
      <c r="F2403"/>
      <c r="G2403"/>
      <c r="H2403"/>
      <c r="I2403"/>
      <c r="J2403"/>
      <c r="K2403"/>
      <c r="L2403"/>
      <c r="M2403"/>
      <c r="N2403"/>
      <c r="O2403"/>
      <c r="P2403" s="36"/>
      <c r="Q2403" s="37"/>
      <c r="R2403"/>
      <c r="S2403"/>
      <c r="T2403"/>
      <c r="U2403"/>
      <c r="V2403" s="39"/>
      <c r="W2403"/>
      <c r="X2403"/>
      <c r="Y2403"/>
      <c r="Z2403"/>
      <c r="AA2403"/>
    </row>
    <row r="2404" spans="1:27" x14ac:dyDescent="0.25">
      <c r="A2404"/>
      <c r="B2404" s="36"/>
      <c r="C2404" s="36"/>
      <c r="D2404"/>
      <c r="E2404"/>
      <c r="F2404"/>
      <c r="G2404"/>
      <c r="H2404"/>
      <c r="I2404"/>
      <c r="J2404"/>
      <c r="K2404"/>
      <c r="L2404"/>
      <c r="M2404"/>
      <c r="N2404"/>
      <c r="O2404"/>
      <c r="P2404" s="36"/>
      <c r="Q2404" s="37"/>
      <c r="R2404"/>
      <c r="S2404"/>
      <c r="T2404"/>
      <c r="U2404"/>
      <c r="V2404" s="39"/>
      <c r="W2404"/>
      <c r="X2404"/>
      <c r="Y2404"/>
      <c r="Z2404"/>
      <c r="AA2404"/>
    </row>
    <row r="2405" spans="1:27" x14ac:dyDescent="0.25">
      <c r="A2405"/>
      <c r="B2405" s="36"/>
      <c r="C2405" s="36"/>
      <c r="D2405"/>
      <c r="E2405"/>
      <c r="F2405"/>
      <c r="G2405"/>
      <c r="H2405"/>
      <c r="I2405"/>
      <c r="J2405"/>
      <c r="K2405"/>
      <c r="L2405"/>
      <c r="M2405"/>
      <c r="N2405"/>
      <c r="O2405"/>
      <c r="P2405" s="36"/>
      <c r="Q2405" s="37"/>
      <c r="R2405"/>
      <c r="S2405"/>
      <c r="T2405"/>
      <c r="U2405"/>
      <c r="V2405" s="39"/>
      <c r="W2405"/>
      <c r="X2405"/>
      <c r="Y2405"/>
      <c r="Z2405"/>
      <c r="AA2405"/>
    </row>
    <row r="2406" spans="1:27" x14ac:dyDescent="0.25">
      <c r="A2406"/>
      <c r="B2406" s="36"/>
      <c r="C2406" s="36"/>
      <c r="D2406"/>
      <c r="E2406"/>
      <c r="F2406"/>
      <c r="G2406"/>
      <c r="H2406"/>
      <c r="I2406"/>
      <c r="J2406"/>
      <c r="K2406"/>
      <c r="L2406"/>
      <c r="M2406"/>
      <c r="N2406"/>
      <c r="O2406"/>
      <c r="P2406" s="36"/>
      <c r="Q2406" s="37"/>
      <c r="R2406"/>
      <c r="S2406"/>
      <c r="T2406"/>
      <c r="U2406"/>
      <c r="V2406" s="39"/>
      <c r="W2406"/>
      <c r="X2406"/>
      <c r="Y2406"/>
      <c r="Z2406"/>
      <c r="AA2406"/>
    </row>
    <row r="2407" spans="1:27" x14ac:dyDescent="0.25">
      <c r="A2407"/>
      <c r="B2407" s="36"/>
      <c r="C2407" s="36"/>
      <c r="D2407"/>
      <c r="E2407"/>
      <c r="F2407"/>
      <c r="G2407"/>
      <c r="H2407"/>
      <c r="I2407"/>
      <c r="J2407"/>
      <c r="K2407"/>
      <c r="L2407"/>
      <c r="M2407"/>
      <c r="N2407"/>
      <c r="O2407"/>
      <c r="P2407" s="36"/>
      <c r="Q2407" s="37"/>
      <c r="R2407"/>
      <c r="S2407"/>
      <c r="T2407"/>
      <c r="U2407"/>
      <c r="V2407" s="39"/>
      <c r="W2407"/>
      <c r="X2407"/>
      <c r="Y2407"/>
      <c r="Z2407"/>
      <c r="AA2407"/>
    </row>
    <row r="2408" spans="1:27" x14ac:dyDescent="0.25">
      <c r="A2408"/>
      <c r="B2408" s="36"/>
      <c r="C2408" s="36"/>
      <c r="D2408"/>
      <c r="E2408"/>
      <c r="F2408"/>
      <c r="G2408"/>
      <c r="H2408"/>
      <c r="I2408"/>
      <c r="J2408"/>
      <c r="K2408"/>
      <c r="L2408"/>
      <c r="M2408"/>
      <c r="N2408"/>
      <c r="O2408"/>
      <c r="P2408" s="36"/>
      <c r="Q2408" s="37"/>
      <c r="R2408"/>
      <c r="S2408"/>
      <c r="T2408"/>
      <c r="U2408"/>
      <c r="V2408" s="39"/>
      <c r="W2408"/>
      <c r="X2408"/>
      <c r="Y2408"/>
      <c r="Z2408"/>
      <c r="AA2408"/>
    </row>
    <row r="2409" spans="1:27" x14ac:dyDescent="0.25">
      <c r="A2409"/>
      <c r="B2409" s="36"/>
      <c r="C2409" s="36"/>
      <c r="D2409"/>
      <c r="E2409"/>
      <c r="F2409"/>
      <c r="G2409"/>
      <c r="H2409"/>
      <c r="I2409"/>
      <c r="J2409"/>
      <c r="K2409"/>
      <c r="L2409"/>
      <c r="M2409"/>
      <c r="N2409"/>
      <c r="O2409"/>
      <c r="P2409" s="36"/>
      <c r="Q2409" s="37"/>
      <c r="R2409"/>
      <c r="S2409"/>
      <c r="T2409"/>
      <c r="U2409"/>
      <c r="V2409" s="39"/>
      <c r="W2409"/>
      <c r="X2409"/>
      <c r="Y2409"/>
      <c r="Z2409"/>
      <c r="AA2409"/>
    </row>
    <row r="2410" spans="1:27" x14ac:dyDescent="0.25">
      <c r="A2410"/>
      <c r="B2410" s="36"/>
      <c r="C2410" s="36"/>
      <c r="D2410"/>
      <c r="E2410"/>
      <c r="F2410"/>
      <c r="G2410"/>
      <c r="H2410"/>
      <c r="I2410"/>
      <c r="J2410"/>
      <c r="K2410"/>
      <c r="L2410"/>
      <c r="M2410"/>
      <c r="N2410"/>
      <c r="O2410"/>
      <c r="P2410" s="36"/>
      <c r="Q2410" s="37"/>
      <c r="R2410"/>
      <c r="S2410"/>
      <c r="T2410"/>
      <c r="U2410"/>
      <c r="V2410" s="39"/>
      <c r="W2410"/>
      <c r="X2410"/>
      <c r="Y2410"/>
      <c r="Z2410"/>
      <c r="AA2410"/>
    </row>
    <row r="2411" spans="1:27" x14ac:dyDescent="0.25">
      <c r="A2411"/>
      <c r="B2411" s="36"/>
      <c r="C2411" s="36"/>
      <c r="D2411"/>
      <c r="E2411"/>
      <c r="F2411"/>
      <c r="G2411"/>
      <c r="H2411"/>
      <c r="I2411"/>
      <c r="J2411"/>
      <c r="K2411"/>
      <c r="L2411"/>
      <c r="M2411"/>
      <c r="N2411"/>
      <c r="O2411"/>
      <c r="P2411" s="36"/>
      <c r="Q2411" s="37"/>
      <c r="R2411"/>
      <c r="S2411"/>
      <c r="T2411"/>
      <c r="U2411"/>
      <c r="V2411" s="39"/>
      <c r="W2411"/>
      <c r="X2411"/>
      <c r="Y2411"/>
      <c r="Z2411"/>
      <c r="AA2411"/>
    </row>
    <row r="2412" spans="1:27" x14ac:dyDescent="0.25">
      <c r="A2412"/>
      <c r="B2412" s="36"/>
      <c r="C2412" s="36"/>
      <c r="D2412"/>
      <c r="E2412"/>
      <c r="F2412"/>
      <c r="G2412"/>
      <c r="H2412"/>
      <c r="I2412"/>
      <c r="J2412"/>
      <c r="K2412"/>
      <c r="L2412"/>
      <c r="M2412"/>
      <c r="N2412"/>
      <c r="O2412"/>
      <c r="P2412" s="36"/>
      <c r="Q2412" s="37"/>
      <c r="R2412"/>
      <c r="S2412"/>
      <c r="T2412"/>
      <c r="U2412"/>
      <c r="V2412" s="39"/>
      <c r="W2412"/>
      <c r="X2412"/>
      <c r="Y2412"/>
      <c r="Z2412"/>
      <c r="AA2412"/>
    </row>
    <row r="2413" spans="1:27" x14ac:dyDescent="0.25">
      <c r="A2413"/>
      <c r="B2413" s="36"/>
      <c r="C2413" s="36"/>
      <c r="D2413"/>
      <c r="E2413"/>
      <c r="F2413"/>
      <c r="G2413"/>
      <c r="H2413"/>
      <c r="I2413"/>
      <c r="J2413"/>
      <c r="K2413"/>
      <c r="L2413"/>
      <c r="M2413"/>
      <c r="N2413"/>
      <c r="O2413"/>
      <c r="P2413" s="36"/>
      <c r="Q2413" s="37"/>
      <c r="R2413"/>
      <c r="S2413"/>
      <c r="T2413"/>
      <c r="U2413"/>
      <c r="V2413" s="39"/>
      <c r="W2413"/>
      <c r="X2413"/>
      <c r="Y2413"/>
      <c r="Z2413"/>
      <c r="AA2413"/>
    </row>
    <row r="2414" spans="1:27" x14ac:dyDescent="0.25">
      <c r="A2414"/>
      <c r="B2414" s="36"/>
      <c r="C2414" s="36"/>
      <c r="D2414"/>
      <c r="E2414"/>
      <c r="F2414"/>
      <c r="G2414"/>
      <c r="H2414"/>
      <c r="I2414"/>
      <c r="J2414"/>
      <c r="K2414"/>
      <c r="L2414"/>
      <c r="M2414"/>
      <c r="N2414"/>
      <c r="O2414"/>
      <c r="P2414" s="36"/>
      <c r="Q2414" s="37"/>
      <c r="R2414"/>
      <c r="S2414"/>
      <c r="T2414"/>
      <c r="U2414"/>
      <c r="V2414" s="39"/>
      <c r="W2414"/>
      <c r="X2414"/>
      <c r="Y2414"/>
      <c r="Z2414"/>
      <c r="AA2414"/>
    </row>
    <row r="2415" spans="1:27" x14ac:dyDescent="0.25">
      <c r="A2415"/>
      <c r="B2415" s="36"/>
      <c r="C2415" s="36"/>
      <c r="D2415"/>
      <c r="E2415"/>
      <c r="F2415"/>
      <c r="G2415"/>
      <c r="H2415"/>
      <c r="I2415"/>
      <c r="J2415"/>
      <c r="K2415"/>
      <c r="L2415"/>
      <c r="M2415"/>
      <c r="N2415"/>
      <c r="O2415"/>
      <c r="P2415" s="36"/>
      <c r="Q2415" s="37"/>
      <c r="R2415"/>
      <c r="S2415"/>
      <c r="T2415"/>
      <c r="U2415"/>
      <c r="V2415" s="39"/>
      <c r="W2415"/>
      <c r="X2415"/>
      <c r="Y2415"/>
      <c r="Z2415"/>
      <c r="AA2415"/>
    </row>
    <row r="2416" spans="1:27" x14ac:dyDescent="0.25">
      <c r="A2416"/>
      <c r="B2416" s="36"/>
      <c r="C2416" s="36"/>
      <c r="D2416"/>
      <c r="E2416"/>
      <c r="F2416"/>
      <c r="G2416"/>
      <c r="H2416"/>
      <c r="I2416"/>
      <c r="J2416"/>
      <c r="K2416"/>
      <c r="L2416"/>
      <c r="M2416"/>
      <c r="N2416"/>
      <c r="O2416"/>
      <c r="P2416" s="36"/>
      <c r="Q2416" s="37"/>
      <c r="R2416"/>
      <c r="S2416"/>
      <c r="T2416"/>
      <c r="U2416"/>
      <c r="V2416" s="39"/>
      <c r="W2416"/>
      <c r="X2416"/>
      <c r="Y2416"/>
      <c r="Z2416"/>
      <c r="AA2416"/>
    </row>
    <row r="2417" spans="1:27" x14ac:dyDescent="0.25">
      <c r="A2417"/>
      <c r="B2417" s="36"/>
      <c r="C2417" s="36"/>
      <c r="D2417"/>
      <c r="E2417"/>
      <c r="F2417"/>
      <c r="G2417"/>
      <c r="H2417"/>
      <c r="I2417"/>
      <c r="J2417"/>
      <c r="K2417"/>
      <c r="L2417"/>
      <c r="M2417"/>
      <c r="N2417"/>
      <c r="O2417"/>
      <c r="P2417" s="36"/>
      <c r="Q2417" s="37"/>
      <c r="R2417"/>
      <c r="S2417"/>
      <c r="T2417"/>
      <c r="U2417"/>
      <c r="V2417" s="39"/>
      <c r="W2417"/>
      <c r="X2417"/>
      <c r="Y2417"/>
      <c r="Z2417"/>
      <c r="AA2417"/>
    </row>
    <row r="2418" spans="1:27" x14ac:dyDescent="0.25">
      <c r="A2418"/>
      <c r="B2418" s="36"/>
      <c r="C2418" s="36"/>
      <c r="D2418"/>
      <c r="E2418"/>
      <c r="F2418"/>
      <c r="G2418"/>
      <c r="H2418"/>
      <c r="I2418"/>
      <c r="J2418"/>
      <c r="K2418"/>
      <c r="L2418"/>
      <c r="M2418"/>
      <c r="N2418"/>
      <c r="O2418"/>
      <c r="P2418" s="36"/>
      <c r="Q2418" s="37"/>
      <c r="R2418"/>
      <c r="S2418"/>
      <c r="T2418"/>
      <c r="U2418"/>
      <c r="V2418" s="39"/>
      <c r="W2418"/>
      <c r="X2418"/>
      <c r="Y2418"/>
      <c r="Z2418"/>
      <c r="AA2418"/>
    </row>
    <row r="2419" spans="1:27" x14ac:dyDescent="0.25">
      <c r="A2419"/>
      <c r="B2419" s="36"/>
      <c r="C2419" s="36"/>
      <c r="D2419"/>
      <c r="E2419"/>
      <c r="F2419"/>
      <c r="G2419"/>
      <c r="H2419"/>
      <c r="I2419"/>
      <c r="J2419"/>
      <c r="K2419"/>
      <c r="L2419"/>
      <c r="M2419"/>
      <c r="N2419"/>
      <c r="O2419"/>
      <c r="P2419" s="36"/>
      <c r="Q2419" s="37"/>
      <c r="R2419"/>
      <c r="S2419"/>
      <c r="T2419"/>
      <c r="U2419"/>
      <c r="V2419" s="39"/>
      <c r="W2419"/>
      <c r="X2419"/>
      <c r="Y2419"/>
      <c r="Z2419"/>
      <c r="AA2419"/>
    </row>
    <row r="2420" spans="1:27" x14ac:dyDescent="0.25">
      <c r="A2420"/>
      <c r="B2420" s="36"/>
      <c r="C2420" s="36"/>
      <c r="D2420"/>
      <c r="E2420"/>
      <c r="F2420"/>
      <c r="G2420"/>
      <c r="H2420"/>
      <c r="I2420"/>
      <c r="J2420"/>
      <c r="K2420"/>
      <c r="L2420"/>
      <c r="M2420"/>
      <c r="N2420"/>
      <c r="O2420"/>
      <c r="P2420" s="36"/>
      <c r="Q2420" s="37"/>
      <c r="R2420"/>
      <c r="S2420"/>
      <c r="T2420"/>
      <c r="U2420"/>
      <c r="V2420" s="39"/>
      <c r="W2420"/>
      <c r="X2420"/>
      <c r="Y2420"/>
      <c r="Z2420"/>
      <c r="AA2420"/>
    </row>
    <row r="2421" spans="1:27" x14ac:dyDescent="0.25">
      <c r="A2421"/>
      <c r="B2421" s="36"/>
      <c r="C2421" s="36"/>
      <c r="D2421"/>
      <c r="E2421"/>
      <c r="F2421"/>
      <c r="G2421"/>
      <c r="H2421"/>
      <c r="I2421"/>
      <c r="J2421"/>
      <c r="K2421"/>
      <c r="L2421"/>
      <c r="M2421"/>
      <c r="N2421"/>
      <c r="O2421"/>
      <c r="P2421" s="36"/>
      <c r="Q2421" s="37"/>
      <c r="R2421"/>
      <c r="S2421"/>
      <c r="T2421"/>
      <c r="U2421"/>
      <c r="V2421" s="39"/>
      <c r="W2421"/>
      <c r="X2421"/>
      <c r="Y2421"/>
      <c r="Z2421"/>
      <c r="AA2421"/>
    </row>
    <row r="2422" spans="1:27" x14ac:dyDescent="0.25">
      <c r="A2422"/>
      <c r="B2422" s="36"/>
      <c r="C2422" s="36"/>
      <c r="D2422"/>
      <c r="E2422"/>
      <c r="F2422"/>
      <c r="G2422"/>
      <c r="H2422"/>
      <c r="I2422"/>
      <c r="J2422"/>
      <c r="K2422"/>
      <c r="L2422"/>
      <c r="M2422"/>
      <c r="N2422"/>
      <c r="O2422"/>
      <c r="P2422" s="36"/>
      <c r="Q2422" s="37"/>
      <c r="R2422"/>
      <c r="S2422"/>
      <c r="T2422"/>
      <c r="U2422"/>
      <c r="V2422" s="39"/>
      <c r="W2422"/>
      <c r="X2422"/>
      <c r="Y2422"/>
      <c r="Z2422"/>
      <c r="AA2422"/>
    </row>
    <row r="2423" spans="1:27" x14ac:dyDescent="0.25">
      <c r="A2423"/>
      <c r="B2423" s="36"/>
      <c r="C2423" s="36"/>
      <c r="D2423"/>
      <c r="E2423"/>
      <c r="F2423"/>
      <c r="G2423"/>
      <c r="H2423"/>
      <c r="I2423"/>
      <c r="J2423"/>
      <c r="K2423"/>
      <c r="L2423"/>
      <c r="M2423"/>
      <c r="N2423"/>
      <c r="O2423"/>
      <c r="P2423" s="36"/>
      <c r="Q2423" s="37"/>
      <c r="R2423"/>
      <c r="S2423"/>
      <c r="T2423"/>
      <c r="U2423"/>
      <c r="V2423" s="39"/>
      <c r="W2423"/>
      <c r="X2423"/>
      <c r="Y2423"/>
      <c r="Z2423"/>
      <c r="AA2423"/>
    </row>
    <row r="2424" spans="1:27" x14ac:dyDescent="0.25">
      <c r="A2424"/>
      <c r="B2424" s="36"/>
      <c r="C2424" s="36"/>
      <c r="D2424"/>
      <c r="E2424"/>
      <c r="F2424"/>
      <c r="G2424"/>
      <c r="H2424"/>
      <c r="I2424"/>
      <c r="J2424"/>
      <c r="K2424"/>
      <c r="L2424"/>
      <c r="M2424"/>
      <c r="N2424"/>
      <c r="O2424"/>
      <c r="P2424" s="36"/>
      <c r="Q2424" s="37"/>
      <c r="R2424"/>
      <c r="S2424"/>
      <c r="T2424"/>
      <c r="U2424"/>
      <c r="V2424" s="39"/>
      <c r="W2424"/>
      <c r="X2424"/>
      <c r="Y2424"/>
      <c r="Z2424"/>
      <c r="AA2424"/>
    </row>
    <row r="2425" spans="1:27" x14ac:dyDescent="0.25">
      <c r="A2425"/>
      <c r="B2425" s="36"/>
      <c r="C2425" s="36"/>
      <c r="D2425"/>
      <c r="E2425"/>
      <c r="F2425"/>
      <c r="G2425"/>
      <c r="H2425"/>
      <c r="I2425"/>
      <c r="J2425"/>
      <c r="K2425"/>
      <c r="L2425"/>
      <c r="M2425"/>
      <c r="N2425"/>
      <c r="O2425"/>
      <c r="P2425" s="36"/>
      <c r="Q2425" s="37"/>
      <c r="R2425"/>
      <c r="S2425"/>
      <c r="T2425"/>
      <c r="U2425"/>
      <c r="V2425" s="39"/>
      <c r="W2425"/>
      <c r="X2425"/>
      <c r="Y2425"/>
      <c r="Z2425"/>
      <c r="AA2425"/>
    </row>
    <row r="2426" spans="1:27" x14ac:dyDescent="0.25">
      <c r="A2426"/>
      <c r="B2426" s="36"/>
      <c r="C2426" s="36"/>
      <c r="D2426"/>
      <c r="E2426"/>
      <c r="F2426"/>
      <c r="G2426"/>
      <c r="H2426"/>
      <c r="I2426"/>
      <c r="J2426"/>
      <c r="K2426"/>
      <c r="L2426"/>
      <c r="M2426"/>
      <c r="N2426"/>
      <c r="O2426"/>
      <c r="P2426" s="36"/>
      <c r="Q2426" s="37"/>
      <c r="R2426"/>
      <c r="S2426"/>
      <c r="T2426"/>
      <c r="U2426"/>
      <c r="V2426" s="39"/>
      <c r="W2426"/>
      <c r="X2426"/>
      <c r="Y2426"/>
      <c r="Z2426"/>
      <c r="AA2426"/>
    </row>
    <row r="2427" spans="1:27" x14ac:dyDescent="0.25">
      <c r="A2427"/>
      <c r="B2427" s="36"/>
      <c r="C2427" s="36"/>
      <c r="D2427"/>
      <c r="E2427"/>
      <c r="F2427"/>
      <c r="G2427"/>
      <c r="H2427"/>
      <c r="I2427"/>
      <c r="J2427"/>
      <c r="K2427"/>
      <c r="L2427"/>
      <c r="M2427"/>
      <c r="N2427"/>
      <c r="O2427"/>
      <c r="P2427" s="36"/>
      <c r="Q2427" s="37"/>
      <c r="R2427"/>
      <c r="S2427"/>
      <c r="T2427"/>
      <c r="U2427"/>
      <c r="V2427" s="39"/>
      <c r="W2427"/>
      <c r="X2427"/>
      <c r="Y2427"/>
      <c r="Z2427"/>
      <c r="AA2427"/>
    </row>
    <row r="2428" spans="1:27" x14ac:dyDescent="0.25">
      <c r="A2428"/>
      <c r="B2428" s="36"/>
      <c r="C2428" s="36"/>
      <c r="D2428"/>
      <c r="E2428"/>
      <c r="F2428"/>
      <c r="G2428"/>
      <c r="H2428"/>
      <c r="I2428"/>
      <c r="J2428"/>
      <c r="K2428"/>
      <c r="L2428"/>
      <c r="M2428"/>
      <c r="N2428"/>
      <c r="O2428"/>
      <c r="P2428" s="36"/>
      <c r="Q2428" s="37"/>
      <c r="R2428"/>
      <c r="S2428"/>
      <c r="T2428"/>
      <c r="U2428"/>
      <c r="V2428" s="39"/>
      <c r="W2428"/>
      <c r="X2428"/>
      <c r="Y2428"/>
      <c r="Z2428"/>
      <c r="AA2428"/>
    </row>
    <row r="2429" spans="1:27" x14ac:dyDescent="0.25">
      <c r="A2429"/>
      <c r="B2429" s="36"/>
      <c r="C2429" s="36"/>
      <c r="D2429"/>
      <c r="E2429"/>
      <c r="F2429"/>
      <c r="G2429"/>
      <c r="H2429"/>
      <c r="I2429"/>
      <c r="J2429"/>
      <c r="K2429"/>
      <c r="L2429"/>
      <c r="M2429"/>
      <c r="N2429"/>
      <c r="O2429"/>
      <c r="P2429" s="36"/>
      <c r="Q2429" s="37"/>
      <c r="R2429"/>
      <c r="S2429"/>
      <c r="T2429"/>
      <c r="U2429"/>
      <c r="V2429" s="39"/>
      <c r="W2429"/>
      <c r="X2429"/>
      <c r="Y2429"/>
      <c r="Z2429"/>
      <c r="AA2429"/>
    </row>
    <row r="2430" spans="1:27" x14ac:dyDescent="0.25">
      <c r="A2430"/>
      <c r="B2430" s="36"/>
      <c r="C2430" s="36"/>
      <c r="D2430"/>
      <c r="E2430"/>
      <c r="F2430"/>
      <c r="G2430"/>
      <c r="H2430"/>
      <c r="I2430"/>
      <c r="J2430"/>
      <c r="K2430"/>
      <c r="L2430"/>
      <c r="M2430"/>
      <c r="N2430"/>
      <c r="O2430"/>
      <c r="P2430" s="36"/>
      <c r="Q2430" s="37"/>
      <c r="R2430"/>
      <c r="S2430"/>
      <c r="T2430"/>
      <c r="U2430"/>
      <c r="V2430" s="39"/>
      <c r="W2430"/>
      <c r="X2430"/>
      <c r="Y2430"/>
      <c r="Z2430"/>
      <c r="AA2430"/>
    </row>
    <row r="2431" spans="1:27" x14ac:dyDescent="0.25">
      <c r="A2431"/>
      <c r="B2431" s="36"/>
      <c r="C2431" s="36"/>
      <c r="D2431"/>
      <c r="E2431"/>
      <c r="F2431"/>
      <c r="G2431"/>
      <c r="H2431"/>
      <c r="I2431"/>
      <c r="J2431"/>
      <c r="K2431"/>
      <c r="L2431"/>
      <c r="M2431"/>
      <c r="N2431"/>
      <c r="O2431"/>
      <c r="P2431" s="36"/>
      <c r="Q2431" s="37"/>
      <c r="R2431"/>
      <c r="S2431"/>
      <c r="T2431"/>
      <c r="U2431"/>
      <c r="V2431" s="39"/>
      <c r="W2431"/>
      <c r="X2431"/>
      <c r="Y2431"/>
      <c r="Z2431"/>
      <c r="AA2431"/>
    </row>
    <row r="2432" spans="1:27" x14ac:dyDescent="0.25">
      <c r="A2432"/>
      <c r="B2432" s="36"/>
      <c r="C2432" s="36"/>
      <c r="D2432"/>
      <c r="E2432"/>
      <c r="F2432"/>
      <c r="G2432"/>
      <c r="H2432"/>
      <c r="I2432"/>
      <c r="J2432"/>
      <c r="K2432"/>
      <c r="L2432"/>
      <c r="M2432"/>
      <c r="N2432"/>
      <c r="O2432"/>
      <c r="P2432" s="36"/>
      <c r="Q2432" s="37"/>
      <c r="R2432"/>
      <c r="S2432"/>
      <c r="T2432"/>
      <c r="U2432"/>
      <c r="V2432" s="39"/>
      <c r="W2432"/>
      <c r="X2432"/>
      <c r="Y2432"/>
      <c r="Z2432"/>
      <c r="AA2432"/>
    </row>
    <row r="2433" spans="1:27" x14ac:dyDescent="0.25">
      <c r="A2433"/>
      <c r="B2433" s="36"/>
      <c r="C2433" s="36"/>
      <c r="D2433"/>
      <c r="E2433"/>
      <c r="F2433"/>
      <c r="G2433"/>
      <c r="H2433"/>
      <c r="I2433"/>
      <c r="J2433"/>
      <c r="K2433"/>
      <c r="L2433"/>
      <c r="M2433"/>
      <c r="N2433"/>
      <c r="O2433"/>
      <c r="P2433" s="36"/>
      <c r="Q2433" s="37"/>
      <c r="R2433"/>
      <c r="S2433"/>
      <c r="T2433"/>
      <c r="U2433"/>
      <c r="V2433" s="39"/>
      <c r="W2433"/>
      <c r="X2433"/>
      <c r="Y2433"/>
      <c r="Z2433"/>
      <c r="AA2433"/>
    </row>
    <row r="2434" spans="1:27" x14ac:dyDescent="0.25">
      <c r="A2434"/>
      <c r="B2434" s="36"/>
      <c r="C2434" s="36"/>
      <c r="D2434"/>
      <c r="E2434"/>
      <c r="F2434"/>
      <c r="G2434"/>
      <c r="H2434"/>
      <c r="I2434"/>
      <c r="J2434"/>
      <c r="K2434"/>
      <c r="L2434"/>
      <c r="M2434"/>
      <c r="N2434"/>
      <c r="O2434"/>
      <c r="P2434" s="36"/>
      <c r="Q2434" s="37"/>
      <c r="R2434"/>
      <c r="S2434"/>
      <c r="T2434"/>
      <c r="U2434"/>
      <c r="V2434" s="39"/>
      <c r="W2434"/>
      <c r="X2434"/>
      <c r="Y2434"/>
      <c r="Z2434"/>
      <c r="AA2434"/>
    </row>
    <row r="2435" spans="1:27" x14ac:dyDescent="0.25">
      <c r="A2435"/>
      <c r="B2435" s="36"/>
      <c r="C2435" s="36"/>
      <c r="D2435"/>
      <c r="E2435"/>
      <c r="F2435"/>
      <c r="G2435"/>
      <c r="H2435"/>
      <c r="I2435"/>
      <c r="J2435"/>
      <c r="K2435"/>
      <c r="L2435"/>
      <c r="M2435"/>
      <c r="N2435"/>
      <c r="O2435"/>
      <c r="P2435" s="36"/>
      <c r="Q2435" s="37"/>
      <c r="R2435"/>
      <c r="S2435"/>
      <c r="T2435"/>
      <c r="U2435"/>
      <c r="V2435" s="39"/>
      <c r="W2435"/>
      <c r="X2435"/>
      <c r="Y2435"/>
      <c r="Z2435"/>
      <c r="AA2435"/>
    </row>
    <row r="2436" spans="1:27" x14ac:dyDescent="0.25">
      <c r="A2436"/>
      <c r="B2436" s="36"/>
      <c r="C2436" s="36"/>
      <c r="D2436"/>
      <c r="E2436"/>
      <c r="F2436"/>
      <c r="G2436"/>
      <c r="H2436"/>
      <c r="I2436"/>
      <c r="J2436"/>
      <c r="K2436"/>
      <c r="L2436"/>
      <c r="M2436"/>
      <c r="N2436"/>
      <c r="O2436"/>
      <c r="P2436" s="36"/>
      <c r="Q2436" s="37"/>
      <c r="R2436"/>
      <c r="S2436"/>
      <c r="T2436"/>
      <c r="U2436"/>
      <c r="V2436" s="39"/>
      <c r="W2436"/>
      <c r="X2436"/>
      <c r="Y2436"/>
      <c r="Z2436"/>
      <c r="AA2436"/>
    </row>
    <row r="2437" spans="1:27" x14ac:dyDescent="0.25">
      <c r="A2437"/>
      <c r="B2437" s="36"/>
      <c r="C2437" s="36"/>
      <c r="D2437"/>
      <c r="E2437"/>
      <c r="F2437"/>
      <c r="G2437"/>
      <c r="H2437"/>
      <c r="I2437"/>
      <c r="J2437"/>
      <c r="K2437"/>
      <c r="L2437"/>
      <c r="M2437"/>
      <c r="N2437"/>
      <c r="O2437"/>
      <c r="P2437" s="36"/>
      <c r="Q2437" s="37"/>
      <c r="R2437"/>
      <c r="S2437"/>
      <c r="T2437"/>
      <c r="U2437"/>
      <c r="V2437" s="39"/>
      <c r="W2437"/>
      <c r="X2437"/>
      <c r="Y2437"/>
      <c r="Z2437"/>
      <c r="AA2437"/>
    </row>
    <row r="2438" spans="1:27" x14ac:dyDescent="0.25">
      <c r="A2438"/>
      <c r="B2438" s="36"/>
      <c r="C2438" s="36"/>
      <c r="D2438"/>
      <c r="E2438"/>
      <c r="F2438"/>
      <c r="G2438"/>
      <c r="H2438"/>
      <c r="I2438"/>
      <c r="J2438"/>
      <c r="K2438"/>
      <c r="L2438"/>
      <c r="M2438"/>
      <c r="N2438"/>
      <c r="O2438"/>
      <c r="P2438" s="36"/>
      <c r="Q2438" s="37"/>
      <c r="R2438"/>
      <c r="S2438"/>
      <c r="T2438"/>
      <c r="U2438"/>
      <c r="V2438" s="39"/>
      <c r="W2438"/>
      <c r="X2438"/>
      <c r="Y2438"/>
      <c r="Z2438"/>
      <c r="AA2438"/>
    </row>
    <row r="2439" spans="1:27" x14ac:dyDescent="0.25">
      <c r="A2439"/>
      <c r="B2439" s="36"/>
      <c r="C2439" s="36"/>
      <c r="D2439"/>
      <c r="E2439"/>
      <c r="F2439"/>
      <c r="G2439"/>
      <c r="H2439"/>
      <c r="I2439"/>
      <c r="J2439"/>
      <c r="K2439"/>
      <c r="L2439"/>
      <c r="M2439"/>
      <c r="N2439"/>
      <c r="O2439"/>
      <c r="P2439" s="36"/>
      <c r="Q2439" s="37"/>
      <c r="R2439"/>
      <c r="S2439"/>
      <c r="T2439"/>
      <c r="U2439"/>
      <c r="V2439" s="39"/>
      <c r="W2439"/>
      <c r="X2439"/>
      <c r="Y2439"/>
      <c r="Z2439"/>
      <c r="AA2439"/>
    </row>
    <row r="2440" spans="1:27" x14ac:dyDescent="0.25">
      <c r="A2440"/>
      <c r="B2440" s="36"/>
      <c r="C2440" s="36"/>
      <c r="D2440"/>
      <c r="E2440"/>
      <c r="F2440"/>
      <c r="G2440"/>
      <c r="H2440"/>
      <c r="I2440"/>
      <c r="J2440"/>
      <c r="K2440"/>
      <c r="L2440"/>
      <c r="M2440"/>
      <c r="N2440"/>
      <c r="O2440"/>
      <c r="P2440" s="36"/>
      <c r="Q2440" s="37"/>
      <c r="R2440"/>
      <c r="S2440"/>
      <c r="T2440"/>
      <c r="U2440"/>
      <c r="V2440" s="39"/>
      <c r="W2440"/>
      <c r="X2440"/>
      <c r="Y2440"/>
      <c r="Z2440"/>
      <c r="AA2440"/>
    </row>
    <row r="2441" spans="1:27" x14ac:dyDescent="0.25">
      <c r="A2441"/>
      <c r="B2441" s="36"/>
      <c r="C2441" s="36"/>
      <c r="D2441"/>
      <c r="E2441"/>
      <c r="F2441"/>
      <c r="G2441"/>
      <c r="H2441"/>
      <c r="I2441"/>
      <c r="J2441"/>
      <c r="K2441"/>
      <c r="L2441"/>
      <c r="M2441"/>
      <c r="N2441"/>
      <c r="O2441"/>
      <c r="P2441" s="36"/>
      <c r="Q2441" s="37"/>
      <c r="R2441"/>
      <c r="S2441"/>
      <c r="T2441"/>
      <c r="U2441"/>
      <c r="V2441" s="39"/>
      <c r="W2441"/>
      <c r="X2441"/>
      <c r="Y2441"/>
      <c r="Z2441"/>
      <c r="AA2441"/>
    </row>
    <row r="2442" spans="1:27" x14ac:dyDescent="0.25">
      <c r="A2442"/>
      <c r="B2442" s="36"/>
      <c r="C2442" s="36"/>
      <c r="D2442"/>
      <c r="E2442"/>
      <c r="F2442"/>
      <c r="G2442"/>
      <c r="H2442"/>
      <c r="I2442"/>
      <c r="J2442"/>
      <c r="K2442"/>
      <c r="L2442"/>
      <c r="M2442"/>
      <c r="N2442"/>
      <c r="O2442"/>
      <c r="P2442" s="36"/>
      <c r="Q2442" s="37"/>
      <c r="R2442"/>
      <c r="S2442"/>
      <c r="T2442"/>
      <c r="U2442"/>
      <c r="V2442" s="39"/>
      <c r="W2442"/>
      <c r="X2442"/>
      <c r="Y2442"/>
      <c r="Z2442"/>
      <c r="AA2442"/>
    </row>
    <row r="2443" spans="1:27" x14ac:dyDescent="0.25">
      <c r="A2443"/>
      <c r="B2443" s="36"/>
      <c r="C2443" s="36"/>
      <c r="D2443"/>
      <c r="E2443"/>
      <c r="F2443"/>
      <c r="G2443"/>
      <c r="H2443"/>
      <c r="I2443"/>
      <c r="J2443"/>
      <c r="K2443"/>
      <c r="L2443"/>
      <c r="M2443"/>
      <c r="N2443"/>
      <c r="O2443"/>
      <c r="P2443" s="36"/>
      <c r="Q2443" s="37"/>
      <c r="R2443"/>
      <c r="S2443"/>
      <c r="T2443"/>
      <c r="U2443"/>
      <c r="V2443" s="39"/>
      <c r="W2443"/>
      <c r="X2443"/>
      <c r="Y2443"/>
      <c r="Z2443"/>
      <c r="AA2443"/>
    </row>
    <row r="2444" spans="1:27" x14ac:dyDescent="0.25">
      <c r="A2444"/>
      <c r="B2444" s="36"/>
      <c r="C2444" s="36"/>
      <c r="D2444"/>
      <c r="E2444"/>
      <c r="F2444"/>
      <c r="G2444"/>
      <c r="H2444"/>
      <c r="I2444"/>
      <c r="J2444"/>
      <c r="K2444"/>
      <c r="L2444"/>
      <c r="M2444"/>
      <c r="N2444"/>
      <c r="O2444"/>
      <c r="P2444" s="36"/>
      <c r="Q2444" s="37"/>
      <c r="R2444"/>
      <c r="S2444"/>
      <c r="T2444"/>
      <c r="U2444"/>
      <c r="V2444" s="39"/>
      <c r="W2444"/>
      <c r="X2444"/>
      <c r="Y2444"/>
      <c r="Z2444"/>
      <c r="AA2444"/>
    </row>
    <row r="2445" spans="1:27" x14ac:dyDescent="0.25">
      <c r="A2445"/>
      <c r="B2445" s="36"/>
      <c r="C2445" s="36"/>
      <c r="D2445"/>
      <c r="E2445"/>
      <c r="F2445"/>
      <c r="G2445"/>
      <c r="H2445"/>
      <c r="I2445"/>
      <c r="J2445"/>
      <c r="K2445"/>
      <c r="L2445"/>
      <c r="M2445"/>
      <c r="N2445"/>
      <c r="O2445"/>
      <c r="P2445" s="36"/>
      <c r="Q2445" s="37"/>
      <c r="R2445"/>
      <c r="S2445"/>
      <c r="T2445"/>
      <c r="U2445"/>
      <c r="V2445" s="39"/>
      <c r="W2445"/>
      <c r="X2445"/>
      <c r="Y2445"/>
      <c r="Z2445"/>
      <c r="AA2445"/>
    </row>
    <row r="2446" spans="1:27" x14ac:dyDescent="0.25">
      <c r="A2446"/>
      <c r="B2446" s="36"/>
      <c r="C2446" s="36"/>
      <c r="D2446"/>
      <c r="E2446"/>
      <c r="F2446"/>
      <c r="G2446"/>
      <c r="H2446"/>
      <c r="I2446"/>
      <c r="J2446"/>
      <c r="K2446"/>
      <c r="L2446"/>
      <c r="M2446"/>
      <c r="N2446"/>
      <c r="O2446"/>
      <c r="P2446" s="36"/>
      <c r="Q2446" s="37"/>
      <c r="R2446"/>
      <c r="S2446"/>
      <c r="T2446"/>
      <c r="U2446"/>
      <c r="V2446" s="39"/>
      <c r="W2446"/>
      <c r="X2446"/>
      <c r="Y2446"/>
      <c r="Z2446"/>
      <c r="AA2446"/>
    </row>
    <row r="2447" spans="1:27" x14ac:dyDescent="0.25">
      <c r="A2447"/>
      <c r="B2447" s="36"/>
      <c r="C2447" s="36"/>
      <c r="D2447"/>
      <c r="E2447"/>
      <c r="F2447"/>
      <c r="G2447"/>
      <c r="H2447"/>
      <c r="I2447"/>
      <c r="J2447"/>
      <c r="K2447"/>
      <c r="L2447"/>
      <c r="M2447"/>
      <c r="N2447"/>
      <c r="O2447"/>
      <c r="P2447" s="36"/>
      <c r="Q2447" s="37"/>
      <c r="R2447"/>
      <c r="S2447"/>
      <c r="T2447"/>
      <c r="U2447"/>
      <c r="V2447" s="39"/>
      <c r="W2447"/>
      <c r="X2447"/>
      <c r="Y2447"/>
      <c r="Z2447"/>
      <c r="AA2447"/>
    </row>
    <row r="2448" spans="1:27" x14ac:dyDescent="0.25">
      <c r="A2448"/>
      <c r="B2448" s="36"/>
      <c r="C2448" s="36"/>
      <c r="D2448"/>
      <c r="E2448"/>
      <c r="F2448"/>
      <c r="G2448"/>
      <c r="H2448"/>
      <c r="I2448"/>
      <c r="J2448"/>
      <c r="K2448"/>
      <c r="L2448"/>
      <c r="M2448"/>
      <c r="N2448"/>
      <c r="O2448"/>
      <c r="P2448" s="36"/>
      <c r="Q2448" s="37"/>
      <c r="R2448"/>
      <c r="S2448"/>
      <c r="T2448"/>
      <c r="U2448"/>
      <c r="V2448" s="39"/>
      <c r="W2448"/>
      <c r="X2448"/>
      <c r="Y2448"/>
      <c r="Z2448"/>
      <c r="AA2448"/>
    </row>
    <row r="2449" spans="1:27" x14ac:dyDescent="0.25">
      <c r="A2449"/>
      <c r="B2449" s="36"/>
      <c r="C2449" s="36"/>
      <c r="D2449"/>
      <c r="E2449"/>
      <c r="F2449"/>
      <c r="G2449"/>
      <c r="H2449"/>
      <c r="I2449"/>
      <c r="J2449"/>
      <c r="K2449"/>
      <c r="L2449"/>
      <c r="M2449"/>
      <c r="N2449"/>
      <c r="O2449"/>
      <c r="P2449" s="36"/>
      <c r="Q2449" s="37"/>
      <c r="R2449"/>
      <c r="S2449"/>
      <c r="T2449"/>
      <c r="U2449"/>
      <c r="V2449" s="39"/>
      <c r="W2449"/>
      <c r="X2449"/>
      <c r="Y2449"/>
      <c r="Z2449"/>
      <c r="AA2449"/>
    </row>
    <row r="2450" spans="1:27" x14ac:dyDescent="0.25">
      <c r="A2450"/>
      <c r="B2450" s="36"/>
      <c r="C2450" s="36"/>
      <c r="D2450"/>
      <c r="E2450"/>
      <c r="F2450"/>
      <c r="G2450"/>
      <c r="H2450"/>
      <c r="I2450"/>
      <c r="J2450"/>
      <c r="K2450"/>
      <c r="L2450"/>
      <c r="M2450"/>
      <c r="N2450"/>
      <c r="O2450"/>
      <c r="P2450" s="36"/>
      <c r="Q2450" s="37"/>
      <c r="R2450"/>
      <c r="S2450"/>
      <c r="T2450"/>
      <c r="U2450"/>
      <c r="V2450" s="39"/>
      <c r="W2450"/>
      <c r="X2450"/>
      <c r="Y2450"/>
      <c r="Z2450"/>
      <c r="AA2450"/>
    </row>
    <row r="2451" spans="1:27" x14ac:dyDescent="0.25">
      <c r="A2451"/>
      <c r="B2451" s="36"/>
      <c r="C2451" s="36"/>
      <c r="D2451"/>
      <c r="E2451"/>
      <c r="F2451"/>
      <c r="G2451"/>
      <c r="H2451"/>
      <c r="I2451"/>
      <c r="J2451"/>
      <c r="K2451"/>
      <c r="L2451"/>
      <c r="M2451"/>
      <c r="N2451"/>
      <c r="O2451"/>
      <c r="P2451" s="36"/>
      <c r="Q2451" s="37"/>
      <c r="R2451"/>
      <c r="S2451"/>
      <c r="T2451"/>
      <c r="U2451"/>
      <c r="V2451" s="39"/>
      <c r="W2451"/>
      <c r="X2451"/>
      <c r="Y2451"/>
      <c r="Z2451"/>
      <c r="AA2451"/>
    </row>
    <row r="2452" spans="1:27" x14ac:dyDescent="0.25">
      <c r="A2452"/>
      <c r="B2452" s="36"/>
      <c r="C2452" s="36"/>
      <c r="D2452"/>
      <c r="E2452"/>
      <c r="F2452"/>
      <c r="G2452"/>
      <c r="H2452"/>
      <c r="I2452"/>
      <c r="J2452"/>
      <c r="K2452"/>
      <c r="L2452"/>
      <c r="M2452"/>
      <c r="N2452"/>
      <c r="O2452"/>
      <c r="P2452" s="36"/>
      <c r="Q2452" s="37"/>
      <c r="R2452"/>
      <c r="S2452"/>
      <c r="T2452"/>
      <c r="U2452"/>
      <c r="V2452" s="39"/>
      <c r="W2452"/>
      <c r="X2452"/>
      <c r="Y2452"/>
      <c r="Z2452"/>
      <c r="AA2452"/>
    </row>
    <row r="2453" spans="1:27" x14ac:dyDescent="0.25">
      <c r="A2453"/>
      <c r="B2453" s="36"/>
      <c r="C2453" s="36"/>
      <c r="D2453"/>
      <c r="E2453"/>
      <c r="F2453"/>
      <c r="G2453"/>
      <c r="H2453"/>
      <c r="I2453"/>
      <c r="J2453"/>
      <c r="K2453"/>
      <c r="L2453"/>
      <c r="M2453"/>
      <c r="N2453"/>
      <c r="O2453"/>
      <c r="P2453" s="36"/>
      <c r="Q2453" s="37"/>
      <c r="R2453"/>
      <c r="S2453"/>
      <c r="T2453"/>
      <c r="U2453"/>
      <c r="V2453" s="39"/>
      <c r="W2453"/>
      <c r="X2453"/>
      <c r="Y2453"/>
      <c r="Z2453"/>
      <c r="AA2453"/>
    </row>
    <row r="2454" spans="1:27" x14ac:dyDescent="0.25">
      <c r="A2454"/>
      <c r="B2454" s="36"/>
      <c r="C2454" s="36"/>
      <c r="D2454"/>
      <c r="E2454"/>
      <c r="F2454"/>
      <c r="G2454"/>
      <c r="H2454"/>
      <c r="I2454"/>
      <c r="J2454"/>
      <c r="K2454"/>
      <c r="L2454"/>
      <c r="M2454"/>
      <c r="N2454"/>
      <c r="O2454"/>
      <c r="P2454" s="36"/>
      <c r="Q2454" s="37"/>
      <c r="R2454"/>
      <c r="S2454"/>
      <c r="T2454"/>
      <c r="U2454"/>
      <c r="V2454" s="39"/>
      <c r="W2454"/>
      <c r="X2454"/>
      <c r="Y2454"/>
      <c r="Z2454"/>
      <c r="AA2454"/>
    </row>
    <row r="2455" spans="1:27" x14ac:dyDescent="0.25">
      <c r="A2455"/>
      <c r="B2455" s="36"/>
      <c r="C2455" s="36"/>
      <c r="D2455"/>
      <c r="E2455"/>
      <c r="F2455"/>
      <c r="G2455"/>
      <c r="H2455"/>
      <c r="I2455"/>
      <c r="J2455"/>
      <c r="K2455"/>
      <c r="L2455"/>
      <c r="M2455"/>
      <c r="N2455"/>
      <c r="O2455"/>
      <c r="P2455" s="36"/>
      <c r="Q2455" s="37"/>
      <c r="R2455"/>
      <c r="S2455"/>
      <c r="T2455"/>
      <c r="U2455"/>
      <c r="V2455" s="39"/>
      <c r="W2455"/>
      <c r="X2455"/>
      <c r="Y2455"/>
      <c r="Z2455"/>
      <c r="AA2455"/>
    </row>
    <row r="2456" spans="1:27" x14ac:dyDescent="0.25">
      <c r="A2456"/>
      <c r="B2456" s="36"/>
      <c r="C2456" s="36"/>
      <c r="D2456"/>
      <c r="E2456"/>
      <c r="F2456"/>
      <c r="G2456"/>
      <c r="H2456"/>
      <c r="I2456"/>
      <c r="J2456"/>
      <c r="K2456"/>
      <c r="L2456"/>
      <c r="M2456"/>
      <c r="N2456"/>
      <c r="O2456"/>
      <c r="P2456" s="36"/>
      <c r="Q2456" s="37"/>
      <c r="R2456"/>
      <c r="S2456"/>
      <c r="T2456"/>
      <c r="U2456"/>
      <c r="V2456" s="39"/>
      <c r="W2456"/>
      <c r="X2456"/>
      <c r="Y2456"/>
      <c r="Z2456"/>
      <c r="AA2456"/>
    </row>
    <row r="2457" spans="1:27" x14ac:dyDescent="0.25">
      <c r="A2457"/>
      <c r="B2457" s="36"/>
      <c r="C2457" s="36"/>
      <c r="D2457"/>
      <c r="E2457"/>
      <c r="F2457"/>
      <c r="G2457"/>
      <c r="H2457"/>
      <c r="I2457"/>
      <c r="J2457"/>
      <c r="K2457"/>
      <c r="L2457"/>
      <c r="M2457"/>
      <c r="N2457"/>
      <c r="O2457"/>
      <c r="P2457" s="36"/>
      <c r="Q2457" s="37"/>
      <c r="R2457"/>
      <c r="S2457"/>
      <c r="T2457"/>
      <c r="U2457"/>
      <c r="V2457" s="39"/>
      <c r="W2457"/>
      <c r="X2457"/>
      <c r="Y2457"/>
      <c r="Z2457"/>
      <c r="AA2457"/>
    </row>
    <row r="2458" spans="1:27" x14ac:dyDescent="0.25">
      <c r="A2458"/>
      <c r="B2458" s="36"/>
      <c r="C2458" s="36"/>
      <c r="D2458"/>
      <c r="E2458"/>
      <c r="F2458"/>
      <c r="G2458"/>
      <c r="H2458"/>
      <c r="I2458"/>
      <c r="J2458"/>
      <c r="K2458"/>
      <c r="L2458"/>
      <c r="M2458"/>
      <c r="N2458"/>
      <c r="O2458"/>
      <c r="P2458" s="36"/>
      <c r="Q2458" s="37"/>
      <c r="R2458"/>
      <c r="S2458"/>
      <c r="T2458"/>
      <c r="U2458"/>
      <c r="V2458" s="39"/>
      <c r="W2458"/>
      <c r="X2458"/>
      <c r="Y2458"/>
      <c r="Z2458"/>
      <c r="AA2458"/>
    </row>
    <row r="2459" spans="1:27" x14ac:dyDescent="0.25">
      <c r="A2459"/>
      <c r="B2459" s="36"/>
      <c r="C2459" s="36"/>
      <c r="D2459"/>
      <c r="E2459"/>
      <c r="F2459"/>
      <c r="G2459"/>
      <c r="H2459"/>
      <c r="I2459"/>
      <c r="J2459"/>
      <c r="K2459"/>
      <c r="L2459"/>
      <c r="M2459"/>
      <c r="N2459"/>
      <c r="O2459"/>
      <c r="P2459" s="36"/>
      <c r="Q2459" s="37"/>
      <c r="R2459"/>
      <c r="S2459"/>
      <c r="T2459"/>
      <c r="U2459"/>
      <c r="V2459" s="39"/>
      <c r="W2459"/>
      <c r="X2459"/>
      <c r="Y2459"/>
      <c r="Z2459"/>
      <c r="AA2459"/>
    </row>
    <row r="2460" spans="1:27" x14ac:dyDescent="0.25">
      <c r="A2460"/>
      <c r="B2460" s="36"/>
      <c r="C2460" s="36"/>
      <c r="D2460"/>
      <c r="E2460"/>
      <c r="F2460"/>
      <c r="G2460"/>
      <c r="H2460"/>
      <c r="I2460"/>
      <c r="J2460"/>
      <c r="K2460"/>
      <c r="L2460"/>
      <c r="M2460"/>
      <c r="N2460"/>
      <c r="O2460"/>
      <c r="P2460" s="36"/>
      <c r="Q2460" s="37"/>
      <c r="R2460"/>
      <c r="S2460"/>
      <c r="T2460"/>
      <c r="U2460"/>
      <c r="V2460" s="39"/>
      <c r="W2460"/>
      <c r="X2460"/>
      <c r="Y2460"/>
      <c r="Z2460"/>
      <c r="AA2460"/>
    </row>
    <row r="2461" spans="1:27" x14ac:dyDescent="0.25">
      <c r="A2461"/>
      <c r="B2461" s="36"/>
      <c r="C2461" s="36"/>
      <c r="D2461"/>
      <c r="E2461"/>
      <c r="F2461"/>
      <c r="G2461"/>
      <c r="H2461"/>
      <c r="I2461"/>
      <c r="J2461"/>
      <c r="K2461"/>
      <c r="L2461"/>
      <c r="M2461"/>
      <c r="N2461"/>
      <c r="O2461"/>
      <c r="P2461" s="36"/>
      <c r="Q2461" s="37"/>
      <c r="R2461"/>
      <c r="S2461"/>
      <c r="T2461"/>
      <c r="U2461"/>
      <c r="V2461" s="39"/>
      <c r="W2461"/>
      <c r="X2461"/>
      <c r="Y2461"/>
      <c r="Z2461"/>
      <c r="AA2461"/>
    </row>
    <row r="2462" spans="1:27" x14ac:dyDescent="0.25">
      <c r="A2462"/>
      <c r="B2462" s="36"/>
      <c r="C2462" s="36"/>
      <c r="D2462"/>
      <c r="E2462"/>
      <c r="F2462"/>
      <c r="G2462"/>
      <c r="H2462"/>
      <c r="I2462"/>
      <c r="J2462"/>
      <c r="K2462"/>
      <c r="L2462"/>
      <c r="M2462"/>
      <c r="N2462"/>
      <c r="O2462"/>
      <c r="P2462" s="36"/>
      <c r="Q2462" s="37"/>
      <c r="R2462"/>
      <c r="S2462"/>
      <c r="T2462"/>
      <c r="U2462"/>
      <c r="V2462" s="39"/>
      <c r="W2462"/>
      <c r="X2462"/>
      <c r="Y2462"/>
      <c r="Z2462"/>
      <c r="AA2462"/>
    </row>
    <row r="2463" spans="1:27" x14ac:dyDescent="0.25">
      <c r="A2463"/>
      <c r="B2463" s="36"/>
      <c r="C2463" s="36"/>
      <c r="D2463"/>
      <c r="E2463"/>
      <c r="F2463"/>
      <c r="G2463"/>
      <c r="H2463"/>
      <c r="I2463"/>
      <c r="J2463"/>
      <c r="K2463"/>
      <c r="L2463"/>
      <c r="M2463"/>
      <c r="N2463"/>
      <c r="O2463"/>
      <c r="P2463" s="36"/>
      <c r="Q2463" s="37"/>
      <c r="R2463"/>
      <c r="S2463"/>
      <c r="T2463"/>
      <c r="U2463"/>
      <c r="V2463" s="39"/>
      <c r="W2463"/>
      <c r="X2463"/>
      <c r="Y2463"/>
      <c r="Z2463"/>
      <c r="AA2463"/>
    </row>
    <row r="2464" spans="1:27" x14ac:dyDescent="0.25">
      <c r="A2464"/>
      <c r="B2464" s="36"/>
      <c r="C2464" s="36"/>
      <c r="D2464"/>
      <c r="E2464"/>
      <c r="F2464"/>
      <c r="G2464"/>
      <c r="H2464"/>
      <c r="I2464"/>
      <c r="J2464"/>
      <c r="K2464"/>
      <c r="L2464"/>
      <c r="M2464"/>
      <c r="N2464"/>
      <c r="O2464"/>
      <c r="P2464" s="36"/>
      <c r="Q2464" s="37"/>
      <c r="R2464"/>
      <c r="S2464"/>
      <c r="T2464"/>
      <c r="U2464"/>
      <c r="V2464" s="39"/>
      <c r="W2464"/>
      <c r="X2464"/>
      <c r="Y2464"/>
      <c r="Z2464"/>
      <c r="AA2464"/>
    </row>
    <row r="2465" spans="1:27" x14ac:dyDescent="0.25">
      <c r="A2465"/>
      <c r="B2465" s="36"/>
      <c r="C2465" s="36"/>
      <c r="D2465"/>
      <c r="E2465"/>
      <c r="F2465"/>
      <c r="G2465"/>
      <c r="H2465"/>
      <c r="I2465"/>
      <c r="J2465"/>
      <c r="K2465"/>
      <c r="L2465"/>
      <c r="M2465"/>
      <c r="N2465"/>
      <c r="O2465"/>
      <c r="P2465" s="36"/>
      <c r="Q2465" s="37"/>
      <c r="R2465"/>
      <c r="S2465"/>
      <c r="T2465"/>
      <c r="U2465"/>
      <c r="V2465" s="39"/>
      <c r="W2465"/>
      <c r="X2465"/>
      <c r="Y2465"/>
      <c r="Z2465"/>
      <c r="AA2465"/>
    </row>
    <row r="2466" spans="1:27" x14ac:dyDescent="0.25">
      <c r="A2466"/>
      <c r="B2466" s="36"/>
      <c r="C2466" s="36"/>
      <c r="D2466"/>
      <c r="E2466"/>
      <c r="F2466"/>
      <c r="G2466"/>
      <c r="H2466"/>
      <c r="I2466"/>
      <c r="J2466"/>
      <c r="K2466"/>
      <c r="L2466"/>
      <c r="M2466"/>
      <c r="N2466"/>
      <c r="O2466"/>
      <c r="P2466" s="36"/>
      <c r="Q2466" s="37"/>
      <c r="R2466"/>
      <c r="S2466"/>
      <c r="T2466"/>
      <c r="U2466"/>
      <c r="V2466" s="39"/>
      <c r="W2466"/>
      <c r="X2466"/>
      <c r="Y2466"/>
      <c r="Z2466"/>
      <c r="AA2466"/>
    </row>
    <row r="2467" spans="1:27" x14ac:dyDescent="0.25">
      <c r="A2467"/>
      <c r="B2467" s="36"/>
      <c r="C2467" s="36"/>
      <c r="D2467"/>
      <c r="E2467"/>
      <c r="F2467"/>
      <c r="G2467"/>
      <c r="H2467"/>
      <c r="I2467"/>
      <c r="J2467"/>
      <c r="K2467"/>
      <c r="L2467"/>
      <c r="M2467"/>
      <c r="N2467"/>
      <c r="O2467"/>
      <c r="P2467" s="36"/>
      <c r="Q2467" s="37"/>
      <c r="R2467"/>
      <c r="S2467"/>
      <c r="T2467"/>
      <c r="U2467"/>
      <c r="V2467" s="39"/>
      <c r="W2467"/>
      <c r="X2467"/>
      <c r="Y2467"/>
      <c r="Z2467"/>
      <c r="AA2467"/>
    </row>
    <row r="2468" spans="1:27" x14ac:dyDescent="0.25">
      <c r="A2468"/>
      <c r="B2468" s="36"/>
      <c r="C2468" s="36"/>
      <c r="D2468"/>
      <c r="E2468"/>
      <c r="F2468"/>
      <c r="G2468"/>
      <c r="H2468"/>
      <c r="I2468"/>
      <c r="J2468"/>
      <c r="K2468"/>
      <c r="L2468"/>
      <c r="M2468"/>
      <c r="N2468"/>
      <c r="O2468"/>
      <c r="P2468" s="36"/>
      <c r="Q2468" s="37"/>
      <c r="R2468"/>
      <c r="S2468"/>
      <c r="T2468"/>
      <c r="U2468"/>
      <c r="V2468" s="39"/>
      <c r="W2468"/>
      <c r="X2468"/>
      <c r="Y2468"/>
      <c r="Z2468"/>
      <c r="AA2468"/>
    </row>
    <row r="2469" spans="1:27" x14ac:dyDescent="0.25">
      <c r="A2469"/>
      <c r="B2469" s="36"/>
      <c r="C2469" s="36"/>
      <c r="D2469"/>
      <c r="E2469"/>
      <c r="F2469"/>
      <c r="G2469"/>
      <c r="H2469"/>
      <c r="I2469"/>
      <c r="J2469"/>
      <c r="K2469"/>
      <c r="L2469"/>
      <c r="M2469"/>
      <c r="N2469"/>
      <c r="O2469"/>
      <c r="P2469" s="36"/>
      <c r="Q2469" s="37"/>
      <c r="R2469"/>
      <c r="S2469"/>
      <c r="T2469"/>
      <c r="U2469"/>
      <c r="V2469" s="39"/>
      <c r="W2469"/>
      <c r="X2469"/>
      <c r="Y2469"/>
      <c r="Z2469"/>
      <c r="AA2469"/>
    </row>
    <row r="2470" spans="1:27" x14ac:dyDescent="0.25">
      <c r="A2470"/>
      <c r="B2470" s="36"/>
      <c r="C2470" s="36"/>
      <c r="D2470"/>
      <c r="E2470"/>
      <c r="F2470"/>
      <c r="G2470"/>
      <c r="H2470"/>
      <c r="I2470"/>
      <c r="J2470"/>
      <c r="K2470"/>
      <c r="L2470"/>
      <c r="M2470"/>
      <c r="N2470"/>
      <c r="O2470"/>
      <c r="P2470" s="36"/>
      <c r="Q2470" s="37"/>
      <c r="R2470"/>
      <c r="S2470"/>
      <c r="T2470"/>
      <c r="U2470"/>
      <c r="V2470" s="39"/>
      <c r="W2470"/>
      <c r="X2470"/>
      <c r="Y2470"/>
      <c r="Z2470"/>
      <c r="AA2470"/>
    </row>
    <row r="2471" spans="1:27" x14ac:dyDescent="0.25">
      <c r="A2471"/>
      <c r="B2471" s="36"/>
      <c r="C2471" s="36"/>
      <c r="D2471"/>
      <c r="E2471"/>
      <c r="F2471"/>
      <c r="G2471"/>
      <c r="H2471"/>
      <c r="I2471"/>
      <c r="J2471"/>
      <c r="K2471"/>
      <c r="L2471"/>
      <c r="M2471"/>
      <c r="N2471"/>
      <c r="O2471"/>
      <c r="P2471" s="36"/>
      <c r="Q2471" s="37"/>
      <c r="R2471"/>
      <c r="S2471"/>
      <c r="T2471"/>
      <c r="U2471"/>
      <c r="V2471" s="39"/>
      <c r="W2471"/>
      <c r="X2471"/>
      <c r="Y2471"/>
      <c r="Z2471"/>
      <c r="AA2471"/>
    </row>
    <row r="2472" spans="1:27" x14ac:dyDescent="0.25">
      <c r="A2472"/>
      <c r="B2472" s="36"/>
      <c r="C2472" s="36"/>
      <c r="D2472"/>
      <c r="E2472"/>
      <c r="F2472"/>
      <c r="G2472"/>
      <c r="H2472"/>
      <c r="I2472"/>
      <c r="J2472"/>
      <c r="K2472"/>
      <c r="L2472"/>
      <c r="M2472"/>
      <c r="N2472"/>
      <c r="O2472"/>
      <c r="P2472" s="36"/>
      <c r="Q2472" s="37"/>
      <c r="R2472"/>
      <c r="S2472"/>
      <c r="T2472"/>
      <c r="U2472"/>
      <c r="V2472" s="39"/>
      <c r="W2472"/>
      <c r="X2472"/>
      <c r="Y2472"/>
      <c r="Z2472"/>
      <c r="AA2472"/>
    </row>
    <row r="2473" spans="1:27" x14ac:dyDescent="0.25">
      <c r="A2473"/>
      <c r="B2473" s="36"/>
      <c r="C2473" s="36"/>
      <c r="D2473"/>
      <c r="E2473"/>
      <c r="F2473"/>
      <c r="G2473"/>
      <c r="H2473"/>
      <c r="I2473"/>
      <c r="J2473"/>
      <c r="K2473"/>
      <c r="L2473"/>
      <c r="M2473"/>
      <c r="N2473"/>
      <c r="O2473"/>
      <c r="P2473" s="36"/>
      <c r="Q2473" s="37"/>
      <c r="R2473"/>
      <c r="S2473"/>
      <c r="T2473"/>
      <c r="U2473"/>
      <c r="V2473" s="39"/>
      <c r="W2473"/>
      <c r="X2473"/>
      <c r="Y2473"/>
      <c r="Z2473"/>
      <c r="AA2473"/>
    </row>
    <row r="2474" spans="1:27" x14ac:dyDescent="0.25">
      <c r="A2474"/>
      <c r="B2474" s="36"/>
      <c r="C2474" s="36"/>
      <c r="D2474"/>
      <c r="E2474"/>
      <c r="F2474"/>
      <c r="G2474"/>
      <c r="H2474"/>
      <c r="I2474"/>
      <c r="J2474"/>
      <c r="K2474"/>
      <c r="L2474"/>
      <c r="M2474"/>
      <c r="N2474"/>
      <c r="O2474"/>
      <c r="P2474" s="36"/>
      <c r="Q2474" s="37"/>
      <c r="R2474" s="44"/>
      <c r="S2474"/>
      <c r="T2474"/>
      <c r="U2474"/>
      <c r="V2474" s="39"/>
      <c r="W2474"/>
      <c r="X2474"/>
      <c r="Y2474"/>
      <c r="Z2474"/>
      <c r="AA2474"/>
    </row>
    <row r="2475" spans="1:27" x14ac:dyDescent="0.25">
      <c r="A2475"/>
      <c r="B2475" s="36"/>
      <c r="C2475" s="36"/>
      <c r="D2475"/>
      <c r="E2475"/>
      <c r="F2475"/>
      <c r="G2475"/>
      <c r="H2475"/>
      <c r="I2475"/>
      <c r="J2475"/>
      <c r="K2475"/>
      <c r="L2475"/>
      <c r="M2475"/>
      <c r="N2475"/>
      <c r="O2475"/>
      <c r="P2475" s="36"/>
      <c r="Q2475" s="37"/>
      <c r="R2475"/>
      <c r="S2475"/>
      <c r="T2475"/>
      <c r="U2475"/>
      <c r="V2475" s="39"/>
      <c r="W2475"/>
      <c r="X2475"/>
      <c r="Y2475"/>
      <c r="Z2475"/>
      <c r="AA2475"/>
    </row>
    <row r="2476" spans="1:27" x14ac:dyDescent="0.25">
      <c r="A2476"/>
      <c r="B2476" s="36"/>
      <c r="C2476" s="36"/>
      <c r="D2476"/>
      <c r="E2476"/>
      <c r="F2476"/>
      <c r="G2476"/>
      <c r="H2476"/>
      <c r="I2476"/>
      <c r="J2476"/>
      <c r="K2476"/>
      <c r="L2476"/>
      <c r="M2476"/>
      <c r="N2476"/>
      <c r="O2476"/>
      <c r="P2476" s="36"/>
      <c r="Q2476" s="37"/>
      <c r="R2476"/>
      <c r="S2476"/>
      <c r="T2476"/>
      <c r="U2476"/>
      <c r="V2476" s="39"/>
      <c r="W2476"/>
      <c r="X2476"/>
      <c r="Y2476"/>
      <c r="Z2476"/>
      <c r="AA2476"/>
    </row>
    <row r="2477" spans="1:27" x14ac:dyDescent="0.25">
      <c r="A2477"/>
      <c r="B2477" s="36"/>
      <c r="C2477" s="36"/>
      <c r="D2477"/>
      <c r="E2477"/>
      <c r="F2477"/>
      <c r="G2477"/>
      <c r="H2477"/>
      <c r="I2477"/>
      <c r="J2477"/>
      <c r="K2477"/>
      <c r="L2477"/>
      <c r="M2477"/>
      <c r="N2477"/>
      <c r="O2477"/>
      <c r="P2477" s="36"/>
      <c r="Q2477" s="37"/>
      <c r="R2477"/>
      <c r="S2477"/>
      <c r="T2477"/>
      <c r="U2477"/>
      <c r="V2477" s="39"/>
      <c r="W2477"/>
      <c r="X2477"/>
      <c r="Y2477"/>
      <c r="Z2477"/>
      <c r="AA2477"/>
    </row>
    <row r="2478" spans="1:27" x14ac:dyDescent="0.25">
      <c r="A2478"/>
      <c r="B2478" s="36"/>
      <c r="C2478" s="36"/>
      <c r="D2478"/>
      <c r="E2478"/>
      <c r="F2478"/>
      <c r="G2478"/>
      <c r="H2478"/>
      <c r="I2478"/>
      <c r="J2478"/>
      <c r="K2478"/>
      <c r="L2478"/>
      <c r="M2478"/>
      <c r="N2478"/>
      <c r="O2478"/>
      <c r="P2478" s="36"/>
      <c r="Q2478" s="37"/>
      <c r="R2478"/>
      <c r="S2478"/>
      <c r="T2478"/>
      <c r="U2478"/>
      <c r="V2478" s="39"/>
      <c r="W2478"/>
      <c r="X2478"/>
      <c r="Y2478"/>
      <c r="Z2478"/>
      <c r="AA2478"/>
    </row>
    <row r="2479" spans="1:27" x14ac:dyDescent="0.25">
      <c r="A2479"/>
      <c r="B2479" s="36"/>
      <c r="C2479" s="36"/>
      <c r="D2479"/>
      <c r="E2479"/>
      <c r="F2479"/>
      <c r="G2479"/>
      <c r="H2479"/>
      <c r="I2479"/>
      <c r="J2479"/>
      <c r="K2479"/>
      <c r="L2479"/>
      <c r="M2479"/>
      <c r="N2479"/>
      <c r="O2479"/>
      <c r="P2479" s="36"/>
      <c r="Q2479" s="37"/>
      <c r="R2479"/>
      <c r="S2479"/>
      <c r="T2479"/>
      <c r="U2479"/>
      <c r="V2479" s="39"/>
      <c r="W2479"/>
      <c r="X2479"/>
      <c r="Y2479"/>
      <c r="Z2479"/>
      <c r="AA2479"/>
    </row>
    <row r="2480" spans="1:27" x14ac:dyDescent="0.25">
      <c r="A2480"/>
      <c r="B2480" s="36"/>
      <c r="C2480" s="36"/>
      <c r="D2480"/>
      <c r="E2480"/>
      <c r="F2480"/>
      <c r="G2480"/>
      <c r="H2480"/>
      <c r="I2480"/>
      <c r="J2480"/>
      <c r="K2480"/>
      <c r="L2480"/>
      <c r="M2480"/>
      <c r="N2480"/>
      <c r="O2480"/>
      <c r="P2480" s="36"/>
      <c r="Q2480" s="37"/>
      <c r="R2480"/>
      <c r="S2480"/>
      <c r="T2480"/>
      <c r="U2480"/>
      <c r="V2480" s="39"/>
      <c r="W2480"/>
      <c r="X2480"/>
      <c r="Y2480"/>
      <c r="Z2480"/>
      <c r="AA2480"/>
    </row>
    <row r="2481" spans="1:27" x14ac:dyDescent="0.25">
      <c r="A2481"/>
      <c r="B2481" s="36"/>
      <c r="C2481" s="36"/>
      <c r="D2481"/>
      <c r="E2481"/>
      <c r="F2481"/>
      <c r="G2481"/>
      <c r="H2481"/>
      <c r="I2481"/>
      <c r="J2481"/>
      <c r="K2481"/>
      <c r="L2481"/>
      <c r="M2481"/>
      <c r="N2481"/>
      <c r="O2481"/>
      <c r="P2481" s="36"/>
      <c r="Q2481" s="37"/>
      <c r="R2481"/>
      <c r="S2481"/>
      <c r="T2481"/>
      <c r="U2481"/>
      <c r="V2481" s="39"/>
      <c r="W2481"/>
      <c r="X2481"/>
      <c r="Y2481"/>
      <c r="Z2481"/>
      <c r="AA2481"/>
    </row>
    <row r="2482" spans="1:27" x14ac:dyDescent="0.25">
      <c r="A2482"/>
      <c r="B2482" s="36"/>
      <c r="C2482" s="36"/>
      <c r="D2482"/>
      <c r="E2482"/>
      <c r="F2482"/>
      <c r="G2482"/>
      <c r="H2482"/>
      <c r="I2482"/>
      <c r="J2482"/>
      <c r="K2482"/>
      <c r="L2482"/>
      <c r="M2482"/>
      <c r="N2482"/>
      <c r="O2482"/>
      <c r="P2482" s="36"/>
      <c r="Q2482" s="37"/>
      <c r="R2482"/>
      <c r="S2482"/>
      <c r="T2482"/>
      <c r="U2482"/>
      <c r="V2482" s="39"/>
      <c r="W2482"/>
      <c r="X2482"/>
      <c r="Y2482"/>
      <c r="Z2482"/>
      <c r="AA2482"/>
    </row>
    <row r="2483" spans="1:27" x14ac:dyDescent="0.25">
      <c r="A2483"/>
      <c r="B2483" s="36"/>
      <c r="C2483" s="36"/>
      <c r="D2483"/>
      <c r="E2483"/>
      <c r="F2483"/>
      <c r="G2483"/>
      <c r="H2483"/>
      <c r="I2483"/>
      <c r="J2483"/>
      <c r="K2483"/>
      <c r="L2483"/>
      <c r="M2483"/>
      <c r="N2483"/>
      <c r="O2483"/>
      <c r="P2483" s="36"/>
      <c r="Q2483" s="37"/>
      <c r="R2483"/>
      <c r="S2483"/>
      <c r="T2483"/>
      <c r="U2483"/>
      <c r="V2483" s="39"/>
      <c r="W2483"/>
      <c r="X2483"/>
      <c r="Y2483"/>
      <c r="Z2483"/>
      <c r="AA2483"/>
    </row>
    <row r="2484" spans="1:27" x14ac:dyDescent="0.25">
      <c r="A2484"/>
      <c r="B2484" s="36"/>
      <c r="C2484" s="36"/>
      <c r="D2484"/>
      <c r="E2484"/>
      <c r="F2484"/>
      <c r="G2484"/>
      <c r="H2484"/>
      <c r="I2484"/>
      <c r="J2484"/>
      <c r="K2484"/>
      <c r="L2484"/>
      <c r="M2484"/>
      <c r="N2484"/>
      <c r="O2484"/>
      <c r="P2484" s="36"/>
      <c r="Q2484" s="37"/>
      <c r="R2484"/>
      <c r="S2484"/>
      <c r="T2484"/>
      <c r="U2484"/>
      <c r="V2484" s="39"/>
      <c r="W2484"/>
      <c r="X2484"/>
      <c r="Y2484"/>
      <c r="Z2484"/>
      <c r="AA2484"/>
    </row>
    <row r="2485" spans="1:27" x14ac:dyDescent="0.25">
      <c r="A2485"/>
      <c r="B2485" s="36"/>
      <c r="C2485" s="36"/>
      <c r="D2485"/>
      <c r="E2485"/>
      <c r="F2485"/>
      <c r="G2485"/>
      <c r="H2485"/>
      <c r="I2485"/>
      <c r="J2485"/>
      <c r="K2485"/>
      <c r="L2485"/>
      <c r="M2485"/>
      <c r="N2485"/>
      <c r="O2485"/>
      <c r="P2485" s="36"/>
      <c r="Q2485" s="37"/>
      <c r="R2485"/>
      <c r="S2485"/>
      <c r="T2485"/>
      <c r="U2485"/>
      <c r="V2485" s="39"/>
      <c r="W2485"/>
      <c r="X2485"/>
      <c r="Y2485"/>
      <c r="Z2485"/>
      <c r="AA2485"/>
    </row>
    <row r="2486" spans="1:27" x14ac:dyDescent="0.25">
      <c r="A2486"/>
      <c r="B2486" s="36"/>
      <c r="C2486" s="36"/>
      <c r="D2486"/>
      <c r="E2486"/>
      <c r="F2486"/>
      <c r="G2486"/>
      <c r="H2486"/>
      <c r="I2486"/>
      <c r="J2486"/>
      <c r="K2486"/>
      <c r="L2486"/>
      <c r="M2486"/>
      <c r="N2486"/>
      <c r="O2486"/>
      <c r="P2486" s="36"/>
      <c r="Q2486" s="37"/>
      <c r="R2486"/>
      <c r="S2486"/>
      <c r="T2486"/>
      <c r="U2486"/>
      <c r="V2486" s="39"/>
      <c r="W2486"/>
      <c r="X2486"/>
      <c r="Y2486"/>
      <c r="Z2486"/>
      <c r="AA2486"/>
    </row>
    <row r="2487" spans="1:27" x14ac:dyDescent="0.25">
      <c r="A2487"/>
      <c r="B2487" s="36"/>
      <c r="C2487" s="36"/>
      <c r="D2487"/>
      <c r="E2487"/>
      <c r="F2487"/>
      <c r="G2487"/>
      <c r="H2487"/>
      <c r="I2487"/>
      <c r="J2487"/>
      <c r="K2487"/>
      <c r="L2487"/>
      <c r="M2487"/>
      <c r="N2487"/>
      <c r="O2487"/>
      <c r="P2487" s="36"/>
      <c r="Q2487" s="37"/>
      <c r="R2487"/>
      <c r="S2487"/>
      <c r="T2487"/>
      <c r="U2487"/>
      <c r="V2487" s="39"/>
      <c r="W2487"/>
      <c r="X2487"/>
      <c r="Y2487"/>
      <c r="Z2487"/>
      <c r="AA2487"/>
    </row>
    <row r="2488" spans="1:27" x14ac:dyDescent="0.25">
      <c r="A2488"/>
      <c r="B2488" s="36"/>
      <c r="C2488" s="36"/>
      <c r="D2488"/>
      <c r="E2488"/>
      <c r="F2488"/>
      <c r="G2488"/>
      <c r="H2488"/>
      <c r="I2488"/>
      <c r="J2488"/>
      <c r="K2488"/>
      <c r="L2488"/>
      <c r="M2488"/>
      <c r="N2488"/>
      <c r="O2488"/>
      <c r="P2488" s="36"/>
      <c r="Q2488" s="37"/>
      <c r="R2488"/>
      <c r="S2488"/>
      <c r="T2488"/>
      <c r="U2488"/>
      <c r="V2488" s="39"/>
      <c r="W2488"/>
      <c r="X2488"/>
      <c r="Y2488"/>
      <c r="Z2488"/>
      <c r="AA2488"/>
    </row>
    <row r="2489" spans="1:27" x14ac:dyDescent="0.25">
      <c r="A2489"/>
      <c r="B2489" s="36"/>
      <c r="C2489" s="36"/>
      <c r="D2489"/>
      <c r="E2489"/>
      <c r="F2489"/>
      <c r="G2489"/>
      <c r="H2489"/>
      <c r="I2489"/>
      <c r="J2489"/>
      <c r="K2489"/>
      <c r="L2489"/>
      <c r="M2489"/>
      <c r="N2489"/>
      <c r="O2489"/>
      <c r="P2489" s="36"/>
      <c r="Q2489" s="37"/>
      <c r="R2489"/>
      <c r="S2489"/>
      <c r="T2489"/>
      <c r="U2489"/>
      <c r="V2489" s="39"/>
      <c r="W2489"/>
      <c r="X2489"/>
      <c r="Y2489"/>
      <c r="Z2489"/>
      <c r="AA2489"/>
    </row>
    <row r="2490" spans="1:27" x14ac:dyDescent="0.25">
      <c r="A2490"/>
      <c r="B2490" s="36"/>
      <c r="C2490" s="36"/>
      <c r="D2490"/>
      <c r="E2490"/>
      <c r="F2490"/>
      <c r="G2490"/>
      <c r="H2490"/>
      <c r="I2490"/>
      <c r="J2490"/>
      <c r="K2490"/>
      <c r="L2490"/>
      <c r="M2490"/>
      <c r="N2490"/>
      <c r="O2490"/>
      <c r="P2490" s="36"/>
      <c r="Q2490" s="37"/>
      <c r="R2490"/>
      <c r="S2490"/>
      <c r="T2490"/>
      <c r="U2490"/>
      <c r="V2490" s="39"/>
      <c r="W2490"/>
      <c r="X2490"/>
      <c r="Y2490"/>
      <c r="Z2490"/>
      <c r="AA2490"/>
    </row>
    <row r="2491" spans="1:27" x14ac:dyDescent="0.25">
      <c r="A2491"/>
      <c r="B2491" s="36"/>
      <c r="C2491" s="36"/>
      <c r="D2491"/>
      <c r="E2491"/>
      <c r="F2491"/>
      <c r="G2491"/>
      <c r="H2491"/>
      <c r="I2491"/>
      <c r="J2491"/>
      <c r="K2491"/>
      <c r="L2491"/>
      <c r="M2491"/>
      <c r="N2491"/>
      <c r="O2491"/>
      <c r="P2491" s="36"/>
      <c r="Q2491" s="37"/>
      <c r="R2491"/>
      <c r="S2491"/>
      <c r="T2491"/>
      <c r="U2491"/>
      <c r="V2491" s="39"/>
      <c r="W2491"/>
      <c r="X2491"/>
      <c r="Y2491"/>
      <c r="Z2491"/>
      <c r="AA2491"/>
    </row>
    <row r="2492" spans="1:27" x14ac:dyDescent="0.25">
      <c r="A2492"/>
      <c r="B2492" s="36"/>
      <c r="C2492" s="36"/>
      <c r="D2492"/>
      <c r="E2492"/>
      <c r="F2492"/>
      <c r="G2492"/>
      <c r="H2492"/>
      <c r="I2492"/>
      <c r="J2492"/>
      <c r="K2492"/>
      <c r="L2492"/>
      <c r="M2492"/>
      <c r="N2492"/>
      <c r="O2492"/>
      <c r="P2492" s="36"/>
      <c r="Q2492" s="37"/>
      <c r="R2492"/>
      <c r="S2492"/>
      <c r="T2492"/>
      <c r="U2492"/>
      <c r="V2492" s="39"/>
      <c r="W2492"/>
      <c r="X2492"/>
      <c r="Y2492"/>
      <c r="Z2492"/>
      <c r="AA2492"/>
    </row>
    <row r="2493" spans="1:27" x14ac:dyDescent="0.25">
      <c r="A2493"/>
      <c r="B2493" s="36"/>
      <c r="C2493" s="36"/>
      <c r="D2493"/>
      <c r="E2493"/>
      <c r="F2493"/>
      <c r="G2493"/>
      <c r="H2493"/>
      <c r="I2493"/>
      <c r="J2493"/>
      <c r="K2493"/>
      <c r="L2493"/>
      <c r="M2493"/>
      <c r="N2493"/>
      <c r="O2493"/>
      <c r="P2493" s="36"/>
      <c r="Q2493" s="37"/>
      <c r="R2493"/>
      <c r="S2493"/>
      <c r="T2493"/>
      <c r="U2493"/>
      <c r="V2493" s="39"/>
      <c r="W2493"/>
      <c r="X2493"/>
      <c r="Y2493"/>
      <c r="Z2493"/>
      <c r="AA2493"/>
    </row>
    <row r="2494" spans="1:27" x14ac:dyDescent="0.25">
      <c r="A2494"/>
      <c r="B2494" s="36"/>
      <c r="C2494" s="36"/>
      <c r="D2494"/>
      <c r="E2494"/>
      <c r="F2494"/>
      <c r="G2494"/>
      <c r="H2494"/>
      <c r="I2494"/>
      <c r="J2494"/>
      <c r="K2494"/>
      <c r="L2494"/>
      <c r="M2494"/>
      <c r="N2494"/>
      <c r="O2494"/>
      <c r="P2494" s="36"/>
      <c r="Q2494" s="37"/>
      <c r="R2494"/>
      <c r="S2494"/>
      <c r="T2494"/>
      <c r="U2494"/>
      <c r="V2494" s="39"/>
      <c r="W2494"/>
      <c r="X2494"/>
      <c r="Y2494"/>
      <c r="Z2494"/>
      <c r="AA2494"/>
    </row>
    <row r="2495" spans="1:27" x14ac:dyDescent="0.25">
      <c r="A2495"/>
      <c r="B2495" s="36"/>
      <c r="C2495" s="36"/>
      <c r="D2495"/>
      <c r="E2495"/>
      <c r="F2495"/>
      <c r="G2495"/>
      <c r="H2495"/>
      <c r="I2495"/>
      <c r="J2495"/>
      <c r="K2495"/>
      <c r="L2495"/>
      <c r="M2495"/>
      <c r="N2495"/>
      <c r="O2495"/>
      <c r="P2495" s="36"/>
      <c r="Q2495" s="37"/>
      <c r="R2495"/>
      <c r="S2495"/>
      <c r="T2495"/>
      <c r="U2495"/>
      <c r="V2495" s="39"/>
      <c r="W2495"/>
      <c r="X2495"/>
      <c r="Y2495"/>
      <c r="Z2495"/>
      <c r="AA2495"/>
    </row>
    <row r="2496" spans="1:27" x14ac:dyDescent="0.25">
      <c r="A2496"/>
      <c r="B2496" s="36"/>
      <c r="C2496" s="36"/>
      <c r="D2496"/>
      <c r="E2496"/>
      <c r="F2496"/>
      <c r="G2496"/>
      <c r="H2496"/>
      <c r="I2496"/>
      <c r="J2496"/>
      <c r="K2496"/>
      <c r="L2496"/>
      <c r="M2496"/>
      <c r="N2496"/>
      <c r="O2496"/>
      <c r="P2496" s="36"/>
      <c r="Q2496" s="37"/>
      <c r="R2496" s="44"/>
      <c r="S2496"/>
      <c r="T2496"/>
      <c r="U2496"/>
      <c r="V2496" s="39"/>
      <c r="W2496"/>
      <c r="X2496"/>
      <c r="Y2496"/>
      <c r="Z2496"/>
      <c r="AA2496"/>
    </row>
    <row r="2497" spans="1:27" x14ac:dyDescent="0.25">
      <c r="A2497"/>
      <c r="B2497" s="36"/>
      <c r="C2497" s="36"/>
      <c r="D2497"/>
      <c r="E2497"/>
      <c r="F2497"/>
      <c r="G2497"/>
      <c r="H2497"/>
      <c r="I2497"/>
      <c r="J2497"/>
      <c r="K2497"/>
      <c r="L2497"/>
      <c r="M2497"/>
      <c r="N2497"/>
      <c r="O2497"/>
      <c r="P2497" s="36"/>
      <c r="Q2497" s="37"/>
      <c r="R2497"/>
      <c r="S2497"/>
      <c r="T2497"/>
      <c r="U2497"/>
      <c r="V2497" s="39"/>
      <c r="W2497"/>
      <c r="X2497"/>
      <c r="Y2497"/>
      <c r="Z2497"/>
      <c r="AA2497"/>
    </row>
    <row r="2498" spans="1:27" x14ac:dyDescent="0.25">
      <c r="A2498"/>
      <c r="B2498" s="36"/>
      <c r="C2498" s="36"/>
      <c r="D2498"/>
      <c r="E2498"/>
      <c r="F2498"/>
      <c r="G2498"/>
      <c r="H2498"/>
      <c r="I2498"/>
      <c r="J2498"/>
      <c r="K2498"/>
      <c r="L2498"/>
      <c r="M2498"/>
      <c r="N2498"/>
      <c r="O2498"/>
      <c r="P2498" s="36"/>
      <c r="Q2498" s="37"/>
      <c r="R2498"/>
      <c r="S2498"/>
      <c r="T2498"/>
      <c r="U2498"/>
      <c r="V2498" s="39"/>
      <c r="W2498"/>
      <c r="X2498"/>
      <c r="Y2498"/>
      <c r="Z2498"/>
      <c r="AA2498"/>
    </row>
    <row r="2499" spans="1:27" x14ac:dyDescent="0.25">
      <c r="A2499"/>
      <c r="B2499" s="36"/>
      <c r="C2499" s="36"/>
      <c r="D2499"/>
      <c r="E2499"/>
      <c r="F2499"/>
      <c r="G2499"/>
      <c r="H2499"/>
      <c r="I2499"/>
      <c r="J2499"/>
      <c r="K2499"/>
      <c r="L2499"/>
      <c r="M2499"/>
      <c r="N2499"/>
      <c r="O2499"/>
      <c r="P2499" s="36"/>
      <c r="Q2499" s="37"/>
      <c r="R2499"/>
      <c r="S2499"/>
      <c r="T2499"/>
      <c r="U2499"/>
      <c r="V2499" s="39"/>
      <c r="W2499"/>
      <c r="X2499"/>
      <c r="Y2499"/>
      <c r="Z2499"/>
      <c r="AA2499"/>
    </row>
    <row r="2500" spans="1:27" x14ac:dyDescent="0.25">
      <c r="A2500"/>
      <c r="B2500" s="36"/>
      <c r="C2500" s="36"/>
      <c r="D2500"/>
      <c r="E2500"/>
      <c r="F2500"/>
      <c r="G2500"/>
      <c r="H2500"/>
      <c r="I2500"/>
      <c r="J2500"/>
      <c r="K2500"/>
      <c r="L2500"/>
      <c r="M2500"/>
      <c r="N2500"/>
      <c r="O2500"/>
      <c r="P2500" s="36"/>
      <c r="Q2500" s="37"/>
      <c r="R2500"/>
      <c r="S2500"/>
      <c r="T2500"/>
      <c r="U2500"/>
      <c r="V2500" s="39"/>
      <c r="W2500"/>
      <c r="X2500"/>
      <c r="Y2500"/>
      <c r="Z2500"/>
      <c r="AA2500"/>
    </row>
    <row r="2501" spans="1:27" x14ac:dyDescent="0.25">
      <c r="A2501"/>
      <c r="B2501" s="36"/>
      <c r="C2501" s="36"/>
      <c r="D2501"/>
      <c r="E2501"/>
      <c r="F2501"/>
      <c r="G2501"/>
      <c r="H2501"/>
      <c r="I2501"/>
      <c r="J2501"/>
      <c r="K2501"/>
      <c r="L2501"/>
      <c r="M2501"/>
      <c r="N2501"/>
      <c r="O2501"/>
      <c r="P2501" s="36"/>
      <c r="Q2501" s="37"/>
      <c r="R2501"/>
      <c r="S2501"/>
      <c r="T2501"/>
      <c r="U2501"/>
      <c r="V2501" s="39"/>
      <c r="W2501"/>
      <c r="X2501"/>
      <c r="Y2501"/>
      <c r="Z2501"/>
      <c r="AA2501"/>
    </row>
    <row r="2502" spans="1:27" x14ac:dyDescent="0.25">
      <c r="A2502"/>
      <c r="B2502" s="36"/>
      <c r="C2502" s="36"/>
      <c r="D2502"/>
      <c r="E2502"/>
      <c r="F2502"/>
      <c r="G2502"/>
      <c r="H2502"/>
      <c r="I2502"/>
      <c r="J2502"/>
      <c r="K2502"/>
      <c r="L2502"/>
      <c r="M2502"/>
      <c r="N2502"/>
      <c r="O2502"/>
      <c r="P2502" s="36"/>
      <c r="Q2502" s="37"/>
      <c r="R2502" s="44"/>
      <c r="S2502"/>
      <c r="T2502"/>
      <c r="U2502"/>
      <c r="V2502" s="39"/>
      <c r="W2502"/>
      <c r="X2502"/>
      <c r="Y2502"/>
      <c r="Z2502"/>
      <c r="AA2502"/>
    </row>
    <row r="2503" spans="1:27" x14ac:dyDescent="0.25">
      <c r="A2503"/>
      <c r="B2503" s="36"/>
      <c r="C2503" s="36"/>
      <c r="D2503"/>
      <c r="E2503"/>
      <c r="F2503"/>
      <c r="G2503"/>
      <c r="H2503"/>
      <c r="I2503"/>
      <c r="J2503"/>
      <c r="K2503"/>
      <c r="L2503"/>
      <c r="M2503"/>
      <c r="N2503"/>
      <c r="O2503"/>
      <c r="P2503" s="36"/>
      <c r="Q2503" s="37"/>
      <c r="R2503"/>
      <c r="S2503"/>
      <c r="T2503"/>
      <c r="U2503"/>
      <c r="V2503" s="39"/>
      <c r="W2503"/>
      <c r="X2503"/>
      <c r="Y2503"/>
      <c r="Z2503"/>
      <c r="AA2503"/>
    </row>
    <row r="2504" spans="1:27" x14ac:dyDescent="0.25">
      <c r="A2504"/>
      <c r="B2504" s="36"/>
      <c r="C2504" s="36"/>
      <c r="D2504"/>
      <c r="E2504"/>
      <c r="F2504"/>
      <c r="G2504"/>
      <c r="H2504"/>
      <c r="I2504"/>
      <c r="J2504"/>
      <c r="K2504"/>
      <c r="L2504"/>
      <c r="M2504"/>
      <c r="N2504"/>
      <c r="O2504"/>
      <c r="P2504" s="36"/>
      <c r="Q2504" s="37"/>
      <c r="R2504"/>
      <c r="S2504"/>
      <c r="T2504"/>
      <c r="U2504"/>
      <c r="V2504" s="39"/>
      <c r="W2504"/>
      <c r="X2504"/>
      <c r="Y2504"/>
      <c r="Z2504"/>
      <c r="AA2504"/>
    </row>
    <row r="2505" spans="1:27" x14ac:dyDescent="0.25">
      <c r="A2505"/>
      <c r="B2505" s="36"/>
      <c r="C2505" s="36"/>
      <c r="D2505"/>
      <c r="E2505"/>
      <c r="F2505"/>
      <c r="G2505"/>
      <c r="H2505"/>
      <c r="I2505"/>
      <c r="J2505"/>
      <c r="K2505"/>
      <c r="L2505"/>
      <c r="M2505"/>
      <c r="N2505"/>
      <c r="O2505"/>
      <c r="P2505" s="36"/>
      <c r="Q2505" s="37"/>
      <c r="R2505" s="44"/>
      <c r="S2505"/>
      <c r="T2505"/>
      <c r="U2505"/>
      <c r="V2505" s="39"/>
      <c r="W2505"/>
      <c r="X2505"/>
      <c r="Y2505"/>
      <c r="Z2505"/>
      <c r="AA2505"/>
    </row>
    <row r="2506" spans="1:27" x14ac:dyDescent="0.25">
      <c r="A2506"/>
      <c r="B2506" s="36"/>
      <c r="C2506" s="36"/>
      <c r="D2506"/>
      <c r="E2506"/>
      <c r="F2506"/>
      <c r="G2506"/>
      <c r="H2506"/>
      <c r="I2506"/>
      <c r="J2506"/>
      <c r="K2506"/>
      <c r="L2506"/>
      <c r="M2506"/>
      <c r="N2506"/>
      <c r="O2506"/>
      <c r="P2506" s="36"/>
      <c r="Q2506" s="37"/>
      <c r="R2506"/>
      <c r="S2506"/>
      <c r="T2506"/>
      <c r="U2506"/>
      <c r="V2506" s="39"/>
      <c r="W2506"/>
      <c r="X2506"/>
      <c r="Y2506"/>
      <c r="Z2506"/>
      <c r="AA2506"/>
    </row>
    <row r="2507" spans="1:27" x14ac:dyDescent="0.25">
      <c r="A2507"/>
      <c r="B2507" s="36"/>
      <c r="C2507" s="36"/>
      <c r="D2507"/>
      <c r="E2507"/>
      <c r="F2507"/>
      <c r="G2507"/>
      <c r="H2507"/>
      <c r="I2507"/>
      <c r="J2507"/>
      <c r="K2507"/>
      <c r="L2507"/>
      <c r="M2507"/>
      <c r="N2507"/>
      <c r="O2507"/>
      <c r="P2507" s="36"/>
      <c r="Q2507" s="37"/>
      <c r="R2507"/>
      <c r="S2507"/>
      <c r="T2507"/>
      <c r="U2507"/>
      <c r="V2507" s="39"/>
      <c r="W2507"/>
      <c r="X2507"/>
      <c r="Y2507"/>
      <c r="Z2507"/>
      <c r="AA2507"/>
    </row>
    <row r="2508" spans="1:27" x14ac:dyDescent="0.25">
      <c r="A2508"/>
      <c r="B2508" s="36"/>
      <c r="C2508" s="36"/>
      <c r="D2508"/>
      <c r="E2508"/>
      <c r="F2508"/>
      <c r="G2508"/>
      <c r="H2508"/>
      <c r="I2508"/>
      <c r="J2508"/>
      <c r="K2508"/>
      <c r="L2508"/>
      <c r="M2508"/>
      <c r="N2508"/>
      <c r="O2508"/>
      <c r="P2508" s="36"/>
      <c r="Q2508" s="37"/>
      <c r="R2508"/>
      <c r="S2508"/>
      <c r="T2508"/>
      <c r="U2508"/>
      <c r="V2508" s="39"/>
      <c r="W2508"/>
      <c r="X2508"/>
      <c r="Y2508"/>
      <c r="Z2508"/>
      <c r="AA2508"/>
    </row>
    <row r="2509" spans="1:27" x14ac:dyDescent="0.25">
      <c r="A2509"/>
      <c r="B2509" s="36"/>
      <c r="C2509" s="36"/>
      <c r="D2509"/>
      <c r="E2509"/>
      <c r="F2509"/>
      <c r="G2509"/>
      <c r="H2509"/>
      <c r="I2509"/>
      <c r="J2509"/>
      <c r="K2509"/>
      <c r="L2509"/>
      <c r="M2509"/>
      <c r="N2509"/>
      <c r="O2509"/>
      <c r="P2509" s="36"/>
      <c r="Q2509" s="37"/>
      <c r="R2509"/>
      <c r="S2509"/>
      <c r="T2509"/>
      <c r="U2509"/>
      <c r="V2509" s="39"/>
      <c r="W2509"/>
      <c r="X2509"/>
      <c r="Y2509"/>
      <c r="Z2509"/>
      <c r="AA2509"/>
    </row>
    <row r="2510" spans="1:27" x14ac:dyDescent="0.25">
      <c r="A2510"/>
      <c r="B2510" s="36"/>
      <c r="C2510" s="36"/>
      <c r="D2510"/>
      <c r="E2510"/>
      <c r="F2510"/>
      <c r="G2510"/>
      <c r="H2510"/>
      <c r="I2510"/>
      <c r="J2510"/>
      <c r="K2510"/>
      <c r="L2510"/>
      <c r="M2510"/>
      <c r="N2510"/>
      <c r="O2510"/>
      <c r="P2510" s="36"/>
      <c r="Q2510" s="37"/>
      <c r="R2510"/>
      <c r="S2510"/>
      <c r="T2510"/>
      <c r="U2510"/>
      <c r="V2510" s="39"/>
      <c r="W2510"/>
      <c r="X2510"/>
      <c r="Y2510"/>
      <c r="Z2510"/>
      <c r="AA2510"/>
    </row>
    <row r="2511" spans="1:27" x14ac:dyDescent="0.25">
      <c r="A2511"/>
      <c r="B2511" s="36"/>
      <c r="C2511" s="36"/>
      <c r="D2511"/>
      <c r="E2511"/>
      <c r="F2511"/>
      <c r="G2511"/>
      <c r="H2511"/>
      <c r="I2511"/>
      <c r="J2511"/>
      <c r="K2511"/>
      <c r="L2511"/>
      <c r="M2511"/>
      <c r="N2511"/>
      <c r="O2511"/>
      <c r="P2511" s="36"/>
      <c r="Q2511" s="37"/>
      <c r="R2511"/>
      <c r="S2511"/>
      <c r="T2511"/>
      <c r="U2511"/>
      <c r="V2511" s="39"/>
      <c r="W2511"/>
      <c r="X2511"/>
      <c r="Y2511"/>
      <c r="Z2511"/>
      <c r="AA2511"/>
    </row>
    <row r="2512" spans="1:27" x14ac:dyDescent="0.25">
      <c r="A2512"/>
      <c r="B2512" s="36"/>
      <c r="C2512" s="36"/>
      <c r="D2512"/>
      <c r="E2512"/>
      <c r="F2512"/>
      <c r="G2512"/>
      <c r="H2512"/>
      <c r="I2512"/>
      <c r="J2512"/>
      <c r="K2512"/>
      <c r="L2512"/>
      <c r="M2512"/>
      <c r="N2512"/>
      <c r="O2512"/>
      <c r="P2512" s="36"/>
      <c r="Q2512" s="37"/>
      <c r="R2512"/>
      <c r="S2512"/>
      <c r="T2512"/>
      <c r="U2512"/>
      <c r="V2512" s="39"/>
      <c r="W2512"/>
      <c r="X2512"/>
      <c r="Y2512"/>
      <c r="Z2512"/>
      <c r="AA2512"/>
    </row>
    <row r="2513" spans="1:27" x14ac:dyDescent="0.25">
      <c r="A2513"/>
      <c r="B2513" s="36"/>
      <c r="C2513" s="36"/>
      <c r="D2513"/>
      <c r="E2513"/>
      <c r="F2513"/>
      <c r="G2513"/>
      <c r="H2513"/>
      <c r="I2513"/>
      <c r="J2513"/>
      <c r="K2513"/>
      <c r="L2513"/>
      <c r="M2513"/>
      <c r="N2513"/>
      <c r="O2513"/>
      <c r="P2513" s="36"/>
      <c r="Q2513" s="37"/>
      <c r="R2513"/>
      <c r="S2513"/>
      <c r="T2513"/>
      <c r="U2513"/>
      <c r="V2513" s="39"/>
      <c r="W2513"/>
      <c r="X2513"/>
      <c r="Y2513"/>
      <c r="Z2513"/>
      <c r="AA2513"/>
    </row>
    <row r="2514" spans="1:27" x14ac:dyDescent="0.25">
      <c r="A2514"/>
      <c r="B2514" s="36"/>
      <c r="C2514" s="36"/>
      <c r="D2514"/>
      <c r="E2514"/>
      <c r="F2514"/>
      <c r="G2514"/>
      <c r="H2514"/>
      <c r="I2514"/>
      <c r="J2514"/>
      <c r="K2514"/>
      <c r="L2514"/>
      <c r="M2514"/>
      <c r="N2514"/>
      <c r="O2514"/>
      <c r="P2514" s="36"/>
      <c r="Q2514" s="37"/>
      <c r="R2514"/>
      <c r="S2514"/>
      <c r="T2514"/>
      <c r="U2514"/>
      <c r="V2514" s="39"/>
      <c r="W2514"/>
      <c r="X2514"/>
      <c r="Y2514"/>
      <c r="Z2514"/>
      <c r="AA2514"/>
    </row>
    <row r="2515" spans="1:27" x14ac:dyDescent="0.25">
      <c r="A2515"/>
      <c r="B2515" s="36"/>
      <c r="C2515" s="36"/>
      <c r="D2515"/>
      <c r="E2515"/>
      <c r="F2515"/>
      <c r="G2515"/>
      <c r="H2515"/>
      <c r="I2515"/>
      <c r="J2515"/>
      <c r="K2515"/>
      <c r="L2515"/>
      <c r="M2515"/>
      <c r="N2515"/>
      <c r="O2515"/>
      <c r="P2515" s="36"/>
      <c r="Q2515" s="37"/>
      <c r="R2515"/>
      <c r="S2515"/>
      <c r="T2515"/>
      <c r="U2515"/>
      <c r="V2515" s="39"/>
      <c r="W2515"/>
      <c r="X2515"/>
      <c r="Y2515"/>
      <c r="Z2515"/>
      <c r="AA2515"/>
    </row>
    <row r="2516" spans="1:27" x14ac:dyDescent="0.25">
      <c r="A2516"/>
      <c r="B2516" s="36"/>
      <c r="C2516" s="36"/>
      <c r="D2516"/>
      <c r="E2516"/>
      <c r="F2516"/>
      <c r="G2516"/>
      <c r="H2516"/>
      <c r="I2516"/>
      <c r="J2516"/>
      <c r="K2516"/>
      <c r="L2516"/>
      <c r="M2516"/>
      <c r="N2516"/>
      <c r="O2516"/>
      <c r="P2516" s="36"/>
      <c r="Q2516" s="37"/>
      <c r="R2516"/>
      <c r="S2516"/>
      <c r="T2516"/>
      <c r="U2516"/>
      <c r="V2516" s="39"/>
      <c r="W2516"/>
      <c r="X2516"/>
      <c r="Y2516"/>
      <c r="Z2516"/>
      <c r="AA2516"/>
    </row>
    <row r="2517" spans="1:27" x14ac:dyDescent="0.25">
      <c r="A2517"/>
      <c r="B2517" s="36"/>
      <c r="C2517" s="36"/>
      <c r="D2517"/>
      <c r="E2517"/>
      <c r="F2517"/>
      <c r="G2517"/>
      <c r="H2517"/>
      <c r="I2517"/>
      <c r="J2517"/>
      <c r="K2517"/>
      <c r="L2517"/>
      <c r="M2517"/>
      <c r="N2517"/>
      <c r="O2517"/>
      <c r="P2517" s="36"/>
      <c r="Q2517" s="37"/>
      <c r="R2517"/>
      <c r="S2517"/>
      <c r="T2517"/>
      <c r="U2517"/>
      <c r="V2517" s="39"/>
      <c r="W2517"/>
      <c r="X2517"/>
      <c r="Y2517"/>
      <c r="Z2517"/>
      <c r="AA2517"/>
    </row>
    <row r="2518" spans="1:27" x14ac:dyDescent="0.25">
      <c r="A2518"/>
      <c r="B2518" s="36"/>
      <c r="C2518" s="36"/>
      <c r="D2518"/>
      <c r="E2518"/>
      <c r="F2518"/>
      <c r="G2518"/>
      <c r="H2518"/>
      <c r="I2518"/>
      <c r="J2518"/>
      <c r="K2518"/>
      <c r="L2518"/>
      <c r="M2518"/>
      <c r="N2518"/>
      <c r="O2518"/>
      <c r="P2518" s="36"/>
      <c r="Q2518" s="37"/>
      <c r="R2518" s="44"/>
      <c r="S2518"/>
      <c r="T2518"/>
      <c r="U2518"/>
      <c r="V2518" s="39"/>
      <c r="W2518"/>
      <c r="X2518"/>
      <c r="Y2518"/>
      <c r="Z2518"/>
      <c r="AA2518"/>
    </row>
    <row r="2519" spans="1:27" x14ac:dyDescent="0.25">
      <c r="A2519"/>
      <c r="B2519" s="36"/>
      <c r="C2519" s="36"/>
      <c r="D2519"/>
      <c r="E2519"/>
      <c r="F2519"/>
      <c r="G2519"/>
      <c r="H2519"/>
      <c r="I2519"/>
      <c r="J2519"/>
      <c r="K2519"/>
      <c r="L2519"/>
      <c r="M2519"/>
      <c r="N2519"/>
      <c r="O2519"/>
      <c r="P2519" s="36"/>
      <c r="Q2519" s="37"/>
      <c r="R2519"/>
      <c r="S2519"/>
      <c r="T2519"/>
      <c r="U2519"/>
      <c r="V2519" s="39"/>
      <c r="W2519"/>
      <c r="X2519"/>
      <c r="Y2519"/>
      <c r="Z2519"/>
      <c r="AA2519"/>
    </row>
    <row r="2520" spans="1:27" x14ac:dyDescent="0.25">
      <c r="A2520"/>
      <c r="B2520" s="36"/>
      <c r="C2520" s="36"/>
      <c r="D2520"/>
      <c r="E2520"/>
      <c r="F2520"/>
      <c r="G2520"/>
      <c r="H2520"/>
      <c r="I2520"/>
      <c r="J2520"/>
      <c r="K2520"/>
      <c r="L2520"/>
      <c r="M2520"/>
      <c r="N2520"/>
      <c r="O2520"/>
      <c r="P2520" s="36"/>
      <c r="Q2520" s="37"/>
      <c r="R2520"/>
      <c r="S2520"/>
      <c r="T2520"/>
      <c r="U2520"/>
      <c r="V2520" s="39"/>
      <c r="W2520"/>
      <c r="X2520"/>
      <c r="Y2520"/>
      <c r="Z2520"/>
      <c r="AA2520"/>
    </row>
    <row r="2521" spans="1:27" x14ac:dyDescent="0.25">
      <c r="A2521"/>
      <c r="B2521" s="36"/>
      <c r="C2521" s="36"/>
      <c r="D2521"/>
      <c r="E2521"/>
      <c r="F2521"/>
      <c r="G2521"/>
      <c r="H2521"/>
      <c r="I2521"/>
      <c r="J2521"/>
      <c r="K2521"/>
      <c r="L2521"/>
      <c r="M2521"/>
      <c r="N2521"/>
      <c r="O2521"/>
      <c r="P2521" s="36"/>
      <c r="Q2521" s="37"/>
      <c r="R2521"/>
      <c r="S2521"/>
      <c r="T2521"/>
      <c r="U2521"/>
      <c r="V2521" s="39"/>
      <c r="W2521"/>
      <c r="X2521"/>
      <c r="Y2521"/>
      <c r="Z2521"/>
      <c r="AA2521"/>
    </row>
    <row r="2522" spans="1:27" x14ac:dyDescent="0.25">
      <c r="A2522"/>
      <c r="B2522" s="36"/>
      <c r="C2522" s="36"/>
      <c r="D2522"/>
      <c r="E2522"/>
      <c r="F2522"/>
      <c r="G2522"/>
      <c r="H2522"/>
      <c r="I2522"/>
      <c r="J2522"/>
      <c r="K2522"/>
      <c r="L2522"/>
      <c r="M2522"/>
      <c r="N2522"/>
      <c r="O2522"/>
      <c r="P2522" s="36"/>
      <c r="Q2522" s="37"/>
      <c r="R2522"/>
      <c r="S2522"/>
      <c r="T2522"/>
      <c r="U2522"/>
      <c r="V2522" s="39"/>
      <c r="W2522"/>
      <c r="X2522"/>
      <c r="Y2522"/>
      <c r="Z2522"/>
      <c r="AA2522"/>
    </row>
    <row r="2523" spans="1:27" x14ac:dyDescent="0.25">
      <c r="A2523"/>
      <c r="B2523" s="36"/>
      <c r="C2523" s="36"/>
      <c r="D2523"/>
      <c r="E2523"/>
      <c r="F2523"/>
      <c r="G2523"/>
      <c r="H2523"/>
      <c r="I2523"/>
      <c r="J2523"/>
      <c r="K2523"/>
      <c r="L2523"/>
      <c r="M2523"/>
      <c r="N2523"/>
      <c r="O2523"/>
      <c r="P2523" s="36"/>
      <c r="Q2523" s="37"/>
      <c r="R2523"/>
      <c r="S2523"/>
      <c r="T2523"/>
      <c r="U2523"/>
      <c r="V2523" s="39"/>
      <c r="W2523"/>
      <c r="X2523"/>
      <c r="Y2523"/>
      <c r="Z2523"/>
      <c r="AA2523"/>
    </row>
    <row r="2524" spans="1:27" x14ac:dyDescent="0.25">
      <c r="A2524"/>
      <c r="B2524" s="36"/>
      <c r="C2524" s="36"/>
      <c r="D2524"/>
      <c r="E2524"/>
      <c r="F2524"/>
      <c r="G2524"/>
      <c r="H2524"/>
      <c r="I2524"/>
      <c r="J2524"/>
      <c r="K2524"/>
      <c r="L2524"/>
      <c r="M2524"/>
      <c r="N2524"/>
      <c r="O2524"/>
      <c r="P2524" s="36"/>
      <c r="Q2524" s="37"/>
      <c r="R2524" s="44"/>
      <c r="S2524"/>
      <c r="T2524"/>
      <c r="U2524"/>
      <c r="V2524" s="39"/>
      <c r="W2524"/>
      <c r="X2524"/>
      <c r="Y2524"/>
      <c r="Z2524"/>
      <c r="AA2524"/>
    </row>
    <row r="2525" spans="1:27" x14ac:dyDescent="0.25">
      <c r="A2525"/>
      <c r="B2525" s="36"/>
      <c r="C2525" s="36"/>
      <c r="D2525"/>
      <c r="E2525"/>
      <c r="F2525"/>
      <c r="G2525"/>
      <c r="H2525"/>
      <c r="I2525"/>
      <c r="J2525"/>
      <c r="K2525"/>
      <c r="L2525"/>
      <c r="M2525"/>
      <c r="N2525"/>
      <c r="O2525"/>
      <c r="P2525" s="36"/>
      <c r="Q2525" s="37"/>
      <c r="R2525"/>
      <c r="S2525"/>
      <c r="T2525"/>
      <c r="U2525"/>
      <c r="V2525" s="39"/>
      <c r="W2525"/>
      <c r="X2525"/>
      <c r="Y2525"/>
      <c r="Z2525"/>
      <c r="AA2525"/>
    </row>
    <row r="2526" spans="1:27" x14ac:dyDescent="0.25">
      <c r="A2526"/>
      <c r="B2526" s="36"/>
      <c r="C2526" s="36"/>
      <c r="D2526"/>
      <c r="E2526"/>
      <c r="F2526"/>
      <c r="G2526"/>
      <c r="H2526"/>
      <c r="I2526"/>
      <c r="J2526"/>
      <c r="K2526"/>
      <c r="L2526"/>
      <c r="M2526"/>
      <c r="N2526"/>
      <c r="O2526"/>
      <c r="P2526" s="36"/>
      <c r="Q2526" s="37"/>
      <c r="R2526"/>
      <c r="S2526"/>
      <c r="T2526"/>
      <c r="U2526"/>
      <c r="V2526" s="39"/>
      <c r="W2526"/>
      <c r="X2526"/>
      <c r="Y2526"/>
      <c r="Z2526"/>
      <c r="AA2526"/>
    </row>
    <row r="2527" spans="1:27" x14ac:dyDescent="0.25">
      <c r="A2527"/>
      <c r="B2527" s="36"/>
      <c r="C2527" s="36"/>
      <c r="D2527"/>
      <c r="E2527"/>
      <c r="F2527"/>
      <c r="G2527"/>
      <c r="H2527"/>
      <c r="I2527"/>
      <c r="J2527"/>
      <c r="K2527"/>
      <c r="L2527"/>
      <c r="M2527"/>
      <c r="N2527"/>
      <c r="O2527"/>
      <c r="P2527" s="36"/>
      <c r="Q2527" s="37"/>
      <c r="R2527"/>
      <c r="S2527"/>
      <c r="T2527"/>
      <c r="U2527"/>
      <c r="V2527" s="39"/>
      <c r="W2527"/>
      <c r="X2527"/>
      <c r="Y2527"/>
      <c r="Z2527"/>
      <c r="AA2527"/>
    </row>
    <row r="2528" spans="1:27" x14ac:dyDescent="0.25">
      <c r="A2528"/>
      <c r="B2528" s="36"/>
      <c r="C2528" s="36"/>
      <c r="D2528"/>
      <c r="E2528"/>
      <c r="F2528"/>
      <c r="G2528"/>
      <c r="H2528"/>
      <c r="I2528"/>
      <c r="J2528"/>
      <c r="K2528"/>
      <c r="L2528"/>
      <c r="M2528"/>
      <c r="N2528"/>
      <c r="O2528"/>
      <c r="P2528" s="36"/>
      <c r="Q2528" s="37"/>
      <c r="R2528"/>
      <c r="S2528"/>
      <c r="T2528"/>
      <c r="U2528"/>
      <c r="V2528" s="39"/>
      <c r="W2528"/>
      <c r="X2528"/>
      <c r="Y2528"/>
      <c r="Z2528"/>
      <c r="AA2528"/>
    </row>
    <row r="2529" spans="1:27" x14ac:dyDescent="0.25">
      <c r="A2529"/>
      <c r="B2529" s="36"/>
      <c r="C2529" s="36"/>
      <c r="D2529"/>
      <c r="E2529"/>
      <c r="F2529"/>
      <c r="G2529"/>
      <c r="H2529"/>
      <c r="I2529"/>
      <c r="J2529"/>
      <c r="K2529"/>
      <c r="L2529"/>
      <c r="M2529"/>
      <c r="N2529"/>
      <c r="O2529"/>
      <c r="P2529" s="36"/>
      <c r="Q2529" s="37"/>
      <c r="R2529"/>
      <c r="S2529"/>
      <c r="T2529"/>
      <c r="U2529"/>
      <c r="V2529" s="39"/>
      <c r="W2529"/>
      <c r="X2529"/>
      <c r="Y2529"/>
      <c r="Z2529"/>
      <c r="AA2529"/>
    </row>
    <row r="2530" spans="1:27" x14ac:dyDescent="0.25">
      <c r="A2530"/>
      <c r="B2530" s="36"/>
      <c r="C2530" s="36"/>
      <c r="D2530"/>
      <c r="E2530"/>
      <c r="F2530"/>
      <c r="G2530"/>
      <c r="H2530"/>
      <c r="I2530"/>
      <c r="J2530"/>
      <c r="K2530"/>
      <c r="L2530"/>
      <c r="M2530"/>
      <c r="N2530"/>
      <c r="O2530"/>
      <c r="P2530" s="36"/>
      <c r="Q2530" s="37"/>
      <c r="R2530"/>
      <c r="S2530"/>
      <c r="T2530"/>
      <c r="U2530"/>
      <c r="V2530" s="39"/>
      <c r="W2530"/>
      <c r="X2530"/>
      <c r="Y2530"/>
      <c r="Z2530"/>
      <c r="AA2530"/>
    </row>
    <row r="2531" spans="1:27" x14ac:dyDescent="0.25">
      <c r="A2531"/>
      <c r="B2531" s="36"/>
      <c r="C2531" s="36"/>
      <c r="D2531"/>
      <c r="E2531"/>
      <c r="F2531"/>
      <c r="G2531"/>
      <c r="H2531"/>
      <c r="I2531"/>
      <c r="J2531"/>
      <c r="K2531"/>
      <c r="L2531"/>
      <c r="M2531"/>
      <c r="N2531"/>
      <c r="O2531"/>
      <c r="P2531" s="36"/>
      <c r="Q2531" s="37"/>
      <c r="R2531"/>
      <c r="S2531"/>
      <c r="T2531"/>
      <c r="U2531"/>
      <c r="V2531" s="39"/>
      <c r="W2531"/>
      <c r="X2531"/>
      <c r="Y2531"/>
      <c r="Z2531"/>
      <c r="AA2531"/>
    </row>
    <row r="2532" spans="1:27" x14ac:dyDescent="0.25">
      <c r="A2532"/>
      <c r="B2532" s="36"/>
      <c r="C2532" s="36"/>
      <c r="D2532"/>
      <c r="E2532"/>
      <c r="F2532"/>
      <c r="G2532"/>
      <c r="H2532"/>
      <c r="I2532"/>
      <c r="J2532"/>
      <c r="K2532"/>
      <c r="L2532"/>
      <c r="M2532"/>
      <c r="N2532"/>
      <c r="O2532"/>
      <c r="P2532" s="36"/>
      <c r="Q2532" s="37"/>
      <c r="R2532"/>
      <c r="S2532"/>
      <c r="T2532"/>
      <c r="U2532"/>
      <c r="V2532" s="39"/>
      <c r="W2532"/>
      <c r="X2532"/>
      <c r="Y2532"/>
      <c r="Z2532"/>
      <c r="AA2532"/>
    </row>
    <row r="2533" spans="1:27" x14ac:dyDescent="0.25">
      <c r="A2533"/>
      <c r="B2533" s="36"/>
      <c r="C2533" s="36"/>
      <c r="D2533"/>
      <c r="E2533"/>
      <c r="F2533"/>
      <c r="G2533"/>
      <c r="H2533"/>
      <c r="I2533"/>
      <c r="J2533"/>
      <c r="K2533"/>
      <c r="L2533"/>
      <c r="M2533"/>
      <c r="N2533"/>
      <c r="O2533"/>
      <c r="P2533" s="36"/>
      <c r="Q2533" s="37"/>
      <c r="R2533"/>
      <c r="S2533"/>
      <c r="T2533"/>
      <c r="U2533"/>
      <c r="V2533" s="39"/>
      <c r="W2533"/>
      <c r="X2533"/>
      <c r="Y2533"/>
      <c r="Z2533"/>
      <c r="AA2533"/>
    </row>
    <row r="2534" spans="1:27" x14ac:dyDescent="0.25">
      <c r="A2534"/>
      <c r="B2534" s="36"/>
      <c r="C2534" s="36"/>
      <c r="D2534"/>
      <c r="E2534"/>
      <c r="F2534"/>
      <c r="G2534"/>
      <c r="H2534"/>
      <c r="I2534"/>
      <c r="J2534"/>
      <c r="K2534"/>
      <c r="L2534"/>
      <c r="M2534"/>
      <c r="N2534"/>
      <c r="O2534"/>
      <c r="P2534" s="36"/>
      <c r="Q2534" s="37"/>
      <c r="R2534"/>
      <c r="S2534"/>
      <c r="T2534"/>
      <c r="U2534"/>
      <c r="V2534" s="39"/>
      <c r="W2534"/>
      <c r="X2534"/>
      <c r="Y2534"/>
      <c r="Z2534"/>
      <c r="AA2534"/>
    </row>
    <row r="2535" spans="1:27" x14ac:dyDescent="0.25">
      <c r="A2535"/>
      <c r="B2535" s="36"/>
      <c r="C2535" s="36"/>
      <c r="D2535"/>
      <c r="E2535"/>
      <c r="F2535"/>
      <c r="G2535"/>
      <c r="H2535"/>
      <c r="I2535"/>
      <c r="J2535"/>
      <c r="K2535"/>
      <c r="L2535"/>
      <c r="M2535"/>
      <c r="N2535"/>
      <c r="O2535"/>
      <c r="P2535" s="36"/>
      <c r="Q2535" s="37"/>
      <c r="R2535"/>
      <c r="S2535"/>
      <c r="T2535"/>
      <c r="U2535"/>
      <c r="V2535" s="39"/>
      <c r="W2535"/>
      <c r="X2535"/>
      <c r="Y2535"/>
      <c r="Z2535"/>
      <c r="AA2535"/>
    </row>
    <row r="2536" spans="1:27" x14ac:dyDescent="0.25">
      <c r="A2536"/>
      <c r="B2536" s="36"/>
      <c r="C2536" s="36"/>
      <c r="D2536"/>
      <c r="E2536"/>
      <c r="F2536"/>
      <c r="G2536"/>
      <c r="H2536"/>
      <c r="I2536"/>
      <c r="J2536"/>
      <c r="K2536"/>
      <c r="L2536"/>
      <c r="M2536"/>
      <c r="N2536"/>
      <c r="O2536"/>
      <c r="P2536" s="36"/>
      <c r="Q2536" s="37"/>
      <c r="R2536"/>
      <c r="S2536"/>
      <c r="T2536"/>
      <c r="U2536"/>
      <c r="V2536" s="39"/>
      <c r="W2536"/>
      <c r="X2536"/>
      <c r="Y2536"/>
      <c r="Z2536"/>
      <c r="AA2536"/>
    </row>
    <row r="2537" spans="1:27" x14ac:dyDescent="0.25">
      <c r="A2537"/>
      <c r="B2537" s="36"/>
      <c r="C2537" s="36"/>
      <c r="D2537"/>
      <c r="E2537"/>
      <c r="F2537"/>
      <c r="G2537"/>
      <c r="H2537"/>
      <c r="I2537"/>
      <c r="J2537"/>
      <c r="K2537"/>
      <c r="L2537"/>
      <c r="M2537"/>
      <c r="N2537"/>
      <c r="O2537"/>
      <c r="P2537" s="36"/>
      <c r="Q2537" s="37"/>
      <c r="R2537"/>
      <c r="S2537"/>
      <c r="T2537"/>
      <c r="U2537"/>
      <c r="V2537" s="39"/>
      <c r="W2537"/>
      <c r="X2537"/>
      <c r="Y2537"/>
      <c r="Z2537"/>
      <c r="AA2537"/>
    </row>
    <row r="2538" spans="1:27" x14ac:dyDescent="0.25">
      <c r="A2538"/>
      <c r="B2538" s="36"/>
      <c r="C2538" s="36"/>
      <c r="D2538"/>
      <c r="E2538"/>
      <c r="F2538"/>
      <c r="G2538"/>
      <c r="H2538"/>
      <c r="I2538"/>
      <c r="J2538"/>
      <c r="K2538"/>
      <c r="L2538"/>
      <c r="M2538"/>
      <c r="N2538"/>
      <c r="O2538"/>
      <c r="P2538" s="36"/>
      <c r="Q2538" s="37"/>
      <c r="R2538"/>
      <c r="S2538"/>
      <c r="T2538"/>
      <c r="U2538"/>
      <c r="V2538" s="39"/>
      <c r="W2538"/>
      <c r="X2538"/>
      <c r="Y2538"/>
      <c r="Z2538"/>
      <c r="AA2538"/>
    </row>
    <row r="2539" spans="1:27" x14ac:dyDescent="0.25">
      <c r="A2539"/>
      <c r="B2539" s="36"/>
      <c r="C2539" s="36"/>
      <c r="D2539"/>
      <c r="E2539"/>
      <c r="F2539"/>
      <c r="G2539"/>
      <c r="H2539"/>
      <c r="I2539"/>
      <c r="J2539"/>
      <c r="K2539"/>
      <c r="L2539"/>
      <c r="M2539"/>
      <c r="N2539"/>
      <c r="O2539"/>
      <c r="P2539" s="36"/>
      <c r="Q2539" s="37"/>
      <c r="R2539"/>
      <c r="S2539"/>
      <c r="T2539"/>
      <c r="U2539"/>
      <c r="V2539" s="39"/>
      <c r="W2539"/>
      <c r="X2539"/>
      <c r="Y2539"/>
      <c r="Z2539"/>
      <c r="AA2539"/>
    </row>
    <row r="2540" spans="1:27" x14ac:dyDescent="0.25">
      <c r="A2540"/>
      <c r="B2540" s="36"/>
      <c r="C2540" s="36"/>
      <c r="D2540"/>
      <c r="E2540"/>
      <c r="F2540"/>
      <c r="G2540"/>
      <c r="H2540"/>
      <c r="I2540"/>
      <c r="J2540"/>
      <c r="K2540"/>
      <c r="L2540"/>
      <c r="M2540"/>
      <c r="N2540"/>
      <c r="O2540"/>
      <c r="P2540" s="36"/>
      <c r="Q2540" s="37"/>
      <c r="R2540" s="44"/>
      <c r="S2540"/>
      <c r="T2540"/>
      <c r="U2540"/>
      <c r="V2540" s="39"/>
      <c r="W2540"/>
      <c r="X2540"/>
      <c r="Y2540"/>
      <c r="Z2540"/>
      <c r="AA2540"/>
    </row>
    <row r="2541" spans="1:27" x14ac:dyDescent="0.25">
      <c r="A2541"/>
      <c r="B2541" s="36"/>
      <c r="C2541" s="36"/>
      <c r="D2541"/>
      <c r="E2541"/>
      <c r="F2541"/>
      <c r="G2541"/>
      <c r="H2541"/>
      <c r="I2541"/>
      <c r="J2541"/>
      <c r="K2541"/>
      <c r="L2541"/>
      <c r="M2541"/>
      <c r="N2541"/>
      <c r="O2541"/>
      <c r="P2541" s="36"/>
      <c r="Q2541" s="37"/>
      <c r="R2541"/>
      <c r="S2541"/>
      <c r="T2541"/>
      <c r="U2541"/>
      <c r="V2541" s="39"/>
      <c r="W2541"/>
      <c r="X2541"/>
      <c r="Y2541"/>
      <c r="Z2541"/>
      <c r="AA2541"/>
    </row>
    <row r="2542" spans="1:27" x14ac:dyDescent="0.25">
      <c r="A2542"/>
      <c r="B2542" s="36"/>
      <c r="C2542" s="36"/>
      <c r="D2542"/>
      <c r="E2542"/>
      <c r="F2542"/>
      <c r="G2542"/>
      <c r="H2542"/>
      <c r="I2542"/>
      <c r="J2542"/>
      <c r="K2542"/>
      <c r="L2542"/>
      <c r="M2542"/>
      <c r="N2542"/>
      <c r="O2542"/>
      <c r="P2542" s="36"/>
      <c r="Q2542" s="37"/>
      <c r="R2542"/>
      <c r="S2542"/>
      <c r="T2542"/>
      <c r="U2542"/>
      <c r="V2542" s="39"/>
      <c r="W2542"/>
      <c r="X2542"/>
      <c r="Y2542"/>
      <c r="Z2542"/>
      <c r="AA2542"/>
    </row>
    <row r="2543" spans="1:27" x14ac:dyDescent="0.25">
      <c r="A2543"/>
      <c r="B2543" s="36"/>
      <c r="C2543" s="36"/>
      <c r="D2543"/>
      <c r="E2543"/>
      <c r="F2543"/>
      <c r="G2543"/>
      <c r="H2543"/>
      <c r="I2543"/>
      <c r="J2543"/>
      <c r="K2543"/>
      <c r="L2543"/>
      <c r="M2543"/>
      <c r="N2543"/>
      <c r="O2543"/>
      <c r="P2543" s="36"/>
      <c r="Q2543" s="37"/>
      <c r="R2543"/>
      <c r="S2543"/>
      <c r="T2543"/>
      <c r="U2543"/>
      <c r="V2543" s="39"/>
      <c r="W2543"/>
      <c r="X2543"/>
      <c r="Y2543"/>
      <c r="Z2543"/>
      <c r="AA2543"/>
    </row>
    <row r="2544" spans="1:27" x14ac:dyDescent="0.25">
      <c r="A2544"/>
      <c r="B2544" s="36"/>
      <c r="C2544" s="36"/>
      <c r="D2544"/>
      <c r="E2544"/>
      <c r="F2544"/>
      <c r="G2544"/>
      <c r="H2544"/>
      <c r="I2544"/>
      <c r="J2544"/>
      <c r="K2544"/>
      <c r="L2544"/>
      <c r="M2544"/>
      <c r="N2544"/>
      <c r="O2544"/>
      <c r="P2544" s="36"/>
      <c r="Q2544" s="37"/>
      <c r="R2544"/>
      <c r="S2544"/>
      <c r="T2544"/>
      <c r="U2544"/>
      <c r="V2544" s="39"/>
      <c r="W2544"/>
      <c r="X2544"/>
      <c r="Y2544"/>
      <c r="Z2544"/>
      <c r="AA2544"/>
    </row>
    <row r="2545" spans="1:27" x14ac:dyDescent="0.25">
      <c r="A2545"/>
      <c r="B2545" s="36"/>
      <c r="C2545" s="36"/>
      <c r="D2545"/>
      <c r="E2545"/>
      <c r="F2545"/>
      <c r="G2545"/>
      <c r="H2545"/>
      <c r="I2545"/>
      <c r="J2545"/>
      <c r="K2545"/>
      <c r="L2545"/>
      <c r="M2545"/>
      <c r="N2545"/>
      <c r="O2545"/>
      <c r="P2545" s="36"/>
      <c r="Q2545" s="37"/>
      <c r="R2545"/>
      <c r="S2545"/>
      <c r="T2545"/>
      <c r="U2545"/>
      <c r="V2545" s="39"/>
      <c r="W2545"/>
      <c r="X2545"/>
      <c r="Y2545"/>
      <c r="Z2545"/>
      <c r="AA2545"/>
    </row>
    <row r="2546" spans="1:27" x14ac:dyDescent="0.25">
      <c r="A2546"/>
      <c r="B2546" s="36"/>
      <c r="C2546" s="36"/>
      <c r="D2546"/>
      <c r="E2546"/>
      <c r="F2546"/>
      <c r="G2546"/>
      <c r="H2546"/>
      <c r="I2546"/>
      <c r="J2546"/>
      <c r="K2546"/>
      <c r="L2546"/>
      <c r="M2546"/>
      <c r="N2546"/>
      <c r="O2546"/>
      <c r="P2546" s="36"/>
      <c r="Q2546" s="37"/>
      <c r="R2546"/>
      <c r="S2546"/>
      <c r="T2546"/>
      <c r="U2546"/>
      <c r="V2546" s="39"/>
      <c r="W2546"/>
      <c r="X2546"/>
      <c r="Y2546"/>
      <c r="Z2546"/>
      <c r="AA2546"/>
    </row>
    <row r="2547" spans="1:27" x14ac:dyDescent="0.25">
      <c r="A2547"/>
      <c r="B2547" s="36"/>
      <c r="C2547" s="36"/>
      <c r="D2547"/>
      <c r="E2547"/>
      <c r="F2547"/>
      <c r="G2547"/>
      <c r="H2547"/>
      <c r="I2547"/>
      <c r="J2547"/>
      <c r="K2547"/>
      <c r="L2547"/>
      <c r="M2547"/>
      <c r="N2547"/>
      <c r="O2547"/>
      <c r="P2547" s="36"/>
      <c r="Q2547" s="37"/>
      <c r="R2547"/>
      <c r="S2547"/>
      <c r="T2547"/>
      <c r="U2547"/>
      <c r="V2547" s="39"/>
      <c r="W2547"/>
      <c r="X2547"/>
      <c r="Y2547"/>
      <c r="Z2547"/>
      <c r="AA2547"/>
    </row>
    <row r="2548" spans="1:27" x14ac:dyDescent="0.25">
      <c r="A2548"/>
      <c r="B2548" s="36"/>
      <c r="C2548" s="36"/>
      <c r="D2548"/>
      <c r="E2548"/>
      <c r="F2548"/>
      <c r="G2548"/>
      <c r="H2548"/>
      <c r="I2548"/>
      <c r="J2548"/>
      <c r="K2548"/>
      <c r="L2548"/>
      <c r="M2548"/>
      <c r="N2548"/>
      <c r="O2548"/>
      <c r="P2548" s="36"/>
      <c r="Q2548" s="37"/>
      <c r="R2548"/>
      <c r="S2548"/>
      <c r="T2548"/>
      <c r="U2548"/>
      <c r="V2548" s="39"/>
      <c r="W2548"/>
      <c r="X2548"/>
      <c r="Y2548"/>
      <c r="Z2548"/>
      <c r="AA2548"/>
    </row>
    <row r="2549" spans="1:27" x14ac:dyDescent="0.25">
      <c r="A2549"/>
      <c r="B2549" s="36"/>
      <c r="C2549" s="36"/>
      <c r="D2549"/>
      <c r="E2549"/>
      <c r="F2549"/>
      <c r="G2549"/>
      <c r="H2549"/>
      <c r="I2549"/>
      <c r="J2549"/>
      <c r="K2549"/>
      <c r="L2549"/>
      <c r="M2549"/>
      <c r="N2549"/>
      <c r="O2549"/>
      <c r="P2549" s="36"/>
      <c r="Q2549" s="37"/>
      <c r="R2549"/>
      <c r="S2549"/>
      <c r="T2549"/>
      <c r="U2549"/>
      <c r="V2549" s="39"/>
      <c r="W2549"/>
      <c r="X2549"/>
      <c r="Y2549"/>
      <c r="Z2549"/>
      <c r="AA2549"/>
    </row>
    <row r="2550" spans="1:27" x14ac:dyDescent="0.25">
      <c r="A2550"/>
      <c r="B2550" s="36"/>
      <c r="C2550" s="36"/>
      <c r="D2550"/>
      <c r="E2550"/>
      <c r="F2550"/>
      <c r="G2550"/>
      <c r="H2550"/>
      <c r="I2550"/>
      <c r="J2550"/>
      <c r="K2550"/>
      <c r="L2550"/>
      <c r="M2550"/>
      <c r="N2550"/>
      <c r="O2550"/>
      <c r="P2550" s="36"/>
      <c r="Q2550" s="37"/>
      <c r="R2550"/>
      <c r="S2550"/>
      <c r="T2550"/>
      <c r="U2550"/>
      <c r="V2550" s="39"/>
      <c r="W2550"/>
      <c r="X2550"/>
      <c r="Y2550"/>
      <c r="Z2550"/>
      <c r="AA2550"/>
    </row>
    <row r="2551" spans="1:27" x14ac:dyDescent="0.25">
      <c r="A2551"/>
      <c r="B2551" s="36"/>
      <c r="C2551" s="36"/>
      <c r="D2551"/>
      <c r="E2551"/>
      <c r="F2551"/>
      <c r="G2551"/>
      <c r="H2551"/>
      <c r="I2551"/>
      <c r="J2551"/>
      <c r="K2551"/>
      <c r="L2551"/>
      <c r="M2551"/>
      <c r="N2551"/>
      <c r="O2551"/>
      <c r="P2551" s="36"/>
      <c r="Q2551" s="37"/>
      <c r="R2551"/>
      <c r="S2551"/>
      <c r="T2551"/>
      <c r="U2551"/>
      <c r="V2551" s="39"/>
      <c r="W2551"/>
      <c r="X2551"/>
      <c r="Y2551"/>
      <c r="Z2551"/>
      <c r="AA2551"/>
    </row>
    <row r="2552" spans="1:27" x14ac:dyDescent="0.25">
      <c r="A2552"/>
      <c r="B2552" s="36"/>
      <c r="C2552" s="36"/>
      <c r="D2552"/>
      <c r="E2552"/>
      <c r="F2552"/>
      <c r="G2552"/>
      <c r="H2552"/>
      <c r="I2552"/>
      <c r="J2552"/>
      <c r="K2552"/>
      <c r="L2552"/>
      <c r="M2552"/>
      <c r="N2552"/>
      <c r="O2552"/>
      <c r="P2552" s="36"/>
      <c r="Q2552" s="37"/>
      <c r="R2552"/>
      <c r="S2552"/>
      <c r="T2552"/>
      <c r="U2552"/>
      <c r="V2552" s="39"/>
      <c r="W2552"/>
      <c r="X2552"/>
      <c r="Y2552"/>
      <c r="Z2552"/>
      <c r="AA2552"/>
    </row>
    <row r="2553" spans="1:27" x14ac:dyDescent="0.25">
      <c r="A2553"/>
      <c r="B2553" s="36"/>
      <c r="C2553" s="36"/>
      <c r="D2553"/>
      <c r="E2553"/>
      <c r="F2553"/>
      <c r="G2553"/>
      <c r="H2553"/>
      <c r="I2553"/>
      <c r="J2553"/>
      <c r="K2553"/>
      <c r="L2553"/>
      <c r="M2553"/>
      <c r="N2553"/>
      <c r="O2553"/>
      <c r="P2553" s="36"/>
      <c r="Q2553" s="37"/>
      <c r="R2553"/>
      <c r="S2553"/>
      <c r="T2553"/>
      <c r="U2553"/>
      <c r="V2553" s="39"/>
      <c r="W2553"/>
      <c r="X2553"/>
      <c r="Y2553"/>
      <c r="Z2553"/>
      <c r="AA2553"/>
    </row>
    <row r="2554" spans="1:27" x14ac:dyDescent="0.25">
      <c r="A2554"/>
      <c r="B2554" s="36"/>
      <c r="C2554" s="36"/>
      <c r="D2554"/>
      <c r="E2554"/>
      <c r="F2554"/>
      <c r="G2554"/>
      <c r="H2554"/>
      <c r="I2554"/>
      <c r="J2554"/>
      <c r="K2554"/>
      <c r="L2554"/>
      <c r="M2554"/>
      <c r="N2554"/>
      <c r="O2554"/>
      <c r="P2554" s="36"/>
      <c r="Q2554" s="37"/>
      <c r="R2554"/>
      <c r="S2554"/>
      <c r="T2554"/>
      <c r="U2554"/>
      <c r="V2554" s="39"/>
      <c r="W2554"/>
      <c r="X2554"/>
      <c r="Y2554"/>
      <c r="Z2554"/>
      <c r="AA2554"/>
    </row>
    <row r="2555" spans="1:27" x14ac:dyDescent="0.25">
      <c r="A2555"/>
      <c r="B2555" s="36"/>
      <c r="C2555" s="36"/>
      <c r="D2555"/>
      <c r="E2555"/>
      <c r="F2555"/>
      <c r="G2555"/>
      <c r="H2555"/>
      <c r="I2555"/>
      <c r="J2555"/>
      <c r="K2555"/>
      <c r="L2555"/>
      <c r="M2555"/>
      <c r="N2555"/>
      <c r="O2555"/>
      <c r="P2555" s="36"/>
      <c r="Q2555" s="37"/>
      <c r="R2555"/>
      <c r="S2555"/>
      <c r="T2555"/>
      <c r="U2555"/>
      <c r="V2555" s="39"/>
      <c r="W2555"/>
      <c r="X2555"/>
      <c r="Y2555"/>
      <c r="Z2555"/>
      <c r="AA2555"/>
    </row>
    <row r="2556" spans="1:27" x14ac:dyDescent="0.25">
      <c r="A2556"/>
      <c r="B2556" s="36"/>
      <c r="C2556" s="36"/>
      <c r="D2556"/>
      <c r="E2556"/>
      <c r="F2556"/>
      <c r="G2556"/>
      <c r="H2556"/>
      <c r="I2556"/>
      <c r="J2556"/>
      <c r="K2556"/>
      <c r="L2556"/>
      <c r="M2556"/>
      <c r="N2556"/>
      <c r="O2556"/>
      <c r="P2556" s="36"/>
      <c r="Q2556" s="37"/>
      <c r="R2556"/>
      <c r="S2556"/>
      <c r="T2556"/>
      <c r="U2556"/>
      <c r="V2556" s="39"/>
      <c r="W2556"/>
      <c r="X2556"/>
      <c r="Y2556"/>
      <c r="Z2556"/>
      <c r="AA2556"/>
    </row>
    <row r="2557" spans="1:27" x14ac:dyDescent="0.25">
      <c r="A2557"/>
      <c r="B2557" s="36"/>
      <c r="C2557" s="36"/>
      <c r="D2557"/>
      <c r="E2557"/>
      <c r="F2557"/>
      <c r="G2557"/>
      <c r="H2557"/>
      <c r="I2557"/>
      <c r="J2557"/>
      <c r="K2557"/>
      <c r="L2557"/>
      <c r="M2557"/>
      <c r="N2557"/>
      <c r="O2557"/>
      <c r="P2557" s="36"/>
      <c r="Q2557" s="37"/>
      <c r="R2557"/>
      <c r="S2557"/>
      <c r="T2557"/>
      <c r="U2557"/>
      <c r="V2557" s="39"/>
      <c r="W2557"/>
      <c r="X2557"/>
      <c r="Y2557"/>
      <c r="Z2557"/>
      <c r="AA2557"/>
    </row>
    <row r="2558" spans="1:27" x14ac:dyDescent="0.25">
      <c r="A2558"/>
      <c r="B2558" s="36"/>
      <c r="C2558" s="36"/>
      <c r="D2558"/>
      <c r="E2558"/>
      <c r="F2558"/>
      <c r="G2558"/>
      <c r="H2558"/>
      <c r="I2558"/>
      <c r="J2558"/>
      <c r="K2558"/>
      <c r="L2558"/>
      <c r="M2558"/>
      <c r="N2558"/>
      <c r="O2558"/>
      <c r="P2558" s="36"/>
      <c r="Q2558" s="37"/>
      <c r="R2558"/>
      <c r="S2558"/>
      <c r="T2558"/>
      <c r="U2558"/>
      <c r="V2558" s="39"/>
      <c r="W2558"/>
      <c r="X2558"/>
      <c r="Y2558"/>
      <c r="Z2558"/>
      <c r="AA2558"/>
    </row>
    <row r="2559" spans="1:27" x14ac:dyDescent="0.25">
      <c r="A2559"/>
      <c r="B2559" s="36"/>
      <c r="C2559" s="36"/>
      <c r="D2559"/>
      <c r="E2559"/>
      <c r="F2559"/>
      <c r="G2559"/>
      <c r="H2559"/>
      <c r="I2559"/>
      <c r="J2559"/>
      <c r="K2559"/>
      <c r="L2559"/>
      <c r="M2559"/>
      <c r="N2559"/>
      <c r="O2559"/>
      <c r="P2559" s="36"/>
      <c r="Q2559" s="37"/>
      <c r="R2559"/>
      <c r="S2559"/>
      <c r="T2559"/>
      <c r="U2559"/>
      <c r="V2559" s="39"/>
      <c r="W2559"/>
      <c r="X2559"/>
      <c r="Y2559"/>
      <c r="Z2559"/>
      <c r="AA2559"/>
    </row>
    <row r="2560" spans="1:27" x14ac:dyDescent="0.25">
      <c r="A2560"/>
      <c r="B2560" s="36"/>
      <c r="C2560" s="36"/>
      <c r="D2560"/>
      <c r="E2560"/>
      <c r="F2560"/>
      <c r="G2560"/>
      <c r="H2560"/>
      <c r="I2560"/>
      <c r="J2560"/>
      <c r="K2560"/>
      <c r="L2560"/>
      <c r="M2560"/>
      <c r="N2560"/>
      <c r="O2560"/>
      <c r="P2560" s="36"/>
      <c r="Q2560" s="37"/>
      <c r="R2560"/>
      <c r="S2560"/>
      <c r="T2560"/>
      <c r="U2560"/>
      <c r="V2560" s="39"/>
      <c r="W2560"/>
      <c r="X2560"/>
      <c r="Y2560"/>
      <c r="Z2560"/>
      <c r="AA2560"/>
    </row>
    <row r="2561" spans="1:27" x14ac:dyDescent="0.25">
      <c r="A2561"/>
      <c r="B2561" s="36"/>
      <c r="C2561" s="36"/>
      <c r="D2561"/>
      <c r="E2561"/>
      <c r="F2561"/>
      <c r="G2561"/>
      <c r="H2561"/>
      <c r="I2561"/>
      <c r="J2561"/>
      <c r="K2561"/>
      <c r="L2561"/>
      <c r="M2561"/>
      <c r="N2561"/>
      <c r="O2561"/>
      <c r="P2561" s="36"/>
      <c r="Q2561" s="37"/>
      <c r="R2561"/>
      <c r="S2561"/>
      <c r="T2561"/>
      <c r="U2561"/>
      <c r="V2561" s="39"/>
      <c r="W2561"/>
      <c r="X2561"/>
      <c r="Y2561"/>
      <c r="Z2561"/>
      <c r="AA2561"/>
    </row>
    <row r="2562" spans="1:27" x14ac:dyDescent="0.25">
      <c r="A2562"/>
      <c r="B2562" s="36"/>
      <c r="C2562" s="36"/>
      <c r="D2562"/>
      <c r="E2562"/>
      <c r="F2562"/>
      <c r="G2562"/>
      <c r="H2562"/>
      <c r="I2562"/>
      <c r="J2562"/>
      <c r="K2562"/>
      <c r="L2562"/>
      <c r="M2562"/>
      <c r="N2562"/>
      <c r="O2562"/>
      <c r="P2562" s="36"/>
      <c r="Q2562" s="37"/>
      <c r="R2562"/>
      <c r="S2562"/>
      <c r="T2562"/>
      <c r="U2562"/>
      <c r="V2562" s="39"/>
      <c r="W2562"/>
      <c r="X2562"/>
      <c r="Y2562"/>
      <c r="Z2562"/>
      <c r="AA2562"/>
    </row>
    <row r="2563" spans="1:27" x14ac:dyDescent="0.25">
      <c r="A2563"/>
      <c r="B2563" s="36"/>
      <c r="C2563" s="36"/>
      <c r="D2563"/>
      <c r="E2563"/>
      <c r="F2563"/>
      <c r="G2563"/>
      <c r="H2563"/>
      <c r="I2563"/>
      <c r="J2563"/>
      <c r="K2563"/>
      <c r="L2563"/>
      <c r="M2563"/>
      <c r="N2563"/>
      <c r="O2563"/>
      <c r="P2563" s="36"/>
      <c r="Q2563" s="37"/>
      <c r="R2563"/>
      <c r="S2563"/>
      <c r="T2563"/>
      <c r="U2563"/>
      <c r="V2563" s="39"/>
      <c r="W2563"/>
      <c r="X2563"/>
      <c r="Y2563"/>
      <c r="Z2563"/>
      <c r="AA2563"/>
    </row>
    <row r="2564" spans="1:27" x14ac:dyDescent="0.25">
      <c r="A2564"/>
      <c r="B2564" s="36"/>
      <c r="C2564" s="36"/>
      <c r="D2564"/>
      <c r="E2564"/>
      <c r="F2564"/>
      <c r="G2564"/>
      <c r="H2564"/>
      <c r="I2564"/>
      <c r="J2564"/>
      <c r="K2564"/>
      <c r="L2564"/>
      <c r="M2564"/>
      <c r="N2564"/>
      <c r="O2564"/>
      <c r="P2564" s="36"/>
      <c r="Q2564" s="37"/>
      <c r="R2564"/>
      <c r="S2564"/>
      <c r="T2564"/>
      <c r="U2564"/>
      <c r="V2564" s="39"/>
      <c r="W2564"/>
      <c r="X2564"/>
      <c r="Y2564"/>
      <c r="Z2564"/>
      <c r="AA2564"/>
    </row>
    <row r="2565" spans="1:27" x14ac:dyDescent="0.25">
      <c r="A2565"/>
      <c r="B2565" s="36"/>
      <c r="C2565" s="36"/>
      <c r="D2565"/>
      <c r="E2565"/>
      <c r="F2565"/>
      <c r="G2565"/>
      <c r="H2565"/>
      <c r="I2565"/>
      <c r="J2565"/>
      <c r="K2565"/>
      <c r="L2565"/>
      <c r="M2565"/>
      <c r="N2565"/>
      <c r="O2565"/>
      <c r="P2565" s="36"/>
      <c r="Q2565" s="37"/>
      <c r="R2565"/>
      <c r="S2565"/>
      <c r="T2565"/>
      <c r="U2565"/>
      <c r="V2565" s="39"/>
      <c r="W2565"/>
      <c r="X2565"/>
      <c r="Y2565"/>
      <c r="Z2565"/>
      <c r="AA2565"/>
    </row>
    <row r="2566" spans="1:27" x14ac:dyDescent="0.25">
      <c r="A2566"/>
      <c r="B2566" s="36"/>
      <c r="C2566" s="36"/>
      <c r="D2566"/>
      <c r="E2566"/>
      <c r="F2566"/>
      <c r="G2566"/>
      <c r="H2566"/>
      <c r="I2566"/>
      <c r="J2566"/>
      <c r="K2566"/>
      <c r="L2566"/>
      <c r="M2566"/>
      <c r="N2566"/>
      <c r="O2566"/>
      <c r="P2566" s="36"/>
      <c r="Q2566" s="37"/>
      <c r="R2566"/>
      <c r="S2566"/>
      <c r="T2566"/>
      <c r="U2566"/>
      <c r="V2566" s="39"/>
      <c r="W2566"/>
      <c r="X2566"/>
      <c r="Y2566"/>
      <c r="Z2566"/>
      <c r="AA2566"/>
    </row>
    <row r="2567" spans="1:27" x14ac:dyDescent="0.25">
      <c r="A2567"/>
      <c r="B2567" s="36"/>
      <c r="C2567" s="36"/>
      <c r="D2567"/>
      <c r="E2567"/>
      <c r="F2567"/>
      <c r="G2567"/>
      <c r="H2567"/>
      <c r="I2567"/>
      <c r="J2567"/>
      <c r="K2567"/>
      <c r="L2567"/>
      <c r="M2567"/>
      <c r="N2567"/>
      <c r="O2567"/>
      <c r="P2567" s="36"/>
      <c r="Q2567" s="37"/>
      <c r="R2567"/>
      <c r="S2567"/>
      <c r="T2567"/>
      <c r="U2567"/>
      <c r="V2567" s="39"/>
      <c r="W2567"/>
      <c r="X2567"/>
      <c r="Y2567"/>
      <c r="Z2567"/>
      <c r="AA2567"/>
    </row>
    <row r="2568" spans="1:27" x14ac:dyDescent="0.25">
      <c r="A2568"/>
      <c r="B2568" s="36"/>
      <c r="C2568" s="36"/>
      <c r="D2568"/>
      <c r="E2568"/>
      <c r="F2568"/>
      <c r="G2568"/>
      <c r="H2568"/>
      <c r="I2568"/>
      <c r="J2568"/>
      <c r="K2568"/>
      <c r="L2568"/>
      <c r="M2568"/>
      <c r="N2568"/>
      <c r="O2568"/>
      <c r="P2568" s="36"/>
      <c r="Q2568" s="37"/>
      <c r="R2568"/>
      <c r="S2568"/>
      <c r="T2568"/>
      <c r="U2568"/>
      <c r="V2568" s="39"/>
      <c r="W2568"/>
      <c r="X2568"/>
      <c r="Y2568"/>
      <c r="Z2568"/>
      <c r="AA2568"/>
    </row>
    <row r="2569" spans="1:27" x14ac:dyDescent="0.25">
      <c r="A2569"/>
      <c r="B2569" s="36"/>
      <c r="C2569" s="36"/>
      <c r="D2569"/>
      <c r="E2569"/>
      <c r="F2569"/>
      <c r="G2569"/>
      <c r="H2569"/>
      <c r="I2569"/>
      <c r="J2569"/>
      <c r="K2569"/>
      <c r="L2569"/>
      <c r="M2569"/>
      <c r="N2569"/>
      <c r="O2569"/>
      <c r="P2569" s="36"/>
      <c r="Q2569" s="37"/>
      <c r="R2569"/>
      <c r="S2569"/>
      <c r="T2569"/>
      <c r="U2569"/>
      <c r="V2569" s="39"/>
      <c r="W2569"/>
      <c r="X2569"/>
      <c r="Y2569"/>
      <c r="Z2569"/>
      <c r="AA2569"/>
    </row>
    <row r="2570" spans="1:27" x14ac:dyDescent="0.25">
      <c r="A2570"/>
      <c r="B2570" s="36"/>
      <c r="C2570" s="36"/>
      <c r="D2570"/>
      <c r="E2570"/>
      <c r="F2570"/>
      <c r="G2570"/>
      <c r="H2570"/>
      <c r="I2570"/>
      <c r="J2570"/>
      <c r="K2570"/>
      <c r="L2570"/>
      <c r="M2570"/>
      <c r="N2570"/>
      <c r="O2570"/>
      <c r="P2570" s="36"/>
      <c r="Q2570" s="37"/>
      <c r="R2570"/>
      <c r="S2570"/>
      <c r="T2570"/>
      <c r="U2570"/>
      <c r="V2570" s="39"/>
      <c r="W2570"/>
      <c r="X2570"/>
      <c r="Y2570"/>
      <c r="Z2570"/>
      <c r="AA2570"/>
    </row>
    <row r="2571" spans="1:27" x14ac:dyDescent="0.25">
      <c r="A2571"/>
      <c r="B2571" s="36"/>
      <c r="C2571" s="36"/>
      <c r="D2571"/>
      <c r="E2571"/>
      <c r="F2571"/>
      <c r="G2571"/>
      <c r="H2571"/>
      <c r="I2571"/>
      <c r="J2571"/>
      <c r="K2571"/>
      <c r="L2571"/>
      <c r="M2571"/>
      <c r="N2571"/>
      <c r="O2571"/>
      <c r="P2571" s="36"/>
      <c r="Q2571" s="37"/>
      <c r="R2571" s="44"/>
      <c r="S2571"/>
      <c r="T2571"/>
      <c r="U2571"/>
      <c r="V2571" s="39"/>
      <c r="W2571"/>
      <c r="X2571"/>
      <c r="Y2571"/>
      <c r="Z2571"/>
      <c r="AA2571"/>
    </row>
    <row r="2572" spans="1:27" x14ac:dyDescent="0.25">
      <c r="A2572"/>
      <c r="B2572" s="36"/>
      <c r="C2572" s="36"/>
      <c r="D2572"/>
      <c r="E2572"/>
      <c r="F2572"/>
      <c r="G2572"/>
      <c r="H2572"/>
      <c r="I2572"/>
      <c r="J2572"/>
      <c r="K2572"/>
      <c r="L2572"/>
      <c r="M2572"/>
      <c r="N2572"/>
      <c r="O2572"/>
      <c r="P2572" s="36"/>
      <c r="Q2572" s="37"/>
      <c r="R2572"/>
      <c r="S2572"/>
      <c r="T2572"/>
      <c r="U2572"/>
      <c r="V2572" s="39"/>
      <c r="W2572"/>
      <c r="X2572"/>
      <c r="Y2572"/>
      <c r="Z2572"/>
      <c r="AA2572"/>
    </row>
    <row r="2573" spans="1:27" x14ac:dyDescent="0.25">
      <c r="A2573"/>
      <c r="B2573" s="36"/>
      <c r="C2573" s="36"/>
      <c r="D2573"/>
      <c r="E2573"/>
      <c r="F2573"/>
      <c r="G2573"/>
      <c r="H2573"/>
      <c r="I2573"/>
      <c r="J2573"/>
      <c r="K2573"/>
      <c r="L2573"/>
      <c r="M2573"/>
      <c r="N2573"/>
      <c r="O2573"/>
      <c r="P2573" s="36"/>
      <c r="Q2573" s="37"/>
      <c r="R2573"/>
      <c r="S2573"/>
      <c r="T2573"/>
      <c r="U2573"/>
      <c r="V2573" s="39"/>
      <c r="W2573"/>
      <c r="X2573"/>
      <c r="Y2573"/>
      <c r="Z2573"/>
      <c r="AA2573"/>
    </row>
    <row r="2574" spans="1:27" x14ac:dyDescent="0.25">
      <c r="A2574"/>
      <c r="B2574" s="36"/>
      <c r="C2574" s="36"/>
      <c r="D2574"/>
      <c r="E2574"/>
      <c r="F2574"/>
      <c r="G2574"/>
      <c r="H2574"/>
      <c r="I2574"/>
      <c r="J2574"/>
      <c r="K2574"/>
      <c r="L2574"/>
      <c r="M2574"/>
      <c r="N2574"/>
      <c r="O2574"/>
      <c r="P2574" s="36"/>
      <c r="Q2574" s="37"/>
      <c r="R2574"/>
      <c r="S2574"/>
      <c r="T2574"/>
      <c r="U2574"/>
      <c r="V2574" s="39"/>
      <c r="W2574"/>
      <c r="X2574"/>
      <c r="Y2574"/>
      <c r="Z2574"/>
      <c r="AA2574"/>
    </row>
    <row r="2575" spans="1:27" x14ac:dyDescent="0.25">
      <c r="A2575"/>
      <c r="B2575" s="36"/>
      <c r="C2575" s="36"/>
      <c r="D2575"/>
      <c r="E2575"/>
      <c r="F2575"/>
      <c r="G2575"/>
      <c r="H2575"/>
      <c r="I2575"/>
      <c r="J2575"/>
      <c r="K2575"/>
      <c r="L2575"/>
      <c r="M2575"/>
      <c r="N2575"/>
      <c r="O2575"/>
      <c r="P2575" s="36"/>
      <c r="Q2575" s="37"/>
      <c r="R2575"/>
      <c r="S2575"/>
      <c r="T2575"/>
      <c r="U2575"/>
      <c r="V2575" s="39"/>
      <c r="W2575"/>
      <c r="X2575"/>
      <c r="Y2575"/>
      <c r="Z2575"/>
      <c r="AA2575"/>
    </row>
    <row r="2576" spans="1:27" x14ac:dyDescent="0.25">
      <c r="A2576"/>
      <c r="B2576" s="36"/>
      <c r="C2576" s="36"/>
      <c r="D2576"/>
      <c r="E2576"/>
      <c r="F2576"/>
      <c r="G2576"/>
      <c r="H2576"/>
      <c r="I2576"/>
      <c r="J2576"/>
      <c r="K2576"/>
      <c r="L2576"/>
      <c r="M2576"/>
      <c r="N2576"/>
      <c r="O2576"/>
      <c r="P2576" s="36"/>
      <c r="Q2576" s="37"/>
      <c r="R2576"/>
      <c r="S2576"/>
      <c r="T2576"/>
      <c r="U2576"/>
      <c r="V2576" s="39"/>
      <c r="W2576"/>
      <c r="X2576"/>
      <c r="Y2576"/>
      <c r="Z2576"/>
      <c r="AA2576"/>
    </row>
    <row r="2577" spans="1:27" x14ac:dyDescent="0.25">
      <c r="A2577"/>
      <c r="B2577" s="36"/>
      <c r="C2577" s="36"/>
      <c r="D2577"/>
      <c r="E2577"/>
      <c r="F2577"/>
      <c r="G2577"/>
      <c r="H2577"/>
      <c r="I2577"/>
      <c r="J2577"/>
      <c r="K2577"/>
      <c r="L2577"/>
      <c r="M2577"/>
      <c r="N2577"/>
      <c r="O2577"/>
      <c r="P2577" s="36"/>
      <c r="Q2577" s="37"/>
      <c r="R2577"/>
      <c r="S2577"/>
      <c r="T2577"/>
      <c r="U2577"/>
      <c r="V2577" s="39"/>
      <c r="W2577"/>
      <c r="X2577"/>
      <c r="Y2577"/>
      <c r="Z2577"/>
      <c r="AA2577"/>
    </row>
    <row r="2578" spans="1:27" x14ac:dyDescent="0.25">
      <c r="A2578"/>
      <c r="B2578" s="36"/>
      <c r="C2578" s="36"/>
      <c r="D2578"/>
      <c r="E2578"/>
      <c r="F2578"/>
      <c r="G2578"/>
      <c r="H2578"/>
      <c r="I2578"/>
      <c r="J2578"/>
      <c r="K2578"/>
      <c r="L2578"/>
      <c r="M2578"/>
      <c r="N2578"/>
      <c r="O2578"/>
      <c r="P2578" s="36"/>
      <c r="Q2578" s="37"/>
      <c r="R2578"/>
      <c r="S2578"/>
      <c r="T2578"/>
      <c r="U2578"/>
      <c r="V2578" s="39"/>
      <c r="W2578"/>
      <c r="X2578"/>
      <c r="Y2578"/>
      <c r="Z2578"/>
      <c r="AA2578"/>
    </row>
    <row r="2579" spans="1:27" x14ac:dyDescent="0.25">
      <c r="A2579"/>
      <c r="B2579" s="36"/>
      <c r="C2579" s="36"/>
      <c r="D2579"/>
      <c r="E2579"/>
      <c r="F2579"/>
      <c r="G2579"/>
      <c r="H2579"/>
      <c r="I2579"/>
      <c r="J2579"/>
      <c r="K2579"/>
      <c r="L2579"/>
      <c r="M2579"/>
      <c r="N2579"/>
      <c r="O2579"/>
      <c r="P2579" s="36"/>
      <c r="Q2579" s="37"/>
      <c r="R2579"/>
      <c r="S2579"/>
      <c r="T2579"/>
      <c r="U2579"/>
      <c r="V2579" s="39"/>
      <c r="W2579"/>
      <c r="X2579"/>
      <c r="Y2579"/>
      <c r="Z2579"/>
      <c r="AA2579"/>
    </row>
    <row r="2580" spans="1:27" x14ac:dyDescent="0.25">
      <c r="A2580"/>
      <c r="B2580" s="36"/>
      <c r="C2580" s="36"/>
      <c r="D2580"/>
      <c r="E2580"/>
      <c r="F2580"/>
      <c r="G2580"/>
      <c r="H2580"/>
      <c r="I2580"/>
      <c r="J2580"/>
      <c r="K2580"/>
      <c r="L2580"/>
      <c r="M2580"/>
      <c r="N2580"/>
      <c r="O2580"/>
      <c r="P2580" s="36"/>
      <c r="Q2580" s="37"/>
      <c r="R2580"/>
      <c r="S2580"/>
      <c r="T2580"/>
      <c r="U2580"/>
      <c r="V2580" s="39"/>
      <c r="W2580"/>
      <c r="X2580"/>
      <c r="Y2580"/>
      <c r="Z2580"/>
      <c r="AA2580"/>
    </row>
    <row r="2581" spans="1:27" x14ac:dyDescent="0.25">
      <c r="A2581"/>
      <c r="B2581" s="36"/>
      <c r="C2581" s="36"/>
      <c r="D2581"/>
      <c r="E2581"/>
      <c r="F2581"/>
      <c r="G2581"/>
      <c r="H2581"/>
      <c r="I2581"/>
      <c r="J2581"/>
      <c r="K2581"/>
      <c r="L2581"/>
      <c r="M2581"/>
      <c r="N2581"/>
      <c r="O2581"/>
      <c r="P2581" s="36"/>
      <c r="Q2581" s="37"/>
      <c r="R2581"/>
      <c r="S2581"/>
      <c r="T2581"/>
      <c r="U2581"/>
      <c r="V2581" s="39"/>
      <c r="W2581"/>
      <c r="X2581"/>
      <c r="Y2581"/>
      <c r="Z2581"/>
      <c r="AA2581"/>
    </row>
    <row r="2582" spans="1:27" x14ac:dyDescent="0.25">
      <c r="A2582"/>
      <c r="B2582" s="36"/>
      <c r="C2582" s="36"/>
      <c r="D2582"/>
      <c r="E2582"/>
      <c r="F2582"/>
      <c r="G2582"/>
      <c r="H2582"/>
      <c r="I2582"/>
      <c r="J2582"/>
      <c r="K2582"/>
      <c r="L2582"/>
      <c r="M2582"/>
      <c r="N2582"/>
      <c r="O2582"/>
      <c r="P2582" s="36"/>
      <c r="Q2582" s="37"/>
      <c r="R2582"/>
      <c r="S2582"/>
      <c r="T2582"/>
      <c r="U2582"/>
      <c r="V2582" s="39"/>
      <c r="W2582"/>
      <c r="X2582"/>
      <c r="Y2582"/>
      <c r="Z2582"/>
      <c r="AA2582"/>
    </row>
    <row r="2583" spans="1:27" x14ac:dyDescent="0.25">
      <c r="A2583"/>
      <c r="B2583" s="36"/>
      <c r="C2583" s="36"/>
      <c r="D2583"/>
      <c r="E2583"/>
      <c r="F2583"/>
      <c r="G2583"/>
      <c r="H2583"/>
      <c r="I2583"/>
      <c r="J2583"/>
      <c r="K2583"/>
      <c r="L2583"/>
      <c r="M2583"/>
      <c r="N2583"/>
      <c r="O2583"/>
      <c r="P2583" s="36"/>
      <c r="Q2583" s="37"/>
      <c r="R2583"/>
      <c r="S2583"/>
      <c r="T2583"/>
      <c r="U2583"/>
      <c r="V2583" s="39"/>
      <c r="W2583"/>
      <c r="X2583"/>
      <c r="Y2583"/>
      <c r="Z2583"/>
      <c r="AA2583"/>
    </row>
    <row r="2584" spans="1:27" x14ac:dyDescent="0.25">
      <c r="A2584"/>
      <c r="B2584" s="36"/>
      <c r="C2584" s="36"/>
      <c r="D2584"/>
      <c r="E2584"/>
      <c r="F2584"/>
      <c r="G2584"/>
      <c r="H2584"/>
      <c r="I2584"/>
      <c r="J2584"/>
      <c r="K2584"/>
      <c r="L2584"/>
      <c r="M2584"/>
      <c r="N2584"/>
      <c r="O2584"/>
      <c r="P2584" s="36"/>
      <c r="Q2584" s="37"/>
      <c r="R2584"/>
      <c r="S2584"/>
      <c r="T2584"/>
      <c r="U2584"/>
      <c r="V2584" s="39"/>
      <c r="W2584"/>
      <c r="X2584"/>
      <c r="Y2584"/>
      <c r="Z2584"/>
      <c r="AA2584"/>
    </row>
    <row r="2585" spans="1:27" x14ac:dyDescent="0.25">
      <c r="A2585"/>
      <c r="B2585" s="36"/>
      <c r="C2585" s="36"/>
      <c r="D2585"/>
      <c r="E2585"/>
      <c r="F2585"/>
      <c r="G2585"/>
      <c r="H2585"/>
      <c r="I2585"/>
      <c r="J2585"/>
      <c r="K2585"/>
      <c r="L2585"/>
      <c r="M2585"/>
      <c r="N2585"/>
      <c r="O2585"/>
      <c r="P2585" s="36"/>
      <c r="Q2585" s="37"/>
      <c r="R2585"/>
      <c r="S2585"/>
      <c r="T2585"/>
      <c r="U2585"/>
      <c r="V2585" s="39"/>
      <c r="W2585"/>
      <c r="X2585"/>
      <c r="Y2585"/>
      <c r="Z2585"/>
      <c r="AA2585"/>
    </row>
    <row r="2586" spans="1:27" x14ac:dyDescent="0.25">
      <c r="A2586"/>
      <c r="B2586" s="36"/>
      <c r="C2586" s="36"/>
      <c r="D2586"/>
      <c r="E2586"/>
      <c r="F2586"/>
      <c r="G2586"/>
      <c r="H2586"/>
      <c r="I2586"/>
      <c r="J2586"/>
      <c r="K2586"/>
      <c r="L2586"/>
      <c r="M2586"/>
      <c r="N2586"/>
      <c r="O2586"/>
      <c r="P2586" s="36"/>
      <c r="Q2586" s="37"/>
      <c r="R2586"/>
      <c r="S2586"/>
      <c r="T2586"/>
      <c r="U2586"/>
      <c r="V2586" s="39"/>
      <c r="W2586"/>
      <c r="X2586"/>
      <c r="Y2586"/>
      <c r="Z2586"/>
      <c r="AA2586"/>
    </row>
    <row r="2587" spans="1:27" x14ac:dyDescent="0.25">
      <c r="A2587"/>
      <c r="B2587" s="36"/>
      <c r="C2587" s="36"/>
      <c r="D2587"/>
      <c r="E2587"/>
      <c r="F2587"/>
      <c r="G2587"/>
      <c r="H2587"/>
      <c r="I2587"/>
      <c r="J2587"/>
      <c r="K2587"/>
      <c r="L2587"/>
      <c r="M2587"/>
      <c r="N2587"/>
      <c r="O2587"/>
      <c r="P2587" s="36"/>
      <c r="Q2587" s="37"/>
      <c r="R2587"/>
      <c r="S2587"/>
      <c r="T2587"/>
      <c r="U2587"/>
      <c r="V2587" s="39"/>
      <c r="W2587"/>
      <c r="X2587"/>
      <c r="Y2587"/>
      <c r="Z2587"/>
      <c r="AA2587"/>
    </row>
    <row r="2588" spans="1:27" x14ac:dyDescent="0.25">
      <c r="A2588"/>
      <c r="B2588" s="36"/>
      <c r="C2588" s="36"/>
      <c r="D2588"/>
      <c r="E2588"/>
      <c r="F2588"/>
      <c r="G2588"/>
      <c r="H2588"/>
      <c r="I2588"/>
      <c r="J2588"/>
      <c r="K2588"/>
      <c r="L2588"/>
      <c r="M2588"/>
      <c r="N2588"/>
      <c r="O2588"/>
      <c r="P2588" s="36"/>
      <c r="Q2588" s="37"/>
      <c r="R2588"/>
      <c r="S2588"/>
      <c r="T2588"/>
      <c r="U2588"/>
      <c r="V2588" s="39"/>
      <c r="W2588"/>
      <c r="X2588"/>
      <c r="Y2588"/>
      <c r="Z2588"/>
      <c r="AA2588"/>
    </row>
    <row r="2589" spans="1:27" x14ac:dyDescent="0.25">
      <c r="A2589"/>
      <c r="B2589" s="36"/>
      <c r="C2589" s="36"/>
      <c r="D2589"/>
      <c r="E2589"/>
      <c r="F2589"/>
      <c r="G2589"/>
      <c r="H2589"/>
      <c r="I2589"/>
      <c r="J2589"/>
      <c r="K2589"/>
      <c r="L2589"/>
      <c r="M2589"/>
      <c r="N2589"/>
      <c r="O2589"/>
      <c r="P2589" s="36"/>
      <c r="Q2589" s="37"/>
      <c r="R2589"/>
      <c r="S2589"/>
      <c r="T2589"/>
      <c r="U2589"/>
      <c r="V2589" s="39"/>
      <c r="W2589"/>
      <c r="X2589"/>
      <c r="Y2589"/>
      <c r="Z2589"/>
      <c r="AA2589"/>
    </row>
    <row r="2590" spans="1:27" x14ac:dyDescent="0.25">
      <c r="A2590"/>
      <c r="B2590" s="36"/>
      <c r="C2590" s="36"/>
      <c r="D2590"/>
      <c r="E2590"/>
      <c r="F2590"/>
      <c r="G2590"/>
      <c r="H2590"/>
      <c r="I2590"/>
      <c r="J2590"/>
      <c r="K2590"/>
      <c r="L2590"/>
      <c r="M2590"/>
      <c r="N2590"/>
      <c r="O2590"/>
      <c r="P2590" s="36"/>
      <c r="Q2590" s="37"/>
      <c r="R2590"/>
      <c r="S2590"/>
      <c r="T2590"/>
      <c r="U2590"/>
      <c r="V2590" s="39"/>
      <c r="W2590"/>
      <c r="X2590"/>
      <c r="Y2590"/>
      <c r="Z2590"/>
      <c r="AA2590"/>
    </row>
    <row r="2591" spans="1:27" x14ac:dyDescent="0.25">
      <c r="A2591"/>
      <c r="B2591" s="36"/>
      <c r="C2591" s="36"/>
      <c r="D2591"/>
      <c r="E2591"/>
      <c r="F2591"/>
      <c r="G2591"/>
      <c r="H2591"/>
      <c r="I2591"/>
      <c r="J2591"/>
      <c r="K2591"/>
      <c r="L2591"/>
      <c r="M2591"/>
      <c r="N2591"/>
      <c r="O2591"/>
      <c r="P2591" s="36"/>
      <c r="Q2591" s="37"/>
      <c r="R2591"/>
      <c r="S2591"/>
      <c r="T2591"/>
      <c r="U2591"/>
      <c r="V2591" s="39"/>
      <c r="W2591"/>
      <c r="X2591"/>
      <c r="Y2591"/>
      <c r="Z2591"/>
      <c r="AA2591"/>
    </row>
    <row r="2592" spans="1:27" x14ac:dyDescent="0.25">
      <c r="A2592"/>
      <c r="B2592" s="36"/>
      <c r="C2592" s="36"/>
      <c r="D2592"/>
      <c r="E2592"/>
      <c r="F2592"/>
      <c r="G2592"/>
      <c r="H2592"/>
      <c r="I2592"/>
      <c r="J2592"/>
      <c r="K2592"/>
      <c r="L2592"/>
      <c r="M2592"/>
      <c r="N2592"/>
      <c r="O2592"/>
      <c r="P2592" s="36"/>
      <c r="Q2592" s="37"/>
      <c r="R2592"/>
      <c r="S2592"/>
      <c r="T2592"/>
      <c r="U2592"/>
      <c r="V2592" s="39"/>
      <c r="W2592"/>
      <c r="X2592"/>
      <c r="Y2592"/>
      <c r="Z2592"/>
      <c r="AA2592"/>
    </row>
    <row r="2593" spans="1:27" x14ac:dyDescent="0.25">
      <c r="A2593"/>
      <c r="B2593" s="36"/>
      <c r="C2593" s="36"/>
      <c r="D2593"/>
      <c r="E2593"/>
      <c r="F2593"/>
      <c r="G2593"/>
      <c r="H2593"/>
      <c r="I2593"/>
      <c r="J2593"/>
      <c r="K2593"/>
      <c r="L2593"/>
      <c r="M2593"/>
      <c r="N2593"/>
      <c r="O2593"/>
      <c r="P2593" s="36"/>
      <c r="Q2593" s="37"/>
      <c r="R2593"/>
      <c r="S2593"/>
      <c r="T2593"/>
      <c r="U2593"/>
      <c r="V2593" s="39"/>
      <c r="W2593"/>
      <c r="X2593"/>
      <c r="Y2593"/>
      <c r="Z2593"/>
      <c r="AA2593"/>
    </row>
    <row r="2594" spans="1:27" x14ac:dyDescent="0.25">
      <c r="A2594"/>
      <c r="B2594" s="36"/>
      <c r="C2594" s="36"/>
      <c r="D2594"/>
      <c r="E2594"/>
      <c r="F2594"/>
      <c r="G2594"/>
      <c r="H2594"/>
      <c r="I2594"/>
      <c r="J2594"/>
      <c r="K2594"/>
      <c r="L2594"/>
      <c r="M2594"/>
      <c r="N2594"/>
      <c r="O2594"/>
      <c r="P2594" s="36"/>
      <c r="Q2594" s="37"/>
      <c r="R2594"/>
      <c r="S2594"/>
      <c r="T2594"/>
      <c r="U2594"/>
      <c r="V2594" s="39"/>
      <c r="W2594"/>
      <c r="X2594"/>
      <c r="Y2594"/>
      <c r="Z2594"/>
      <c r="AA2594"/>
    </row>
    <row r="2595" spans="1:27" x14ac:dyDescent="0.25">
      <c r="A2595"/>
      <c r="B2595" s="36"/>
      <c r="C2595" s="36"/>
      <c r="D2595"/>
      <c r="E2595"/>
      <c r="F2595"/>
      <c r="G2595"/>
      <c r="H2595"/>
      <c r="I2595"/>
      <c r="J2595"/>
      <c r="K2595"/>
      <c r="L2595"/>
      <c r="M2595"/>
      <c r="N2595"/>
      <c r="O2595"/>
      <c r="P2595" s="36"/>
      <c r="Q2595" s="37"/>
      <c r="R2595"/>
      <c r="S2595"/>
      <c r="T2595"/>
      <c r="U2595"/>
      <c r="V2595" s="39"/>
      <c r="W2595"/>
      <c r="X2595"/>
      <c r="Y2595"/>
      <c r="Z2595"/>
      <c r="AA2595"/>
    </row>
    <row r="2596" spans="1:27" x14ac:dyDescent="0.25">
      <c r="A2596"/>
      <c r="B2596" s="36"/>
      <c r="C2596" s="36"/>
      <c r="D2596"/>
      <c r="E2596"/>
      <c r="F2596"/>
      <c r="G2596"/>
      <c r="H2596"/>
      <c r="I2596"/>
      <c r="J2596"/>
      <c r="K2596"/>
      <c r="L2596"/>
      <c r="M2596"/>
      <c r="N2596"/>
      <c r="O2596"/>
      <c r="P2596" s="36"/>
      <c r="Q2596" s="37"/>
      <c r="R2596"/>
      <c r="S2596"/>
      <c r="T2596"/>
      <c r="U2596"/>
      <c r="V2596" s="39"/>
      <c r="W2596"/>
      <c r="X2596"/>
      <c r="Y2596"/>
      <c r="Z2596"/>
      <c r="AA2596"/>
    </row>
    <row r="2597" spans="1:27" x14ac:dyDescent="0.25">
      <c r="A2597"/>
      <c r="B2597" s="36"/>
      <c r="C2597" s="36"/>
      <c r="D2597"/>
      <c r="E2597"/>
      <c r="F2597"/>
      <c r="G2597"/>
      <c r="H2597"/>
      <c r="I2597"/>
      <c r="J2597"/>
      <c r="K2597"/>
      <c r="L2597"/>
      <c r="M2597"/>
      <c r="N2597"/>
      <c r="O2597"/>
      <c r="P2597" s="36"/>
      <c r="Q2597" s="37"/>
      <c r="R2597" s="44"/>
      <c r="S2597"/>
      <c r="T2597"/>
      <c r="U2597"/>
      <c r="V2597" s="39"/>
      <c r="W2597"/>
      <c r="X2597"/>
      <c r="Y2597"/>
      <c r="Z2597"/>
      <c r="AA2597"/>
    </row>
    <row r="2598" spans="1:27" x14ac:dyDescent="0.25">
      <c r="A2598"/>
      <c r="B2598" s="36"/>
      <c r="C2598" s="36"/>
      <c r="D2598"/>
      <c r="E2598"/>
      <c r="F2598"/>
      <c r="G2598"/>
      <c r="H2598"/>
      <c r="I2598"/>
      <c r="J2598"/>
      <c r="K2598"/>
      <c r="L2598"/>
      <c r="M2598"/>
      <c r="N2598"/>
      <c r="O2598"/>
      <c r="P2598" s="36"/>
      <c r="Q2598" s="37"/>
      <c r="R2598"/>
      <c r="S2598"/>
      <c r="T2598"/>
      <c r="U2598"/>
      <c r="V2598" s="39"/>
      <c r="W2598"/>
      <c r="X2598"/>
      <c r="Y2598"/>
      <c r="Z2598"/>
      <c r="AA2598"/>
    </row>
    <row r="2599" spans="1:27" x14ac:dyDescent="0.25">
      <c r="A2599"/>
      <c r="B2599" s="36"/>
      <c r="C2599" s="36"/>
      <c r="D2599"/>
      <c r="E2599"/>
      <c r="F2599"/>
      <c r="G2599"/>
      <c r="H2599"/>
      <c r="I2599"/>
      <c r="J2599"/>
      <c r="K2599"/>
      <c r="L2599"/>
      <c r="M2599"/>
      <c r="N2599"/>
      <c r="O2599"/>
      <c r="P2599" s="36"/>
      <c r="Q2599" s="37"/>
      <c r="R2599"/>
      <c r="S2599"/>
      <c r="T2599"/>
      <c r="U2599"/>
      <c r="V2599" s="39"/>
      <c r="W2599"/>
      <c r="X2599"/>
      <c r="Y2599"/>
      <c r="Z2599"/>
      <c r="AA2599"/>
    </row>
    <row r="2600" spans="1:27" x14ac:dyDescent="0.25">
      <c r="A2600"/>
      <c r="B2600" s="36"/>
      <c r="C2600" s="36"/>
      <c r="D2600"/>
      <c r="E2600"/>
      <c r="F2600"/>
      <c r="G2600"/>
      <c r="H2600"/>
      <c r="I2600"/>
      <c r="J2600"/>
      <c r="K2600"/>
      <c r="L2600"/>
      <c r="M2600"/>
      <c r="N2600"/>
      <c r="O2600"/>
      <c r="P2600" s="36"/>
      <c r="Q2600" s="37"/>
      <c r="R2600"/>
      <c r="S2600"/>
      <c r="T2600"/>
      <c r="U2600"/>
      <c r="V2600" s="39"/>
      <c r="W2600"/>
      <c r="X2600"/>
      <c r="Y2600"/>
      <c r="Z2600"/>
      <c r="AA2600"/>
    </row>
    <row r="2601" spans="1:27" x14ac:dyDescent="0.25">
      <c r="A2601"/>
      <c r="B2601" s="36"/>
      <c r="C2601" s="36"/>
      <c r="D2601"/>
      <c r="E2601"/>
      <c r="F2601"/>
      <c r="G2601"/>
      <c r="H2601"/>
      <c r="I2601"/>
      <c r="J2601"/>
      <c r="K2601"/>
      <c r="L2601"/>
      <c r="M2601"/>
      <c r="N2601"/>
      <c r="O2601"/>
      <c r="P2601" s="36"/>
      <c r="Q2601" s="37"/>
      <c r="R2601"/>
      <c r="S2601"/>
      <c r="T2601"/>
      <c r="U2601"/>
      <c r="V2601" s="39"/>
      <c r="W2601"/>
      <c r="X2601"/>
      <c r="Y2601"/>
      <c r="Z2601"/>
      <c r="AA2601"/>
    </row>
    <row r="2602" spans="1:27" x14ac:dyDescent="0.25">
      <c r="A2602"/>
      <c r="B2602" s="36"/>
      <c r="C2602" s="36"/>
      <c r="D2602"/>
      <c r="E2602"/>
      <c r="F2602"/>
      <c r="G2602"/>
      <c r="H2602"/>
      <c r="I2602"/>
      <c r="J2602"/>
      <c r="K2602"/>
      <c r="L2602"/>
      <c r="M2602"/>
      <c r="N2602"/>
      <c r="O2602"/>
      <c r="P2602" s="36"/>
      <c r="Q2602" s="37"/>
      <c r="R2602"/>
      <c r="S2602"/>
      <c r="T2602"/>
      <c r="U2602"/>
      <c r="V2602" s="39"/>
      <c r="W2602"/>
      <c r="X2602"/>
      <c r="Y2602"/>
      <c r="Z2602"/>
      <c r="AA2602"/>
    </row>
    <row r="2603" spans="1:27" x14ac:dyDescent="0.25">
      <c r="A2603"/>
      <c r="B2603" s="36"/>
      <c r="C2603" s="36"/>
      <c r="D2603"/>
      <c r="E2603"/>
      <c r="F2603"/>
      <c r="G2603"/>
      <c r="H2603"/>
      <c r="I2603"/>
      <c r="J2603"/>
      <c r="K2603"/>
      <c r="L2603"/>
      <c r="M2603"/>
      <c r="N2603"/>
      <c r="O2603"/>
      <c r="P2603" s="36"/>
      <c r="Q2603" s="37"/>
      <c r="R2603"/>
      <c r="S2603"/>
      <c r="T2603"/>
      <c r="U2603"/>
      <c r="V2603" s="39"/>
      <c r="W2603"/>
      <c r="X2603"/>
      <c r="Y2603"/>
      <c r="Z2603"/>
      <c r="AA2603"/>
    </row>
    <row r="2604" spans="1:27" x14ac:dyDescent="0.25">
      <c r="A2604"/>
      <c r="B2604" s="36"/>
      <c r="C2604" s="36"/>
      <c r="D2604"/>
      <c r="E2604"/>
      <c r="F2604"/>
      <c r="G2604"/>
      <c r="H2604"/>
      <c r="I2604"/>
      <c r="J2604"/>
      <c r="K2604"/>
      <c r="L2604"/>
      <c r="M2604"/>
      <c r="N2604"/>
      <c r="O2604"/>
      <c r="P2604" s="36"/>
      <c r="Q2604" s="37"/>
      <c r="R2604"/>
      <c r="S2604"/>
      <c r="T2604"/>
      <c r="U2604"/>
      <c r="V2604" s="39"/>
      <c r="W2604"/>
      <c r="X2604"/>
      <c r="Y2604"/>
      <c r="Z2604"/>
      <c r="AA2604"/>
    </row>
    <row r="2605" spans="1:27" x14ac:dyDescent="0.25">
      <c r="A2605"/>
      <c r="B2605" s="36"/>
      <c r="C2605" s="36"/>
      <c r="D2605"/>
      <c r="E2605"/>
      <c r="F2605"/>
      <c r="G2605"/>
      <c r="H2605"/>
      <c r="I2605"/>
      <c r="J2605"/>
      <c r="K2605"/>
      <c r="L2605"/>
      <c r="M2605"/>
      <c r="N2605"/>
      <c r="O2605"/>
      <c r="P2605" s="36"/>
      <c r="Q2605" s="37"/>
      <c r="R2605"/>
      <c r="S2605"/>
      <c r="T2605"/>
      <c r="U2605"/>
      <c r="V2605" s="39"/>
      <c r="W2605"/>
      <c r="X2605"/>
      <c r="Y2605"/>
      <c r="Z2605"/>
      <c r="AA2605"/>
    </row>
    <row r="2606" spans="1:27" x14ac:dyDescent="0.25">
      <c r="A2606"/>
      <c r="B2606" s="36"/>
      <c r="C2606" s="36"/>
      <c r="D2606"/>
      <c r="E2606"/>
      <c r="F2606"/>
      <c r="G2606"/>
      <c r="H2606"/>
      <c r="I2606"/>
      <c r="J2606"/>
      <c r="K2606"/>
      <c r="L2606"/>
      <c r="M2606"/>
      <c r="N2606"/>
      <c r="O2606"/>
      <c r="P2606" s="36"/>
      <c r="Q2606" s="37"/>
      <c r="R2606"/>
      <c r="S2606"/>
      <c r="T2606"/>
      <c r="U2606"/>
      <c r="V2606" s="39"/>
      <c r="W2606"/>
      <c r="X2606"/>
      <c r="Y2606"/>
      <c r="Z2606"/>
      <c r="AA2606"/>
    </row>
    <row r="2607" spans="1:27" x14ac:dyDescent="0.25">
      <c r="A2607"/>
      <c r="B2607" s="36"/>
      <c r="C2607" s="36"/>
      <c r="D2607"/>
      <c r="E2607"/>
      <c r="F2607"/>
      <c r="G2607"/>
      <c r="H2607"/>
      <c r="I2607"/>
      <c r="J2607"/>
      <c r="K2607"/>
      <c r="L2607"/>
      <c r="M2607"/>
      <c r="N2607"/>
      <c r="O2607"/>
      <c r="P2607" s="36"/>
      <c r="Q2607" s="37"/>
      <c r="R2607"/>
      <c r="S2607"/>
      <c r="T2607"/>
      <c r="U2607"/>
      <c r="V2607" s="39"/>
      <c r="W2607"/>
      <c r="X2607"/>
      <c r="Y2607"/>
      <c r="Z2607"/>
      <c r="AA2607"/>
    </row>
    <row r="2608" spans="1:27" x14ac:dyDescent="0.25">
      <c r="A2608"/>
      <c r="B2608" s="36"/>
      <c r="C2608" s="36"/>
      <c r="D2608"/>
      <c r="E2608"/>
      <c r="F2608"/>
      <c r="G2608"/>
      <c r="H2608"/>
      <c r="I2608"/>
      <c r="J2608"/>
      <c r="K2608"/>
      <c r="L2608"/>
      <c r="M2608"/>
      <c r="N2608"/>
      <c r="O2608"/>
      <c r="P2608" s="36"/>
      <c r="Q2608" s="37"/>
      <c r="R2608"/>
      <c r="S2608"/>
      <c r="T2608"/>
      <c r="U2608"/>
      <c r="V2608" s="39"/>
      <c r="W2608"/>
      <c r="X2608"/>
      <c r="Y2608"/>
      <c r="Z2608"/>
      <c r="AA2608"/>
    </row>
    <row r="2609" spans="1:27" x14ac:dyDescent="0.25">
      <c r="A2609"/>
      <c r="B2609" s="36"/>
      <c r="C2609" s="36"/>
      <c r="D2609"/>
      <c r="E2609"/>
      <c r="F2609"/>
      <c r="G2609"/>
      <c r="H2609"/>
      <c r="I2609"/>
      <c r="J2609"/>
      <c r="K2609"/>
      <c r="L2609"/>
      <c r="M2609"/>
      <c r="N2609"/>
      <c r="O2609"/>
      <c r="P2609" s="36"/>
      <c r="Q2609" s="37"/>
      <c r="R2609"/>
      <c r="S2609"/>
      <c r="T2609"/>
      <c r="U2609"/>
      <c r="V2609" s="39"/>
      <c r="W2609"/>
      <c r="X2609"/>
      <c r="Y2609"/>
      <c r="Z2609"/>
      <c r="AA2609"/>
    </row>
    <row r="2610" spans="1:27" x14ac:dyDescent="0.25">
      <c r="A2610"/>
      <c r="B2610" s="36"/>
      <c r="C2610" s="36"/>
      <c r="D2610"/>
      <c r="E2610"/>
      <c r="F2610"/>
      <c r="G2610"/>
      <c r="H2610"/>
      <c r="I2610"/>
      <c r="J2610"/>
      <c r="K2610"/>
      <c r="L2610"/>
      <c r="M2610"/>
      <c r="N2610"/>
      <c r="O2610"/>
      <c r="P2610" s="36"/>
      <c r="Q2610" s="37"/>
      <c r="R2610"/>
      <c r="S2610"/>
      <c r="T2610"/>
      <c r="U2610"/>
      <c r="V2610" s="39"/>
      <c r="W2610"/>
      <c r="X2610"/>
      <c r="Y2610"/>
      <c r="Z2610"/>
      <c r="AA2610"/>
    </row>
    <row r="2611" spans="1:27" x14ac:dyDescent="0.25">
      <c r="A2611"/>
      <c r="B2611" s="36"/>
      <c r="C2611" s="36"/>
      <c r="D2611"/>
      <c r="E2611"/>
      <c r="F2611"/>
      <c r="G2611"/>
      <c r="H2611"/>
      <c r="I2611"/>
      <c r="J2611"/>
      <c r="K2611"/>
      <c r="L2611"/>
      <c r="M2611"/>
      <c r="N2611"/>
      <c r="O2611"/>
      <c r="P2611" s="36"/>
      <c r="Q2611" s="37"/>
      <c r="R2611"/>
      <c r="S2611"/>
      <c r="T2611"/>
      <c r="U2611"/>
      <c r="V2611" s="39"/>
      <c r="W2611"/>
      <c r="X2611"/>
      <c r="Y2611"/>
      <c r="Z2611"/>
      <c r="AA2611"/>
    </row>
    <row r="2612" spans="1:27" x14ac:dyDescent="0.25">
      <c r="A2612"/>
      <c r="B2612" s="36"/>
      <c r="C2612" s="36"/>
      <c r="D2612"/>
      <c r="E2612"/>
      <c r="F2612"/>
      <c r="G2612"/>
      <c r="H2612"/>
      <c r="I2612"/>
      <c r="J2612"/>
      <c r="K2612"/>
      <c r="L2612"/>
      <c r="M2612"/>
      <c r="N2612"/>
      <c r="O2612"/>
      <c r="P2612" s="36"/>
      <c r="Q2612" s="37"/>
      <c r="R2612"/>
      <c r="S2612"/>
      <c r="T2612"/>
      <c r="U2612"/>
      <c r="V2612" s="39"/>
      <c r="W2612"/>
      <c r="X2612"/>
      <c r="Y2612"/>
      <c r="Z2612"/>
      <c r="AA2612"/>
    </row>
    <row r="2613" spans="1:27" x14ac:dyDescent="0.25">
      <c r="A2613"/>
      <c r="B2613" s="36"/>
      <c r="C2613" s="36"/>
      <c r="D2613"/>
      <c r="E2613"/>
      <c r="F2613"/>
      <c r="G2613"/>
      <c r="H2613"/>
      <c r="I2613"/>
      <c r="J2613"/>
      <c r="K2613"/>
      <c r="L2613"/>
      <c r="M2613"/>
      <c r="N2613"/>
      <c r="O2613"/>
      <c r="P2613" s="36"/>
      <c r="Q2613" s="37"/>
      <c r="R2613"/>
      <c r="S2613"/>
      <c r="T2613"/>
      <c r="U2613"/>
      <c r="V2613" s="39"/>
      <c r="W2613"/>
      <c r="X2613"/>
      <c r="Y2613"/>
      <c r="Z2613"/>
      <c r="AA2613"/>
    </row>
    <row r="2614" spans="1:27" x14ac:dyDescent="0.25">
      <c r="A2614"/>
      <c r="B2614" s="36"/>
      <c r="C2614" s="36"/>
      <c r="D2614"/>
      <c r="E2614"/>
      <c r="F2614"/>
      <c r="G2614"/>
      <c r="H2614"/>
      <c r="I2614"/>
      <c r="J2614"/>
      <c r="K2614"/>
      <c r="L2614"/>
      <c r="M2614"/>
      <c r="N2614"/>
      <c r="O2614"/>
      <c r="P2614" s="36"/>
      <c r="Q2614" s="37"/>
      <c r="R2614"/>
      <c r="S2614"/>
      <c r="T2614"/>
      <c r="U2614"/>
      <c r="V2614" s="39"/>
      <c r="W2614"/>
      <c r="X2614"/>
      <c r="Y2614"/>
      <c r="Z2614"/>
      <c r="AA2614"/>
    </row>
    <row r="2615" spans="1:27" x14ac:dyDescent="0.25">
      <c r="A2615"/>
      <c r="B2615" s="36"/>
      <c r="C2615" s="36"/>
      <c r="D2615"/>
      <c r="E2615"/>
      <c r="F2615"/>
      <c r="G2615"/>
      <c r="H2615"/>
      <c r="I2615"/>
      <c r="J2615"/>
      <c r="K2615"/>
      <c r="L2615"/>
      <c r="M2615"/>
      <c r="N2615"/>
      <c r="O2615"/>
      <c r="P2615" s="36"/>
      <c r="Q2615" s="37"/>
      <c r="R2615"/>
      <c r="S2615"/>
      <c r="T2615"/>
      <c r="U2615"/>
      <c r="V2615" s="39"/>
      <c r="W2615"/>
      <c r="X2615"/>
      <c r="Y2615"/>
      <c r="Z2615"/>
      <c r="AA2615"/>
    </row>
    <row r="2616" spans="1:27" x14ac:dyDescent="0.25">
      <c r="A2616"/>
      <c r="B2616" s="36"/>
      <c r="C2616" s="36"/>
      <c r="D2616"/>
      <c r="E2616"/>
      <c r="F2616"/>
      <c r="G2616"/>
      <c r="H2616"/>
      <c r="I2616"/>
      <c r="J2616"/>
      <c r="K2616"/>
      <c r="L2616"/>
      <c r="M2616"/>
      <c r="N2616"/>
      <c r="O2616"/>
      <c r="P2616" s="36"/>
      <c r="Q2616" s="37"/>
      <c r="R2616"/>
      <c r="S2616"/>
      <c r="T2616"/>
      <c r="U2616"/>
      <c r="V2616" s="39"/>
      <c r="W2616"/>
      <c r="X2616"/>
      <c r="Y2616"/>
      <c r="Z2616"/>
      <c r="AA2616"/>
    </row>
    <row r="2617" spans="1:27" x14ac:dyDescent="0.25">
      <c r="A2617"/>
      <c r="B2617" s="36"/>
      <c r="C2617" s="36"/>
      <c r="D2617"/>
      <c r="E2617"/>
      <c r="F2617"/>
      <c r="G2617"/>
      <c r="H2617"/>
      <c r="I2617"/>
      <c r="J2617"/>
      <c r="K2617"/>
      <c r="L2617"/>
      <c r="M2617"/>
      <c r="N2617"/>
      <c r="O2617"/>
      <c r="P2617" s="36"/>
      <c r="Q2617" s="37"/>
      <c r="R2617"/>
      <c r="S2617"/>
      <c r="T2617"/>
      <c r="U2617"/>
      <c r="V2617" s="39"/>
      <c r="W2617"/>
      <c r="X2617"/>
      <c r="Y2617"/>
      <c r="Z2617"/>
      <c r="AA2617"/>
    </row>
    <row r="2618" spans="1:27" x14ac:dyDescent="0.25">
      <c r="A2618"/>
      <c r="B2618" s="36"/>
      <c r="C2618" s="36"/>
      <c r="D2618"/>
      <c r="E2618"/>
      <c r="F2618"/>
      <c r="G2618"/>
      <c r="H2618"/>
      <c r="I2618"/>
      <c r="J2618"/>
      <c r="K2618"/>
      <c r="L2618"/>
      <c r="M2618"/>
      <c r="N2618"/>
      <c r="O2618"/>
      <c r="P2618" s="36"/>
      <c r="Q2618" s="37"/>
      <c r="R2618"/>
      <c r="S2618"/>
      <c r="T2618"/>
      <c r="U2618"/>
      <c r="V2618" s="39"/>
      <c r="W2618"/>
      <c r="X2618"/>
      <c r="Y2618"/>
      <c r="Z2618"/>
      <c r="AA2618"/>
    </row>
    <row r="2619" spans="1:27" x14ac:dyDescent="0.25">
      <c r="A2619"/>
      <c r="B2619" s="36"/>
      <c r="C2619" s="36"/>
      <c r="D2619"/>
      <c r="E2619"/>
      <c r="F2619"/>
      <c r="G2619"/>
      <c r="H2619"/>
      <c r="I2619"/>
      <c r="J2619"/>
      <c r="K2619"/>
      <c r="L2619"/>
      <c r="M2619"/>
      <c r="N2619"/>
      <c r="O2619"/>
      <c r="P2619" s="36"/>
      <c r="Q2619" s="37"/>
      <c r="R2619"/>
      <c r="S2619"/>
      <c r="T2619"/>
      <c r="U2619"/>
      <c r="V2619" s="39"/>
      <c r="W2619"/>
      <c r="X2619"/>
      <c r="Y2619"/>
      <c r="Z2619"/>
      <c r="AA2619"/>
    </row>
    <row r="2620" spans="1:27" x14ac:dyDescent="0.25">
      <c r="A2620"/>
      <c r="B2620" s="36"/>
      <c r="C2620" s="36"/>
      <c r="D2620"/>
      <c r="E2620"/>
      <c r="F2620"/>
      <c r="G2620"/>
      <c r="H2620"/>
      <c r="I2620"/>
      <c r="J2620"/>
      <c r="K2620"/>
      <c r="L2620"/>
      <c r="M2620"/>
      <c r="N2620"/>
      <c r="O2620"/>
      <c r="P2620" s="36"/>
      <c r="Q2620" s="37"/>
      <c r="R2620"/>
      <c r="S2620"/>
      <c r="T2620"/>
      <c r="U2620"/>
      <c r="V2620" s="39"/>
      <c r="W2620"/>
      <c r="X2620"/>
      <c r="Y2620"/>
      <c r="Z2620"/>
      <c r="AA2620"/>
    </row>
    <row r="2621" spans="1:27" x14ac:dyDescent="0.25">
      <c r="A2621"/>
      <c r="B2621" s="36"/>
      <c r="C2621" s="36"/>
      <c r="D2621"/>
      <c r="E2621"/>
      <c r="F2621"/>
      <c r="G2621"/>
      <c r="H2621"/>
      <c r="I2621"/>
      <c r="J2621"/>
      <c r="K2621"/>
      <c r="L2621"/>
      <c r="M2621"/>
      <c r="N2621"/>
      <c r="O2621"/>
      <c r="P2621" s="36"/>
      <c r="Q2621" s="37"/>
      <c r="R2621"/>
      <c r="S2621"/>
      <c r="T2621"/>
      <c r="U2621"/>
      <c r="V2621" s="39"/>
      <c r="W2621"/>
      <c r="X2621"/>
      <c r="Y2621"/>
      <c r="Z2621"/>
      <c r="AA2621"/>
    </row>
    <row r="2622" spans="1:27" x14ac:dyDescent="0.25">
      <c r="A2622"/>
      <c r="B2622" s="36"/>
      <c r="C2622" s="36"/>
      <c r="D2622"/>
      <c r="E2622"/>
      <c r="F2622"/>
      <c r="G2622"/>
      <c r="H2622"/>
      <c r="I2622"/>
      <c r="J2622"/>
      <c r="K2622"/>
      <c r="L2622"/>
      <c r="M2622"/>
      <c r="N2622"/>
      <c r="O2622"/>
      <c r="P2622" s="36"/>
      <c r="Q2622" s="37"/>
      <c r="R2622"/>
      <c r="S2622"/>
      <c r="T2622"/>
      <c r="U2622"/>
      <c r="V2622" s="39"/>
      <c r="W2622"/>
      <c r="X2622"/>
      <c r="Y2622"/>
      <c r="Z2622"/>
      <c r="AA2622"/>
    </row>
    <row r="2623" spans="1:27" x14ac:dyDescent="0.25">
      <c r="A2623"/>
      <c r="B2623" s="36"/>
      <c r="C2623" s="36"/>
      <c r="D2623"/>
      <c r="E2623"/>
      <c r="F2623"/>
      <c r="G2623"/>
      <c r="H2623"/>
      <c r="I2623"/>
      <c r="J2623"/>
      <c r="K2623"/>
      <c r="L2623"/>
      <c r="M2623"/>
      <c r="N2623"/>
      <c r="O2623"/>
      <c r="P2623" s="36"/>
      <c r="Q2623" s="37"/>
      <c r="R2623"/>
      <c r="S2623"/>
      <c r="T2623"/>
      <c r="U2623"/>
      <c r="V2623" s="39"/>
      <c r="W2623"/>
      <c r="X2623"/>
      <c r="Y2623"/>
      <c r="Z2623"/>
      <c r="AA2623"/>
    </row>
    <row r="2624" spans="1:27" x14ac:dyDescent="0.25">
      <c r="A2624"/>
      <c r="B2624" s="36"/>
      <c r="C2624" s="36"/>
      <c r="D2624"/>
      <c r="E2624"/>
      <c r="F2624"/>
      <c r="G2624"/>
      <c r="H2624"/>
      <c r="I2624"/>
      <c r="J2624"/>
      <c r="K2624"/>
      <c r="L2624"/>
      <c r="M2624"/>
      <c r="N2624"/>
      <c r="O2624"/>
      <c r="P2624" s="36"/>
      <c r="Q2624" s="37"/>
      <c r="R2624"/>
      <c r="S2624"/>
      <c r="T2624"/>
      <c r="U2624"/>
      <c r="V2624" s="39"/>
      <c r="W2624"/>
      <c r="X2624"/>
      <c r="Y2624"/>
      <c r="Z2624"/>
      <c r="AA2624"/>
    </row>
    <row r="2625" spans="1:27" x14ac:dyDescent="0.25">
      <c r="A2625"/>
      <c r="B2625" s="36"/>
      <c r="C2625" s="36"/>
      <c r="D2625"/>
      <c r="E2625"/>
      <c r="F2625"/>
      <c r="G2625"/>
      <c r="H2625"/>
      <c r="I2625"/>
      <c r="J2625"/>
      <c r="K2625"/>
      <c r="L2625"/>
      <c r="M2625"/>
      <c r="N2625"/>
      <c r="O2625"/>
      <c r="P2625" s="36"/>
      <c r="Q2625" s="37"/>
      <c r="R2625"/>
      <c r="S2625"/>
      <c r="T2625"/>
      <c r="U2625"/>
      <c r="V2625" s="39"/>
      <c r="W2625"/>
      <c r="X2625"/>
      <c r="Y2625"/>
      <c r="Z2625"/>
      <c r="AA2625"/>
    </row>
    <row r="2626" spans="1:27" x14ac:dyDescent="0.25">
      <c r="A2626"/>
      <c r="B2626" s="36"/>
      <c r="C2626" s="36"/>
      <c r="D2626"/>
      <c r="E2626"/>
      <c r="F2626"/>
      <c r="G2626"/>
      <c r="H2626"/>
      <c r="I2626"/>
      <c r="J2626"/>
      <c r="K2626"/>
      <c r="L2626"/>
      <c r="M2626"/>
      <c r="N2626"/>
      <c r="O2626"/>
      <c r="P2626" s="36"/>
      <c r="Q2626" s="37"/>
      <c r="R2626"/>
      <c r="S2626"/>
      <c r="T2626"/>
      <c r="U2626"/>
      <c r="V2626" s="39"/>
      <c r="W2626"/>
      <c r="X2626"/>
      <c r="Y2626"/>
      <c r="Z2626"/>
      <c r="AA2626"/>
    </row>
    <row r="2627" spans="1:27" x14ac:dyDescent="0.25">
      <c r="A2627"/>
      <c r="B2627" s="36"/>
      <c r="C2627" s="36"/>
      <c r="D2627"/>
      <c r="E2627"/>
      <c r="F2627"/>
      <c r="G2627"/>
      <c r="H2627"/>
      <c r="I2627"/>
      <c r="J2627"/>
      <c r="K2627"/>
      <c r="L2627"/>
      <c r="M2627"/>
      <c r="N2627"/>
      <c r="O2627"/>
      <c r="P2627" s="36"/>
      <c r="Q2627" s="37"/>
      <c r="R2627"/>
      <c r="S2627"/>
      <c r="T2627"/>
      <c r="U2627"/>
      <c r="V2627" s="39"/>
      <c r="W2627"/>
      <c r="X2627"/>
      <c r="Y2627"/>
      <c r="Z2627"/>
      <c r="AA2627"/>
    </row>
    <row r="2628" spans="1:27" x14ac:dyDescent="0.25">
      <c r="A2628"/>
      <c r="B2628" s="36"/>
      <c r="C2628" s="36"/>
      <c r="D2628"/>
      <c r="E2628"/>
      <c r="F2628"/>
      <c r="G2628"/>
      <c r="H2628"/>
      <c r="I2628"/>
      <c r="J2628"/>
      <c r="K2628"/>
      <c r="L2628"/>
      <c r="M2628"/>
      <c r="N2628"/>
      <c r="O2628"/>
      <c r="P2628" s="36"/>
      <c r="Q2628" s="37"/>
      <c r="R2628"/>
      <c r="S2628"/>
      <c r="T2628"/>
      <c r="U2628"/>
      <c r="V2628" s="39"/>
      <c r="W2628"/>
      <c r="X2628"/>
      <c r="Y2628"/>
      <c r="Z2628"/>
      <c r="AA2628"/>
    </row>
    <row r="2629" spans="1:27" x14ac:dyDescent="0.25">
      <c r="A2629"/>
      <c r="B2629" s="36"/>
      <c r="C2629" s="36"/>
      <c r="D2629"/>
      <c r="E2629"/>
      <c r="F2629"/>
      <c r="G2629"/>
      <c r="H2629"/>
      <c r="I2629"/>
      <c r="J2629"/>
      <c r="K2629"/>
      <c r="L2629"/>
      <c r="M2629"/>
      <c r="N2629"/>
      <c r="O2629"/>
      <c r="P2629" s="36"/>
      <c r="Q2629" s="37"/>
      <c r="R2629"/>
      <c r="S2629"/>
      <c r="T2629"/>
      <c r="U2629"/>
      <c r="V2629" s="39"/>
      <c r="W2629"/>
      <c r="X2629"/>
      <c r="Y2629"/>
      <c r="Z2629"/>
      <c r="AA2629"/>
    </row>
    <row r="2630" spans="1:27" x14ac:dyDescent="0.25">
      <c r="A2630"/>
      <c r="B2630" s="36"/>
      <c r="C2630" s="36"/>
      <c r="D2630"/>
      <c r="E2630"/>
      <c r="F2630"/>
      <c r="G2630"/>
      <c r="H2630"/>
      <c r="I2630"/>
      <c r="J2630"/>
      <c r="K2630"/>
      <c r="L2630"/>
      <c r="M2630"/>
      <c r="N2630"/>
      <c r="O2630"/>
      <c r="P2630" s="36"/>
      <c r="Q2630" s="37"/>
      <c r="R2630"/>
      <c r="S2630"/>
      <c r="T2630"/>
      <c r="U2630"/>
      <c r="V2630" s="39"/>
      <c r="W2630"/>
      <c r="X2630"/>
      <c r="Y2630"/>
      <c r="Z2630"/>
      <c r="AA2630"/>
    </row>
    <row r="2631" spans="1:27" x14ac:dyDescent="0.25">
      <c r="A2631"/>
      <c r="B2631" s="36"/>
      <c r="C2631" s="36"/>
      <c r="D2631"/>
      <c r="E2631"/>
      <c r="F2631"/>
      <c r="G2631"/>
      <c r="H2631"/>
      <c r="I2631"/>
      <c r="J2631"/>
      <c r="K2631"/>
      <c r="L2631"/>
      <c r="M2631"/>
      <c r="N2631"/>
      <c r="O2631"/>
      <c r="P2631" s="36"/>
      <c r="Q2631" s="37"/>
      <c r="R2631"/>
      <c r="S2631"/>
      <c r="T2631"/>
      <c r="U2631"/>
      <c r="V2631" s="39"/>
      <c r="W2631"/>
      <c r="X2631"/>
      <c r="Y2631"/>
      <c r="Z2631"/>
      <c r="AA2631"/>
    </row>
    <row r="2632" spans="1:27" x14ac:dyDescent="0.25">
      <c r="A2632"/>
      <c r="B2632" s="36"/>
      <c r="C2632" s="36"/>
      <c r="D2632"/>
      <c r="E2632"/>
      <c r="F2632"/>
      <c r="G2632"/>
      <c r="H2632"/>
      <c r="I2632"/>
      <c r="J2632"/>
      <c r="K2632"/>
      <c r="L2632"/>
      <c r="M2632"/>
      <c r="N2632"/>
      <c r="O2632"/>
      <c r="P2632" s="36"/>
      <c r="Q2632" s="37"/>
      <c r="R2632"/>
      <c r="S2632"/>
      <c r="T2632"/>
      <c r="U2632"/>
      <c r="V2632" s="39"/>
      <c r="W2632"/>
      <c r="X2632"/>
      <c r="Y2632"/>
      <c r="Z2632"/>
      <c r="AA2632"/>
    </row>
    <row r="2633" spans="1:27" x14ac:dyDescent="0.25">
      <c r="A2633"/>
      <c r="B2633" s="36"/>
      <c r="C2633" s="36"/>
      <c r="D2633"/>
      <c r="E2633"/>
      <c r="F2633"/>
      <c r="G2633"/>
      <c r="H2633"/>
      <c r="I2633"/>
      <c r="J2633"/>
      <c r="K2633"/>
      <c r="L2633"/>
      <c r="M2633"/>
      <c r="N2633"/>
      <c r="O2633"/>
      <c r="P2633" s="36"/>
      <c r="Q2633" s="37"/>
      <c r="R2633"/>
      <c r="S2633"/>
      <c r="T2633"/>
      <c r="U2633"/>
      <c r="V2633" s="39"/>
      <c r="W2633"/>
      <c r="X2633"/>
      <c r="Y2633"/>
      <c r="Z2633"/>
      <c r="AA2633"/>
    </row>
    <row r="2634" spans="1:27" x14ac:dyDescent="0.25">
      <c r="A2634"/>
      <c r="B2634" s="36"/>
      <c r="C2634" s="36"/>
      <c r="D2634"/>
      <c r="E2634"/>
      <c r="F2634"/>
      <c r="G2634"/>
      <c r="H2634"/>
      <c r="I2634"/>
      <c r="J2634"/>
      <c r="K2634"/>
      <c r="L2634"/>
      <c r="M2634"/>
      <c r="N2634"/>
      <c r="O2634"/>
      <c r="P2634" s="36"/>
      <c r="Q2634" s="37"/>
      <c r="R2634"/>
      <c r="S2634"/>
      <c r="T2634"/>
      <c r="U2634"/>
      <c r="V2634" s="39"/>
      <c r="W2634"/>
      <c r="X2634"/>
      <c r="Y2634"/>
      <c r="Z2634"/>
      <c r="AA2634"/>
    </row>
    <row r="2635" spans="1:27" x14ac:dyDescent="0.25">
      <c r="A2635"/>
      <c r="B2635" s="36"/>
      <c r="C2635" s="36"/>
      <c r="D2635"/>
      <c r="E2635"/>
      <c r="F2635"/>
      <c r="G2635"/>
      <c r="H2635"/>
      <c r="I2635"/>
      <c r="J2635"/>
      <c r="K2635"/>
      <c r="L2635"/>
      <c r="M2635"/>
      <c r="N2635"/>
      <c r="O2635"/>
      <c r="P2635" s="36"/>
      <c r="Q2635" s="37"/>
      <c r="R2635"/>
      <c r="S2635"/>
      <c r="T2635"/>
      <c r="U2635"/>
      <c r="V2635" s="39"/>
      <c r="W2635"/>
      <c r="X2635"/>
      <c r="Y2635"/>
      <c r="Z2635"/>
      <c r="AA2635"/>
    </row>
    <row r="2636" spans="1:27" x14ac:dyDescent="0.25">
      <c r="A2636"/>
      <c r="B2636" s="36"/>
      <c r="C2636" s="36"/>
      <c r="D2636"/>
      <c r="E2636"/>
      <c r="F2636"/>
      <c r="G2636"/>
      <c r="H2636"/>
      <c r="I2636"/>
      <c r="J2636"/>
      <c r="K2636"/>
      <c r="L2636"/>
      <c r="M2636"/>
      <c r="N2636"/>
      <c r="O2636"/>
      <c r="P2636" s="36"/>
      <c r="Q2636" s="37"/>
      <c r="R2636"/>
      <c r="S2636"/>
      <c r="T2636"/>
      <c r="U2636"/>
      <c r="V2636" s="39"/>
      <c r="W2636"/>
      <c r="X2636"/>
      <c r="Y2636"/>
      <c r="Z2636"/>
      <c r="AA2636"/>
    </row>
    <row r="2637" spans="1:27" x14ac:dyDescent="0.25">
      <c r="A2637"/>
      <c r="B2637" s="36"/>
      <c r="C2637" s="36"/>
      <c r="D2637"/>
      <c r="E2637"/>
      <c r="F2637"/>
      <c r="G2637"/>
      <c r="H2637"/>
      <c r="I2637"/>
      <c r="J2637"/>
      <c r="K2637"/>
      <c r="L2637"/>
      <c r="M2637"/>
      <c r="N2637"/>
      <c r="O2637"/>
      <c r="P2637" s="36"/>
      <c r="Q2637" s="37"/>
      <c r="R2637"/>
      <c r="S2637"/>
      <c r="T2637"/>
      <c r="U2637"/>
      <c r="V2637" s="39"/>
      <c r="W2637"/>
      <c r="X2637"/>
      <c r="Y2637"/>
      <c r="Z2637"/>
      <c r="AA2637"/>
    </row>
    <row r="2638" spans="1:27" x14ac:dyDescent="0.25">
      <c r="A2638"/>
      <c r="B2638" s="36"/>
      <c r="C2638" s="36"/>
      <c r="D2638"/>
      <c r="E2638"/>
      <c r="F2638"/>
      <c r="G2638"/>
      <c r="H2638"/>
      <c r="I2638"/>
      <c r="J2638"/>
      <c r="K2638"/>
      <c r="L2638"/>
      <c r="M2638"/>
      <c r="N2638"/>
      <c r="O2638"/>
      <c r="P2638" s="36"/>
      <c r="Q2638" s="37"/>
      <c r="R2638"/>
      <c r="S2638"/>
      <c r="T2638"/>
      <c r="U2638"/>
      <c r="V2638" s="39"/>
      <c r="W2638"/>
      <c r="X2638"/>
      <c r="Y2638"/>
      <c r="Z2638"/>
      <c r="AA2638"/>
    </row>
    <row r="2639" spans="1:27" x14ac:dyDescent="0.25">
      <c r="A2639"/>
      <c r="B2639" s="36"/>
      <c r="C2639" s="36"/>
      <c r="D2639"/>
      <c r="E2639"/>
      <c r="F2639"/>
      <c r="G2639"/>
      <c r="H2639"/>
      <c r="I2639"/>
      <c r="J2639"/>
      <c r="K2639"/>
      <c r="L2639"/>
      <c r="M2639"/>
      <c r="N2639"/>
      <c r="O2639"/>
      <c r="P2639" s="36"/>
      <c r="Q2639" s="37"/>
      <c r="R2639"/>
      <c r="S2639"/>
      <c r="T2639"/>
      <c r="U2639"/>
      <c r="V2639" s="39"/>
      <c r="W2639"/>
      <c r="X2639"/>
      <c r="Y2639"/>
      <c r="Z2639"/>
      <c r="AA2639"/>
    </row>
    <row r="2640" spans="1:27" x14ac:dyDescent="0.25">
      <c r="A2640"/>
      <c r="B2640" s="36"/>
      <c r="C2640" s="36"/>
      <c r="D2640"/>
      <c r="E2640"/>
      <c r="F2640"/>
      <c r="G2640"/>
      <c r="H2640"/>
      <c r="I2640"/>
      <c r="J2640"/>
      <c r="K2640"/>
      <c r="L2640"/>
      <c r="M2640"/>
      <c r="N2640"/>
      <c r="O2640"/>
      <c r="P2640" s="36"/>
      <c r="Q2640" s="37"/>
      <c r="R2640"/>
      <c r="S2640"/>
      <c r="T2640"/>
      <c r="U2640"/>
      <c r="V2640" s="39"/>
      <c r="W2640"/>
      <c r="X2640"/>
      <c r="Y2640"/>
      <c r="Z2640"/>
      <c r="AA2640"/>
    </row>
    <row r="2641" spans="1:27" x14ac:dyDescent="0.25">
      <c r="A2641"/>
      <c r="B2641" s="36"/>
      <c r="C2641" s="36"/>
      <c r="D2641"/>
      <c r="E2641"/>
      <c r="F2641"/>
      <c r="G2641"/>
      <c r="H2641"/>
      <c r="I2641"/>
      <c r="J2641"/>
      <c r="K2641"/>
      <c r="L2641"/>
      <c r="M2641"/>
      <c r="N2641"/>
      <c r="O2641"/>
      <c r="P2641" s="36"/>
      <c r="Q2641" s="37"/>
      <c r="R2641"/>
      <c r="S2641"/>
      <c r="T2641"/>
      <c r="U2641"/>
      <c r="V2641" s="39"/>
      <c r="W2641"/>
      <c r="X2641"/>
      <c r="Y2641"/>
      <c r="Z2641"/>
      <c r="AA2641"/>
    </row>
    <row r="2642" spans="1:27" x14ac:dyDescent="0.25">
      <c r="A2642"/>
      <c r="B2642" s="36"/>
      <c r="C2642" s="36"/>
      <c r="D2642"/>
      <c r="E2642"/>
      <c r="F2642"/>
      <c r="G2642"/>
      <c r="H2642"/>
      <c r="I2642"/>
      <c r="J2642"/>
      <c r="K2642"/>
      <c r="L2642"/>
      <c r="M2642"/>
      <c r="N2642"/>
      <c r="O2642"/>
      <c r="P2642" s="36"/>
      <c r="Q2642" s="37"/>
      <c r="R2642"/>
      <c r="S2642"/>
      <c r="T2642"/>
      <c r="U2642"/>
      <c r="V2642" s="39"/>
      <c r="W2642"/>
      <c r="X2642"/>
      <c r="Y2642"/>
      <c r="Z2642"/>
      <c r="AA2642"/>
    </row>
    <row r="2643" spans="1:27" x14ac:dyDescent="0.25">
      <c r="A2643"/>
      <c r="B2643" s="36"/>
      <c r="C2643" s="36"/>
      <c r="D2643"/>
      <c r="E2643"/>
      <c r="F2643"/>
      <c r="G2643"/>
      <c r="H2643"/>
      <c r="I2643"/>
      <c r="J2643"/>
      <c r="K2643"/>
      <c r="L2643"/>
      <c r="M2643"/>
      <c r="N2643"/>
      <c r="O2643"/>
      <c r="P2643" s="36"/>
      <c r="Q2643" s="37"/>
      <c r="R2643" s="44"/>
      <c r="S2643"/>
      <c r="T2643"/>
      <c r="U2643"/>
      <c r="V2643" s="39"/>
      <c r="W2643"/>
      <c r="X2643"/>
      <c r="Y2643"/>
      <c r="Z2643"/>
      <c r="AA2643" s="44"/>
    </row>
    <row r="2644" spans="1:27" x14ac:dyDescent="0.25">
      <c r="A2644"/>
      <c r="B2644" s="36"/>
      <c r="C2644" s="36"/>
      <c r="D2644"/>
      <c r="E2644"/>
      <c r="F2644"/>
      <c r="G2644"/>
      <c r="H2644"/>
      <c r="I2644"/>
      <c r="J2644"/>
      <c r="K2644"/>
      <c r="L2644"/>
      <c r="M2644"/>
      <c r="N2644"/>
      <c r="O2644"/>
      <c r="P2644" s="36"/>
      <c r="Q2644" s="37"/>
      <c r="R2644"/>
      <c r="S2644"/>
      <c r="T2644"/>
      <c r="U2644"/>
      <c r="V2644" s="39"/>
      <c r="W2644"/>
      <c r="X2644"/>
      <c r="Y2644"/>
      <c r="Z2644"/>
      <c r="AA2644"/>
    </row>
    <row r="2645" spans="1:27" x14ac:dyDescent="0.25">
      <c r="A2645"/>
      <c r="B2645" s="36"/>
      <c r="C2645" s="36"/>
      <c r="D2645"/>
      <c r="E2645"/>
      <c r="F2645"/>
      <c r="G2645"/>
      <c r="H2645"/>
      <c r="I2645"/>
      <c r="J2645"/>
      <c r="K2645"/>
      <c r="L2645"/>
      <c r="M2645"/>
      <c r="N2645"/>
      <c r="O2645"/>
      <c r="P2645" s="36"/>
      <c r="Q2645" s="37"/>
      <c r="R2645"/>
      <c r="S2645"/>
      <c r="T2645"/>
      <c r="U2645"/>
      <c r="V2645" s="39"/>
      <c r="W2645"/>
      <c r="X2645"/>
      <c r="Y2645"/>
      <c r="Z2645"/>
      <c r="AA2645"/>
    </row>
    <row r="2646" spans="1:27" x14ac:dyDescent="0.25">
      <c r="A2646"/>
      <c r="B2646" s="36"/>
      <c r="C2646" s="36"/>
      <c r="D2646"/>
      <c r="E2646"/>
      <c r="F2646"/>
      <c r="G2646"/>
      <c r="H2646"/>
      <c r="I2646"/>
      <c r="J2646"/>
      <c r="K2646"/>
      <c r="L2646"/>
      <c r="M2646"/>
      <c r="N2646"/>
      <c r="O2646"/>
      <c r="P2646" s="36"/>
      <c r="Q2646" s="37"/>
      <c r="R2646"/>
      <c r="S2646"/>
      <c r="T2646"/>
      <c r="U2646"/>
      <c r="V2646" s="39"/>
      <c r="W2646"/>
      <c r="X2646"/>
      <c r="Y2646"/>
      <c r="Z2646"/>
      <c r="AA2646"/>
    </row>
    <row r="2647" spans="1:27" x14ac:dyDescent="0.25">
      <c r="A2647"/>
      <c r="B2647" s="36"/>
      <c r="C2647" s="36"/>
      <c r="D2647"/>
      <c r="E2647"/>
      <c r="F2647"/>
      <c r="G2647"/>
      <c r="H2647"/>
      <c r="I2647"/>
      <c r="J2647"/>
      <c r="K2647"/>
      <c r="L2647"/>
      <c r="M2647"/>
      <c r="N2647"/>
      <c r="O2647"/>
      <c r="P2647" s="36"/>
      <c r="Q2647" s="37"/>
      <c r="R2647"/>
      <c r="S2647"/>
      <c r="T2647"/>
      <c r="U2647"/>
      <c r="V2647" s="39"/>
      <c r="W2647"/>
      <c r="X2647"/>
      <c r="Y2647"/>
      <c r="Z2647"/>
      <c r="AA2647"/>
    </row>
    <row r="2648" spans="1:27" x14ac:dyDescent="0.25">
      <c r="A2648"/>
      <c r="B2648" s="36"/>
      <c r="C2648" s="36"/>
      <c r="D2648"/>
      <c r="E2648"/>
      <c r="F2648"/>
      <c r="G2648"/>
      <c r="H2648"/>
      <c r="I2648"/>
      <c r="J2648"/>
      <c r="K2648"/>
      <c r="L2648"/>
      <c r="M2648"/>
      <c r="N2648"/>
      <c r="O2648"/>
      <c r="P2648" s="36"/>
      <c r="Q2648" s="37"/>
      <c r="R2648"/>
      <c r="S2648"/>
      <c r="T2648"/>
      <c r="U2648"/>
      <c r="V2648" s="39"/>
      <c r="W2648"/>
      <c r="X2648"/>
      <c r="Y2648"/>
      <c r="Z2648"/>
      <c r="AA2648"/>
    </row>
    <row r="2649" spans="1:27" x14ac:dyDescent="0.25">
      <c r="A2649"/>
      <c r="B2649" s="36"/>
      <c r="C2649" s="36"/>
      <c r="D2649"/>
      <c r="E2649"/>
      <c r="F2649"/>
      <c r="G2649"/>
      <c r="H2649"/>
      <c r="I2649"/>
      <c r="J2649"/>
      <c r="K2649"/>
      <c r="L2649"/>
      <c r="M2649"/>
      <c r="N2649"/>
      <c r="O2649"/>
      <c r="P2649" s="36"/>
      <c r="Q2649" s="37"/>
      <c r="R2649"/>
      <c r="S2649"/>
      <c r="T2649"/>
      <c r="U2649"/>
      <c r="V2649" s="39"/>
      <c r="W2649"/>
      <c r="X2649"/>
      <c r="Y2649"/>
      <c r="Z2649"/>
      <c r="AA2649"/>
    </row>
    <row r="2650" spans="1:27" x14ac:dyDescent="0.25">
      <c r="A2650"/>
      <c r="B2650" s="36"/>
      <c r="C2650" s="36"/>
      <c r="D2650"/>
      <c r="E2650"/>
      <c r="F2650"/>
      <c r="G2650"/>
      <c r="H2650"/>
      <c r="I2650"/>
      <c r="J2650"/>
      <c r="K2650"/>
      <c r="L2650"/>
      <c r="M2650"/>
      <c r="N2650"/>
      <c r="O2650"/>
      <c r="P2650" s="36"/>
      <c r="Q2650" s="37"/>
      <c r="R2650"/>
      <c r="S2650"/>
      <c r="T2650"/>
      <c r="U2650"/>
      <c r="V2650" s="39"/>
      <c r="W2650"/>
      <c r="X2650"/>
      <c r="Y2650"/>
      <c r="Z2650"/>
      <c r="AA2650"/>
    </row>
    <row r="2651" spans="1:27" x14ac:dyDescent="0.25">
      <c r="A2651"/>
      <c r="B2651" s="36"/>
      <c r="C2651" s="36"/>
      <c r="D2651"/>
      <c r="E2651"/>
      <c r="F2651"/>
      <c r="G2651"/>
      <c r="H2651"/>
      <c r="I2651"/>
      <c r="J2651"/>
      <c r="K2651"/>
      <c r="L2651"/>
      <c r="M2651"/>
      <c r="N2651"/>
      <c r="O2651"/>
      <c r="P2651" s="36"/>
      <c r="Q2651" s="37"/>
      <c r="R2651"/>
      <c r="S2651"/>
      <c r="T2651"/>
      <c r="U2651"/>
      <c r="V2651" s="39"/>
      <c r="W2651"/>
      <c r="X2651"/>
      <c r="Y2651"/>
      <c r="Z2651"/>
      <c r="AA2651"/>
    </row>
    <row r="2652" spans="1:27" x14ac:dyDescent="0.25">
      <c r="A2652"/>
      <c r="B2652" s="36"/>
      <c r="C2652" s="36"/>
      <c r="D2652"/>
      <c r="E2652"/>
      <c r="F2652"/>
      <c r="G2652"/>
      <c r="H2652"/>
      <c r="I2652"/>
      <c r="J2652"/>
      <c r="K2652"/>
      <c r="L2652"/>
      <c r="M2652"/>
      <c r="N2652"/>
      <c r="O2652"/>
      <c r="P2652" s="36"/>
      <c r="Q2652" s="37"/>
      <c r="R2652"/>
      <c r="S2652"/>
      <c r="T2652"/>
      <c r="U2652"/>
      <c r="V2652" s="39"/>
      <c r="W2652"/>
      <c r="X2652"/>
      <c r="Y2652"/>
      <c r="Z2652"/>
      <c r="AA2652"/>
    </row>
    <row r="2653" spans="1:27" x14ac:dyDescent="0.25">
      <c r="A2653"/>
      <c r="B2653" s="36"/>
      <c r="C2653" s="36"/>
      <c r="D2653"/>
      <c r="E2653"/>
      <c r="F2653"/>
      <c r="G2653"/>
      <c r="H2653"/>
      <c r="I2653"/>
      <c r="J2653"/>
      <c r="K2653"/>
      <c r="L2653"/>
      <c r="M2653"/>
      <c r="N2653"/>
      <c r="O2653"/>
      <c r="P2653" s="36"/>
      <c r="Q2653" s="37"/>
      <c r="R2653"/>
      <c r="S2653"/>
      <c r="T2653"/>
      <c r="U2653"/>
      <c r="V2653" s="39"/>
      <c r="W2653"/>
      <c r="X2653"/>
      <c r="Y2653"/>
      <c r="Z2653"/>
      <c r="AA2653"/>
    </row>
    <row r="2654" spans="1:27" x14ac:dyDescent="0.25">
      <c r="A2654"/>
      <c r="B2654" s="36"/>
      <c r="C2654" s="36"/>
      <c r="D2654"/>
      <c r="E2654"/>
      <c r="F2654"/>
      <c r="G2654"/>
      <c r="H2654"/>
      <c r="I2654"/>
      <c r="J2654"/>
      <c r="K2654"/>
      <c r="L2654"/>
      <c r="M2654"/>
      <c r="N2654"/>
      <c r="O2654"/>
      <c r="P2654" s="36"/>
      <c r="Q2654" s="37"/>
      <c r="R2654"/>
      <c r="S2654"/>
      <c r="T2654"/>
      <c r="U2654"/>
      <c r="V2654" s="39"/>
      <c r="W2654"/>
      <c r="X2654"/>
      <c r="Y2654"/>
      <c r="Z2654"/>
      <c r="AA2654"/>
    </row>
    <row r="2655" spans="1:27" x14ac:dyDescent="0.25">
      <c r="A2655"/>
      <c r="B2655" s="36"/>
      <c r="C2655" s="36"/>
      <c r="D2655"/>
      <c r="E2655"/>
      <c r="F2655"/>
      <c r="G2655"/>
      <c r="H2655"/>
      <c r="I2655"/>
      <c r="J2655"/>
      <c r="K2655"/>
      <c r="L2655"/>
      <c r="M2655"/>
      <c r="N2655"/>
      <c r="O2655"/>
      <c r="P2655" s="36"/>
      <c r="Q2655" s="37"/>
      <c r="R2655"/>
      <c r="S2655"/>
      <c r="T2655"/>
      <c r="U2655"/>
      <c r="V2655" s="39"/>
      <c r="W2655"/>
      <c r="X2655"/>
      <c r="Y2655"/>
      <c r="Z2655"/>
      <c r="AA2655"/>
    </row>
    <row r="2656" spans="1:27" x14ac:dyDescent="0.25">
      <c r="A2656"/>
      <c r="B2656" s="36"/>
      <c r="C2656" s="36"/>
      <c r="D2656"/>
      <c r="E2656"/>
      <c r="F2656"/>
      <c r="G2656"/>
      <c r="H2656"/>
      <c r="I2656"/>
      <c r="J2656"/>
      <c r="K2656"/>
      <c r="L2656"/>
      <c r="M2656"/>
      <c r="N2656"/>
      <c r="O2656"/>
      <c r="P2656" s="36"/>
      <c r="Q2656" s="37"/>
      <c r="R2656"/>
      <c r="S2656"/>
      <c r="T2656"/>
      <c r="U2656"/>
      <c r="V2656" s="39"/>
      <c r="W2656"/>
      <c r="X2656"/>
      <c r="Y2656"/>
      <c r="Z2656"/>
      <c r="AA2656"/>
    </row>
    <row r="2657" spans="1:27" x14ac:dyDescent="0.25">
      <c r="A2657"/>
      <c r="B2657" s="36"/>
      <c r="C2657" s="36"/>
      <c r="D2657"/>
      <c r="E2657"/>
      <c r="F2657"/>
      <c r="G2657"/>
      <c r="H2657"/>
      <c r="I2657"/>
      <c r="J2657"/>
      <c r="K2657"/>
      <c r="L2657"/>
      <c r="M2657"/>
      <c r="N2657"/>
      <c r="O2657"/>
      <c r="P2657" s="36"/>
      <c r="Q2657" s="37"/>
      <c r="R2657"/>
      <c r="S2657"/>
      <c r="T2657"/>
      <c r="U2657"/>
      <c r="V2657" s="39"/>
      <c r="W2657"/>
      <c r="X2657"/>
      <c r="Y2657"/>
      <c r="Z2657"/>
      <c r="AA2657"/>
    </row>
    <row r="2658" spans="1:27" x14ac:dyDescent="0.25">
      <c r="A2658"/>
      <c r="B2658" s="36"/>
      <c r="C2658" s="36"/>
      <c r="D2658"/>
      <c r="E2658"/>
      <c r="F2658"/>
      <c r="G2658"/>
      <c r="H2658"/>
      <c r="I2658"/>
      <c r="J2658"/>
      <c r="K2658"/>
      <c r="L2658"/>
      <c r="M2658"/>
      <c r="N2658"/>
      <c r="O2658"/>
      <c r="P2658" s="36"/>
      <c r="Q2658" s="37"/>
      <c r="R2658"/>
      <c r="S2658"/>
      <c r="T2658"/>
      <c r="U2658"/>
      <c r="V2658" s="39"/>
      <c r="W2658"/>
      <c r="X2658"/>
      <c r="Y2658"/>
      <c r="Z2658"/>
      <c r="AA2658"/>
    </row>
    <row r="2659" spans="1:27" x14ac:dyDescent="0.25">
      <c r="A2659"/>
      <c r="B2659" s="36"/>
      <c r="C2659" s="36"/>
      <c r="D2659"/>
      <c r="E2659"/>
      <c r="F2659"/>
      <c r="G2659"/>
      <c r="H2659"/>
      <c r="I2659"/>
      <c r="J2659"/>
      <c r="K2659"/>
      <c r="L2659"/>
      <c r="M2659"/>
      <c r="N2659"/>
      <c r="O2659"/>
      <c r="P2659" s="36"/>
      <c r="Q2659" s="37"/>
      <c r="R2659"/>
      <c r="S2659"/>
      <c r="T2659"/>
      <c r="U2659"/>
      <c r="V2659" s="39"/>
      <c r="W2659"/>
      <c r="X2659"/>
      <c r="Y2659"/>
      <c r="Z2659"/>
      <c r="AA2659"/>
    </row>
    <row r="2660" spans="1:27" x14ac:dyDescent="0.25">
      <c r="A2660"/>
      <c r="B2660" s="36"/>
      <c r="C2660" s="36"/>
      <c r="D2660"/>
      <c r="E2660"/>
      <c r="F2660"/>
      <c r="G2660"/>
      <c r="H2660"/>
      <c r="I2660"/>
      <c r="J2660"/>
      <c r="K2660"/>
      <c r="L2660"/>
      <c r="M2660"/>
      <c r="N2660"/>
      <c r="O2660"/>
      <c r="P2660" s="36"/>
      <c r="Q2660" s="37"/>
      <c r="R2660"/>
      <c r="S2660"/>
      <c r="T2660"/>
      <c r="U2660"/>
      <c r="V2660" s="39"/>
      <c r="W2660"/>
      <c r="X2660"/>
      <c r="Y2660"/>
      <c r="Z2660"/>
      <c r="AA2660"/>
    </row>
    <row r="2661" spans="1:27" x14ac:dyDescent="0.25">
      <c r="A2661"/>
      <c r="B2661" s="36"/>
      <c r="C2661" s="36"/>
      <c r="D2661"/>
      <c r="E2661"/>
      <c r="F2661"/>
      <c r="G2661"/>
      <c r="H2661"/>
      <c r="I2661"/>
      <c r="J2661"/>
      <c r="K2661"/>
      <c r="L2661"/>
      <c r="M2661"/>
      <c r="N2661"/>
      <c r="O2661"/>
      <c r="P2661" s="36"/>
      <c r="Q2661" s="37"/>
      <c r="R2661"/>
      <c r="S2661"/>
      <c r="T2661"/>
      <c r="U2661"/>
      <c r="V2661" s="39"/>
      <c r="W2661"/>
      <c r="X2661"/>
      <c r="Y2661"/>
      <c r="Z2661"/>
      <c r="AA2661"/>
    </row>
    <row r="2662" spans="1:27" x14ac:dyDescent="0.25">
      <c r="A2662"/>
      <c r="B2662" s="36"/>
      <c r="C2662" s="36"/>
      <c r="D2662"/>
      <c r="E2662"/>
      <c r="F2662"/>
      <c r="G2662"/>
      <c r="H2662"/>
      <c r="I2662"/>
      <c r="J2662"/>
      <c r="K2662"/>
      <c r="L2662"/>
      <c r="M2662"/>
      <c r="N2662"/>
      <c r="O2662"/>
      <c r="P2662" s="36"/>
      <c r="Q2662" s="37"/>
      <c r="R2662"/>
      <c r="S2662"/>
      <c r="T2662"/>
      <c r="U2662"/>
      <c r="V2662" s="39"/>
      <c r="W2662"/>
      <c r="X2662"/>
      <c r="Y2662"/>
      <c r="Z2662"/>
      <c r="AA2662"/>
    </row>
    <row r="2663" spans="1:27" x14ac:dyDescent="0.25">
      <c r="A2663"/>
      <c r="B2663" s="36"/>
      <c r="C2663" s="36"/>
      <c r="D2663"/>
      <c r="E2663"/>
      <c r="F2663"/>
      <c r="G2663"/>
      <c r="H2663"/>
      <c r="I2663"/>
      <c r="J2663"/>
      <c r="K2663"/>
      <c r="L2663"/>
      <c r="M2663"/>
      <c r="N2663"/>
      <c r="O2663"/>
      <c r="P2663" s="36"/>
      <c r="Q2663" s="37"/>
      <c r="R2663"/>
      <c r="S2663"/>
      <c r="T2663"/>
      <c r="U2663"/>
      <c r="V2663" s="39"/>
      <c r="W2663"/>
      <c r="X2663"/>
      <c r="Y2663"/>
      <c r="Z2663"/>
      <c r="AA2663"/>
    </row>
    <row r="2664" spans="1:27" x14ac:dyDescent="0.25">
      <c r="A2664"/>
      <c r="B2664" s="36"/>
      <c r="C2664" s="36"/>
      <c r="D2664"/>
      <c r="E2664"/>
      <c r="F2664"/>
      <c r="G2664"/>
      <c r="H2664"/>
      <c r="I2664"/>
      <c r="J2664"/>
      <c r="K2664"/>
      <c r="L2664"/>
      <c r="M2664"/>
      <c r="N2664"/>
      <c r="O2664"/>
      <c r="P2664" s="36"/>
      <c r="Q2664" s="37"/>
      <c r="R2664"/>
      <c r="S2664"/>
      <c r="T2664"/>
      <c r="U2664"/>
      <c r="V2664" s="39"/>
      <c r="W2664"/>
      <c r="X2664"/>
      <c r="Y2664"/>
      <c r="Z2664"/>
      <c r="AA2664"/>
    </row>
    <row r="2665" spans="1:27" x14ac:dyDescent="0.25">
      <c r="A2665"/>
      <c r="B2665" s="36"/>
      <c r="C2665" s="36"/>
      <c r="D2665"/>
      <c r="E2665"/>
      <c r="F2665"/>
      <c r="G2665"/>
      <c r="H2665"/>
      <c r="I2665"/>
      <c r="J2665"/>
      <c r="K2665"/>
      <c r="L2665"/>
      <c r="M2665"/>
      <c r="N2665"/>
      <c r="O2665"/>
      <c r="P2665" s="36"/>
      <c r="Q2665" s="37"/>
      <c r="R2665"/>
      <c r="S2665"/>
      <c r="T2665"/>
      <c r="U2665"/>
      <c r="V2665" s="39"/>
      <c r="W2665"/>
      <c r="X2665"/>
      <c r="Y2665"/>
      <c r="Z2665"/>
      <c r="AA2665"/>
    </row>
    <row r="2666" spans="1:27" x14ac:dyDescent="0.25">
      <c r="A2666"/>
      <c r="B2666" s="36"/>
      <c r="C2666" s="36"/>
      <c r="D2666"/>
      <c r="E2666"/>
      <c r="F2666"/>
      <c r="G2666"/>
      <c r="H2666"/>
      <c r="I2666"/>
      <c r="J2666"/>
      <c r="K2666"/>
      <c r="L2666"/>
      <c r="M2666"/>
      <c r="N2666"/>
      <c r="O2666"/>
      <c r="P2666" s="36"/>
      <c r="Q2666" s="37"/>
      <c r="R2666"/>
      <c r="S2666"/>
      <c r="T2666"/>
      <c r="U2666"/>
      <c r="V2666" s="39"/>
      <c r="W2666"/>
      <c r="X2666"/>
      <c r="Y2666"/>
      <c r="Z2666"/>
      <c r="AA2666"/>
    </row>
    <row r="2667" spans="1:27" x14ac:dyDescent="0.25">
      <c r="A2667"/>
      <c r="B2667" s="36"/>
      <c r="C2667" s="36"/>
      <c r="D2667"/>
      <c r="E2667"/>
      <c r="F2667"/>
      <c r="G2667"/>
      <c r="H2667"/>
      <c r="I2667"/>
      <c r="J2667"/>
      <c r="K2667"/>
      <c r="L2667"/>
      <c r="M2667"/>
      <c r="N2667"/>
      <c r="O2667"/>
      <c r="P2667" s="36"/>
      <c r="Q2667" s="37"/>
      <c r="R2667"/>
      <c r="S2667"/>
      <c r="T2667"/>
      <c r="U2667"/>
      <c r="V2667" s="39"/>
      <c r="W2667"/>
      <c r="X2667"/>
      <c r="Y2667"/>
      <c r="Z2667"/>
      <c r="AA2667"/>
    </row>
    <row r="2668" spans="1:27" x14ac:dyDescent="0.25">
      <c r="A2668"/>
      <c r="B2668" s="36"/>
      <c r="C2668" s="36"/>
      <c r="D2668"/>
      <c r="E2668"/>
      <c r="F2668"/>
      <c r="G2668"/>
      <c r="H2668"/>
      <c r="I2668"/>
      <c r="J2668"/>
      <c r="K2668"/>
      <c r="L2668"/>
      <c r="M2668"/>
      <c r="N2668"/>
      <c r="O2668"/>
      <c r="P2668" s="36"/>
      <c r="Q2668" s="37"/>
      <c r="R2668"/>
      <c r="S2668"/>
      <c r="T2668"/>
      <c r="U2668"/>
      <c r="V2668" s="39"/>
      <c r="W2668"/>
      <c r="X2668"/>
      <c r="Y2668"/>
      <c r="Z2668"/>
      <c r="AA2668"/>
    </row>
    <row r="2669" spans="1:27" x14ac:dyDescent="0.25">
      <c r="A2669"/>
      <c r="B2669" s="36"/>
      <c r="C2669" s="36"/>
      <c r="D2669"/>
      <c r="E2669"/>
      <c r="F2669"/>
      <c r="G2669"/>
      <c r="H2669"/>
      <c r="I2669"/>
      <c r="J2669"/>
      <c r="K2669"/>
      <c r="L2669"/>
      <c r="M2669"/>
      <c r="N2669"/>
      <c r="O2669"/>
      <c r="P2669" s="36"/>
      <c r="Q2669" s="37"/>
      <c r="R2669"/>
      <c r="S2669"/>
      <c r="T2669"/>
      <c r="U2669"/>
      <c r="V2669" s="39"/>
      <c r="W2669"/>
      <c r="X2669"/>
      <c r="Y2669"/>
      <c r="Z2669"/>
      <c r="AA2669"/>
    </row>
    <row r="2670" spans="1:27" x14ac:dyDescent="0.25">
      <c r="A2670"/>
      <c r="B2670" s="36"/>
      <c r="C2670" s="36"/>
      <c r="D2670"/>
      <c r="E2670"/>
      <c r="F2670"/>
      <c r="G2670"/>
      <c r="H2670"/>
      <c r="I2670"/>
      <c r="J2670"/>
      <c r="K2670"/>
      <c r="L2670"/>
      <c r="M2670"/>
      <c r="N2670"/>
      <c r="O2670"/>
      <c r="P2670" s="36"/>
      <c r="Q2670" s="37"/>
      <c r="R2670"/>
      <c r="S2670"/>
      <c r="T2670"/>
      <c r="U2670"/>
      <c r="V2670" s="39"/>
      <c r="W2670"/>
      <c r="X2670"/>
      <c r="Y2670"/>
      <c r="Z2670"/>
      <c r="AA2670"/>
    </row>
    <row r="2671" spans="1:27" x14ac:dyDescent="0.25">
      <c r="A2671"/>
      <c r="B2671" s="36"/>
      <c r="C2671" s="36"/>
      <c r="D2671"/>
      <c r="E2671"/>
      <c r="F2671"/>
      <c r="G2671"/>
      <c r="H2671"/>
      <c r="I2671"/>
      <c r="J2671"/>
      <c r="K2671"/>
      <c r="L2671"/>
      <c r="M2671"/>
      <c r="N2671"/>
      <c r="O2671"/>
      <c r="P2671" s="36"/>
      <c r="Q2671" s="37"/>
      <c r="R2671"/>
      <c r="S2671"/>
      <c r="T2671"/>
      <c r="U2671"/>
      <c r="V2671" s="39"/>
      <c r="W2671"/>
      <c r="X2671"/>
      <c r="Y2671"/>
      <c r="Z2671"/>
      <c r="AA2671"/>
    </row>
    <row r="2672" spans="1:27" x14ac:dyDescent="0.25">
      <c r="A2672"/>
      <c r="B2672" s="36"/>
      <c r="C2672" s="36"/>
      <c r="D2672"/>
      <c r="E2672"/>
      <c r="F2672"/>
      <c r="G2672"/>
      <c r="H2672"/>
      <c r="I2672"/>
      <c r="J2672"/>
      <c r="K2672"/>
      <c r="L2672"/>
      <c r="M2672"/>
      <c r="N2672"/>
      <c r="O2672"/>
      <c r="P2672" s="36"/>
      <c r="Q2672" s="37"/>
      <c r="R2672"/>
      <c r="S2672"/>
      <c r="T2672"/>
      <c r="U2672"/>
      <c r="V2672" s="39"/>
      <c r="W2672"/>
      <c r="X2672"/>
      <c r="Y2672"/>
      <c r="Z2672"/>
      <c r="AA2672"/>
    </row>
    <row r="2673" spans="1:27" x14ac:dyDescent="0.25">
      <c r="A2673"/>
      <c r="B2673" s="36"/>
      <c r="C2673" s="36"/>
      <c r="D2673"/>
      <c r="E2673"/>
      <c r="F2673"/>
      <c r="G2673"/>
      <c r="H2673"/>
      <c r="I2673"/>
      <c r="J2673"/>
      <c r="K2673"/>
      <c r="L2673"/>
      <c r="M2673"/>
      <c r="N2673"/>
      <c r="O2673"/>
      <c r="P2673" s="36"/>
      <c r="Q2673" s="37"/>
      <c r="R2673"/>
      <c r="S2673"/>
      <c r="T2673"/>
      <c r="U2673"/>
      <c r="V2673" s="39"/>
      <c r="W2673"/>
      <c r="X2673"/>
      <c r="Y2673"/>
      <c r="Z2673"/>
      <c r="AA2673"/>
    </row>
    <row r="2674" spans="1:27" x14ac:dyDescent="0.25">
      <c r="A2674"/>
      <c r="B2674" s="36"/>
      <c r="C2674" s="36"/>
      <c r="D2674"/>
      <c r="E2674"/>
      <c r="F2674"/>
      <c r="G2674"/>
      <c r="H2674"/>
      <c r="I2674"/>
      <c r="J2674"/>
      <c r="K2674"/>
      <c r="L2674"/>
      <c r="M2674"/>
      <c r="N2674"/>
      <c r="O2674"/>
      <c r="P2674" s="36"/>
      <c r="Q2674" s="37"/>
      <c r="R2674"/>
      <c r="S2674"/>
      <c r="T2674"/>
      <c r="U2674"/>
      <c r="V2674" s="39"/>
      <c r="W2674"/>
      <c r="X2674"/>
      <c r="Y2674"/>
      <c r="Z2674"/>
      <c r="AA2674"/>
    </row>
    <row r="2675" spans="1:27" x14ac:dyDescent="0.25">
      <c r="A2675"/>
      <c r="B2675" s="36"/>
      <c r="C2675" s="36"/>
      <c r="D2675"/>
      <c r="E2675"/>
      <c r="F2675"/>
      <c r="G2675"/>
      <c r="H2675"/>
      <c r="I2675"/>
      <c r="J2675"/>
      <c r="K2675"/>
      <c r="L2675"/>
      <c r="M2675"/>
      <c r="N2675"/>
      <c r="O2675"/>
      <c r="P2675" s="36"/>
      <c r="Q2675" s="37"/>
      <c r="R2675"/>
      <c r="S2675"/>
      <c r="T2675"/>
      <c r="U2675"/>
      <c r="V2675" s="39"/>
      <c r="W2675"/>
      <c r="X2675"/>
      <c r="Y2675"/>
      <c r="Z2675"/>
      <c r="AA2675"/>
    </row>
    <row r="2676" spans="1:27" x14ac:dyDescent="0.25">
      <c r="A2676"/>
      <c r="B2676" s="36"/>
      <c r="C2676" s="36"/>
      <c r="D2676"/>
      <c r="E2676"/>
      <c r="F2676"/>
      <c r="G2676"/>
      <c r="H2676"/>
      <c r="I2676"/>
      <c r="J2676"/>
      <c r="K2676"/>
      <c r="L2676"/>
      <c r="M2676"/>
      <c r="N2676"/>
      <c r="O2676"/>
      <c r="P2676" s="36"/>
      <c r="Q2676" s="37"/>
      <c r="R2676"/>
      <c r="S2676"/>
      <c r="T2676"/>
      <c r="U2676"/>
      <c r="V2676" s="39"/>
      <c r="W2676"/>
      <c r="X2676"/>
      <c r="Y2676"/>
      <c r="Z2676"/>
      <c r="AA2676"/>
    </row>
    <row r="2677" spans="1:27" x14ac:dyDescent="0.25">
      <c r="A2677"/>
      <c r="B2677" s="36"/>
      <c r="C2677" s="36"/>
      <c r="D2677"/>
      <c r="E2677"/>
      <c r="F2677"/>
      <c r="G2677"/>
      <c r="H2677"/>
      <c r="I2677"/>
      <c r="J2677"/>
      <c r="K2677"/>
      <c r="L2677"/>
      <c r="M2677"/>
      <c r="N2677"/>
      <c r="O2677"/>
      <c r="P2677" s="36"/>
      <c r="Q2677" s="37"/>
      <c r="R2677"/>
      <c r="S2677"/>
      <c r="T2677"/>
      <c r="U2677"/>
      <c r="V2677" s="39"/>
      <c r="W2677"/>
      <c r="X2677"/>
      <c r="Y2677"/>
      <c r="Z2677"/>
      <c r="AA2677"/>
    </row>
    <row r="2678" spans="1:27" x14ac:dyDescent="0.25">
      <c r="A2678"/>
      <c r="B2678" s="36"/>
      <c r="C2678" s="36"/>
      <c r="D2678"/>
      <c r="E2678"/>
      <c r="F2678"/>
      <c r="G2678"/>
      <c r="H2678"/>
      <c r="I2678"/>
      <c r="J2678"/>
      <c r="K2678"/>
      <c r="L2678"/>
      <c r="M2678"/>
      <c r="N2678"/>
      <c r="O2678"/>
      <c r="P2678" s="36"/>
      <c r="Q2678" s="37"/>
      <c r="R2678"/>
      <c r="S2678"/>
      <c r="T2678"/>
      <c r="U2678"/>
      <c r="V2678" s="39"/>
      <c r="W2678"/>
      <c r="X2678"/>
      <c r="Y2678"/>
      <c r="Z2678"/>
      <c r="AA2678"/>
    </row>
    <row r="2679" spans="1:27" x14ac:dyDescent="0.25">
      <c r="A2679"/>
      <c r="B2679" s="36"/>
      <c r="C2679" s="36"/>
      <c r="D2679"/>
      <c r="E2679"/>
      <c r="F2679"/>
      <c r="G2679"/>
      <c r="H2679"/>
      <c r="I2679"/>
      <c r="J2679"/>
      <c r="K2679"/>
      <c r="L2679"/>
      <c r="M2679"/>
      <c r="N2679"/>
      <c r="O2679"/>
      <c r="P2679" s="36"/>
      <c r="Q2679" s="37"/>
      <c r="R2679"/>
      <c r="S2679"/>
      <c r="T2679"/>
      <c r="U2679"/>
      <c r="V2679" s="39"/>
      <c r="W2679"/>
      <c r="X2679"/>
      <c r="Y2679"/>
      <c r="Z2679"/>
      <c r="AA2679"/>
    </row>
    <row r="2680" spans="1:27" x14ac:dyDescent="0.25">
      <c r="A2680"/>
      <c r="B2680" s="36"/>
      <c r="C2680" s="36"/>
      <c r="D2680"/>
      <c r="E2680"/>
      <c r="F2680"/>
      <c r="G2680"/>
      <c r="H2680"/>
      <c r="I2680"/>
      <c r="J2680"/>
      <c r="K2680"/>
      <c r="L2680"/>
      <c r="M2680"/>
      <c r="N2680"/>
      <c r="O2680"/>
      <c r="P2680" s="36"/>
      <c r="Q2680" s="37"/>
      <c r="R2680"/>
      <c r="S2680"/>
      <c r="T2680"/>
      <c r="U2680"/>
      <c r="V2680" s="39"/>
      <c r="W2680"/>
      <c r="X2680"/>
      <c r="Y2680"/>
      <c r="Z2680"/>
      <c r="AA2680"/>
    </row>
    <row r="2681" spans="1:27" x14ac:dyDescent="0.25">
      <c r="A2681"/>
      <c r="B2681" s="36"/>
      <c r="C2681" s="36"/>
      <c r="D2681"/>
      <c r="E2681"/>
      <c r="F2681"/>
      <c r="G2681"/>
      <c r="H2681"/>
      <c r="I2681"/>
      <c r="J2681"/>
      <c r="K2681"/>
      <c r="L2681"/>
      <c r="M2681"/>
      <c r="N2681"/>
      <c r="O2681"/>
      <c r="P2681" s="36"/>
      <c r="Q2681" s="37"/>
      <c r="R2681"/>
      <c r="S2681"/>
      <c r="T2681"/>
      <c r="U2681"/>
      <c r="V2681" s="39"/>
      <c r="W2681"/>
      <c r="X2681"/>
      <c r="Y2681"/>
      <c r="Z2681"/>
      <c r="AA2681"/>
    </row>
    <row r="2682" spans="1:27" x14ac:dyDescent="0.25">
      <c r="A2682"/>
      <c r="B2682" s="36"/>
      <c r="C2682" s="36"/>
      <c r="D2682"/>
      <c r="E2682"/>
      <c r="F2682"/>
      <c r="G2682"/>
      <c r="H2682"/>
      <c r="I2682"/>
      <c r="J2682"/>
      <c r="K2682"/>
      <c r="L2682"/>
      <c r="M2682"/>
      <c r="N2682"/>
      <c r="O2682"/>
      <c r="P2682" s="36"/>
      <c r="Q2682" s="37"/>
      <c r="R2682"/>
      <c r="S2682"/>
      <c r="T2682"/>
      <c r="U2682"/>
      <c r="V2682" s="39"/>
      <c r="W2682"/>
      <c r="X2682"/>
      <c r="Y2682"/>
      <c r="Z2682"/>
      <c r="AA2682"/>
    </row>
    <row r="2683" spans="1:27" x14ac:dyDescent="0.25">
      <c r="A2683"/>
      <c r="B2683" s="36"/>
      <c r="C2683" s="36"/>
      <c r="D2683"/>
      <c r="E2683"/>
      <c r="F2683"/>
      <c r="G2683"/>
      <c r="H2683"/>
      <c r="I2683"/>
      <c r="J2683"/>
      <c r="K2683"/>
      <c r="L2683"/>
      <c r="M2683"/>
      <c r="N2683"/>
      <c r="O2683"/>
      <c r="P2683" s="36"/>
      <c r="Q2683" s="37"/>
      <c r="R2683"/>
      <c r="S2683"/>
      <c r="T2683"/>
      <c r="U2683"/>
      <c r="V2683" s="39"/>
      <c r="W2683"/>
      <c r="X2683"/>
      <c r="Y2683"/>
      <c r="Z2683"/>
      <c r="AA2683"/>
    </row>
    <row r="2684" spans="1:27" x14ac:dyDescent="0.25">
      <c r="A2684"/>
      <c r="B2684" s="36"/>
      <c r="C2684" s="36"/>
      <c r="D2684"/>
      <c r="E2684"/>
      <c r="F2684"/>
      <c r="G2684"/>
      <c r="H2684"/>
      <c r="I2684"/>
      <c r="J2684"/>
      <c r="K2684"/>
      <c r="L2684"/>
      <c r="M2684"/>
      <c r="N2684"/>
      <c r="O2684"/>
      <c r="P2684" s="36"/>
      <c r="Q2684" s="37"/>
      <c r="R2684"/>
      <c r="S2684"/>
      <c r="T2684"/>
      <c r="U2684"/>
      <c r="V2684" s="39"/>
      <c r="W2684"/>
      <c r="X2684"/>
      <c r="Y2684"/>
      <c r="Z2684"/>
      <c r="AA2684"/>
    </row>
    <row r="2685" spans="1:27" x14ac:dyDescent="0.25">
      <c r="A2685"/>
      <c r="B2685" s="36"/>
      <c r="C2685" s="36"/>
      <c r="D2685"/>
      <c r="E2685"/>
      <c r="F2685"/>
      <c r="G2685"/>
      <c r="H2685"/>
      <c r="I2685"/>
      <c r="J2685"/>
      <c r="K2685"/>
      <c r="L2685"/>
      <c r="M2685"/>
      <c r="N2685"/>
      <c r="O2685"/>
      <c r="P2685" s="36"/>
      <c r="Q2685" s="37"/>
      <c r="R2685"/>
      <c r="S2685"/>
      <c r="T2685"/>
      <c r="U2685"/>
      <c r="V2685" s="39"/>
      <c r="W2685"/>
      <c r="X2685"/>
      <c r="Y2685"/>
      <c r="Z2685"/>
      <c r="AA2685"/>
    </row>
    <row r="2686" spans="1:27" x14ac:dyDescent="0.25">
      <c r="A2686"/>
      <c r="B2686" s="36"/>
      <c r="C2686" s="36"/>
      <c r="D2686"/>
      <c r="E2686"/>
      <c r="F2686"/>
      <c r="G2686"/>
      <c r="H2686"/>
      <c r="I2686"/>
      <c r="J2686"/>
      <c r="K2686"/>
      <c r="L2686"/>
      <c r="M2686"/>
      <c r="N2686"/>
      <c r="O2686"/>
      <c r="P2686" s="36"/>
      <c r="Q2686" s="37"/>
      <c r="R2686"/>
      <c r="S2686"/>
      <c r="T2686"/>
      <c r="U2686"/>
      <c r="V2686" s="39"/>
      <c r="W2686"/>
      <c r="X2686"/>
      <c r="Y2686"/>
      <c r="Z2686"/>
      <c r="AA2686"/>
    </row>
    <row r="2687" spans="1:27" x14ac:dyDescent="0.25">
      <c r="A2687"/>
      <c r="B2687" s="36"/>
      <c r="C2687" s="36"/>
      <c r="D2687"/>
      <c r="E2687"/>
      <c r="F2687"/>
      <c r="G2687"/>
      <c r="H2687"/>
      <c r="I2687"/>
      <c r="J2687"/>
      <c r="K2687"/>
      <c r="L2687"/>
      <c r="M2687"/>
      <c r="N2687"/>
      <c r="O2687"/>
      <c r="P2687" s="36"/>
      <c r="Q2687" s="37"/>
      <c r="R2687"/>
      <c r="S2687"/>
      <c r="T2687"/>
      <c r="U2687"/>
      <c r="V2687" s="39"/>
      <c r="W2687"/>
      <c r="X2687"/>
      <c r="Y2687"/>
      <c r="Z2687"/>
      <c r="AA2687"/>
    </row>
    <row r="2688" spans="1:27" x14ac:dyDescent="0.25">
      <c r="A2688"/>
      <c r="B2688" s="36"/>
      <c r="C2688" s="36"/>
      <c r="D2688"/>
      <c r="E2688"/>
      <c r="F2688"/>
      <c r="G2688"/>
      <c r="H2688"/>
      <c r="I2688"/>
      <c r="J2688"/>
      <c r="K2688"/>
      <c r="L2688"/>
      <c r="M2688"/>
      <c r="N2688"/>
      <c r="O2688"/>
      <c r="P2688" s="36"/>
      <c r="Q2688" s="37"/>
      <c r="R2688"/>
      <c r="S2688"/>
      <c r="T2688"/>
      <c r="U2688"/>
      <c r="V2688" s="39"/>
      <c r="W2688"/>
      <c r="X2688"/>
      <c r="Y2688"/>
      <c r="Z2688"/>
      <c r="AA2688"/>
    </row>
    <row r="2689" spans="1:27" x14ac:dyDescent="0.25">
      <c r="A2689"/>
      <c r="B2689" s="36"/>
      <c r="C2689" s="36"/>
      <c r="D2689"/>
      <c r="E2689"/>
      <c r="F2689"/>
      <c r="G2689"/>
      <c r="H2689"/>
      <c r="I2689"/>
      <c r="J2689"/>
      <c r="K2689"/>
      <c r="L2689"/>
      <c r="M2689"/>
      <c r="N2689"/>
      <c r="O2689"/>
      <c r="P2689" s="36"/>
      <c r="Q2689" s="37"/>
      <c r="R2689"/>
      <c r="S2689"/>
      <c r="T2689"/>
      <c r="U2689"/>
      <c r="V2689" s="39"/>
      <c r="W2689"/>
      <c r="X2689"/>
      <c r="Y2689"/>
      <c r="Z2689"/>
      <c r="AA2689"/>
    </row>
    <row r="2690" spans="1:27" x14ac:dyDescent="0.25">
      <c r="A2690"/>
      <c r="B2690" s="36"/>
      <c r="C2690" s="36"/>
      <c r="D2690"/>
      <c r="E2690"/>
      <c r="F2690"/>
      <c r="G2690"/>
      <c r="H2690"/>
      <c r="I2690"/>
      <c r="J2690"/>
      <c r="K2690"/>
      <c r="L2690"/>
      <c r="M2690"/>
      <c r="N2690"/>
      <c r="O2690"/>
      <c r="P2690" s="36"/>
      <c r="Q2690" s="37"/>
      <c r="R2690"/>
      <c r="S2690"/>
      <c r="T2690"/>
      <c r="U2690"/>
      <c r="V2690" s="39"/>
      <c r="W2690"/>
      <c r="X2690"/>
      <c r="Y2690"/>
      <c r="Z2690"/>
      <c r="AA2690"/>
    </row>
    <row r="2691" spans="1:27" x14ac:dyDescent="0.25">
      <c r="A2691"/>
      <c r="B2691" s="36"/>
      <c r="C2691" s="36"/>
      <c r="D2691"/>
      <c r="E2691"/>
      <c r="F2691"/>
      <c r="G2691"/>
      <c r="H2691"/>
      <c r="I2691"/>
      <c r="J2691"/>
      <c r="K2691"/>
      <c r="L2691"/>
      <c r="M2691"/>
      <c r="N2691"/>
      <c r="O2691"/>
      <c r="P2691" s="36"/>
      <c r="Q2691" s="37"/>
      <c r="R2691"/>
      <c r="S2691"/>
      <c r="T2691"/>
      <c r="U2691"/>
      <c r="V2691" s="39"/>
      <c r="W2691"/>
      <c r="X2691"/>
      <c r="Y2691"/>
      <c r="Z2691"/>
      <c r="AA2691"/>
    </row>
    <row r="2692" spans="1:27" x14ac:dyDescent="0.25">
      <c r="A2692"/>
      <c r="B2692" s="36"/>
      <c r="C2692" s="36"/>
      <c r="D2692"/>
      <c r="E2692"/>
      <c r="F2692"/>
      <c r="G2692"/>
      <c r="H2692"/>
      <c r="I2692"/>
      <c r="J2692"/>
      <c r="K2692"/>
      <c r="L2692"/>
      <c r="M2692"/>
      <c r="N2692"/>
      <c r="O2692"/>
      <c r="P2692" s="36"/>
      <c r="Q2692" s="37"/>
      <c r="R2692"/>
      <c r="S2692"/>
      <c r="T2692"/>
      <c r="U2692"/>
      <c r="V2692" s="39"/>
      <c r="W2692"/>
      <c r="X2692"/>
      <c r="Y2692"/>
      <c r="Z2692"/>
      <c r="AA2692"/>
    </row>
    <row r="2693" spans="1:27" x14ac:dyDescent="0.25">
      <c r="A2693"/>
      <c r="B2693" s="36"/>
      <c r="C2693" s="36"/>
      <c r="D2693"/>
      <c r="E2693"/>
      <c r="F2693"/>
      <c r="G2693"/>
      <c r="H2693"/>
      <c r="I2693"/>
      <c r="J2693"/>
      <c r="K2693"/>
      <c r="L2693"/>
      <c r="M2693"/>
      <c r="N2693"/>
      <c r="O2693"/>
      <c r="P2693" s="36"/>
      <c r="Q2693" s="37"/>
      <c r="R2693"/>
      <c r="S2693"/>
      <c r="T2693"/>
      <c r="U2693"/>
      <c r="V2693" s="39"/>
      <c r="W2693"/>
      <c r="X2693"/>
      <c r="Y2693"/>
      <c r="Z2693"/>
      <c r="AA2693"/>
    </row>
    <row r="2694" spans="1:27" x14ac:dyDescent="0.25">
      <c r="A2694"/>
      <c r="B2694" s="36"/>
      <c r="C2694" s="36"/>
      <c r="D2694"/>
      <c r="E2694"/>
      <c r="F2694"/>
      <c r="G2694"/>
      <c r="H2694"/>
      <c r="I2694"/>
      <c r="J2694"/>
      <c r="K2694"/>
      <c r="L2694"/>
      <c r="M2694"/>
      <c r="N2694"/>
      <c r="O2694"/>
      <c r="P2694" s="36"/>
      <c r="Q2694" s="37"/>
      <c r="R2694"/>
      <c r="S2694"/>
      <c r="T2694"/>
      <c r="U2694"/>
      <c r="V2694" s="39"/>
      <c r="W2694"/>
      <c r="X2694"/>
      <c r="Y2694"/>
      <c r="Z2694"/>
      <c r="AA2694"/>
    </row>
    <row r="2695" spans="1:27" x14ac:dyDescent="0.25">
      <c r="A2695"/>
      <c r="B2695" s="36"/>
      <c r="C2695" s="36"/>
      <c r="D2695"/>
      <c r="E2695"/>
      <c r="F2695"/>
      <c r="G2695"/>
      <c r="H2695"/>
      <c r="I2695"/>
      <c r="J2695"/>
      <c r="K2695"/>
      <c r="L2695"/>
      <c r="M2695"/>
      <c r="N2695"/>
      <c r="O2695"/>
      <c r="P2695" s="36"/>
      <c r="Q2695" s="37"/>
      <c r="R2695"/>
      <c r="S2695"/>
      <c r="T2695"/>
      <c r="U2695"/>
      <c r="V2695" s="39"/>
      <c r="W2695"/>
      <c r="X2695"/>
      <c r="Y2695"/>
      <c r="Z2695"/>
      <c r="AA2695"/>
    </row>
    <row r="2696" spans="1:27" x14ac:dyDescent="0.25">
      <c r="A2696"/>
      <c r="B2696" s="36"/>
      <c r="C2696" s="36"/>
      <c r="D2696"/>
      <c r="E2696"/>
      <c r="F2696"/>
      <c r="G2696"/>
      <c r="H2696"/>
      <c r="I2696"/>
      <c r="J2696"/>
      <c r="K2696"/>
      <c r="L2696"/>
      <c r="M2696"/>
      <c r="N2696"/>
      <c r="O2696"/>
      <c r="P2696" s="36"/>
      <c r="Q2696" s="37"/>
      <c r="R2696"/>
      <c r="S2696"/>
      <c r="T2696"/>
      <c r="U2696"/>
      <c r="V2696" s="39"/>
      <c r="W2696"/>
      <c r="X2696"/>
      <c r="Y2696"/>
      <c r="Z2696"/>
      <c r="AA2696"/>
    </row>
    <row r="2697" spans="1:27" x14ac:dyDescent="0.25">
      <c r="A2697"/>
      <c r="B2697" s="36"/>
      <c r="C2697" s="36"/>
      <c r="D2697"/>
      <c r="E2697"/>
      <c r="F2697"/>
      <c r="G2697"/>
      <c r="H2697"/>
      <c r="I2697"/>
      <c r="J2697"/>
      <c r="K2697"/>
      <c r="L2697"/>
      <c r="M2697"/>
      <c r="N2697"/>
      <c r="O2697"/>
      <c r="P2697" s="36"/>
      <c r="Q2697" s="37"/>
      <c r="R2697"/>
      <c r="S2697"/>
      <c r="T2697"/>
      <c r="U2697"/>
      <c r="V2697" s="39"/>
      <c r="W2697"/>
      <c r="X2697"/>
      <c r="Y2697"/>
      <c r="Z2697"/>
      <c r="AA2697"/>
    </row>
    <row r="2698" spans="1:27" x14ac:dyDescent="0.25">
      <c r="A2698"/>
      <c r="B2698" s="36"/>
      <c r="C2698" s="36"/>
      <c r="D2698"/>
      <c r="E2698"/>
      <c r="F2698"/>
      <c r="G2698"/>
      <c r="H2698"/>
      <c r="I2698"/>
      <c r="J2698"/>
      <c r="K2698"/>
      <c r="L2698"/>
      <c r="M2698"/>
      <c r="N2698"/>
      <c r="O2698"/>
      <c r="P2698" s="36"/>
      <c r="Q2698" s="37"/>
      <c r="R2698"/>
      <c r="S2698"/>
      <c r="T2698"/>
      <c r="U2698"/>
      <c r="V2698" s="39"/>
      <c r="W2698"/>
      <c r="X2698"/>
      <c r="Y2698"/>
      <c r="Z2698"/>
      <c r="AA2698"/>
    </row>
    <row r="2699" spans="1:27" x14ac:dyDescent="0.25">
      <c r="A2699"/>
      <c r="B2699" s="36"/>
      <c r="C2699" s="36"/>
      <c r="D2699"/>
      <c r="E2699"/>
      <c r="F2699"/>
      <c r="G2699"/>
      <c r="H2699"/>
      <c r="I2699"/>
      <c r="J2699"/>
      <c r="K2699"/>
      <c r="L2699"/>
      <c r="M2699"/>
      <c r="N2699"/>
      <c r="O2699"/>
      <c r="P2699" s="36"/>
      <c r="Q2699" s="37"/>
      <c r="R2699"/>
      <c r="S2699"/>
      <c r="T2699"/>
      <c r="U2699"/>
      <c r="V2699" s="39"/>
      <c r="W2699"/>
      <c r="X2699"/>
      <c r="Y2699"/>
      <c r="Z2699"/>
      <c r="AA2699"/>
    </row>
    <row r="2700" spans="1:27" x14ac:dyDescent="0.25">
      <c r="A2700"/>
      <c r="B2700" s="36"/>
      <c r="C2700" s="36"/>
      <c r="D2700"/>
      <c r="E2700"/>
      <c r="F2700"/>
      <c r="G2700"/>
      <c r="H2700"/>
      <c r="I2700"/>
      <c r="J2700"/>
      <c r="K2700"/>
      <c r="L2700"/>
      <c r="M2700"/>
      <c r="N2700"/>
      <c r="O2700"/>
      <c r="P2700" s="36"/>
      <c r="Q2700" s="37"/>
      <c r="R2700"/>
      <c r="S2700"/>
      <c r="T2700"/>
      <c r="U2700"/>
      <c r="V2700" s="39"/>
      <c r="W2700"/>
      <c r="X2700"/>
      <c r="Y2700"/>
      <c r="Z2700"/>
      <c r="AA2700"/>
    </row>
    <row r="2701" spans="1:27" x14ac:dyDescent="0.25">
      <c r="A2701"/>
      <c r="B2701" s="36"/>
      <c r="C2701" s="36"/>
      <c r="D2701"/>
      <c r="E2701"/>
      <c r="F2701"/>
      <c r="G2701"/>
      <c r="H2701"/>
      <c r="I2701"/>
      <c r="J2701"/>
      <c r="K2701"/>
      <c r="L2701"/>
      <c r="M2701"/>
      <c r="N2701"/>
      <c r="O2701"/>
      <c r="P2701" s="36"/>
      <c r="Q2701" s="37"/>
      <c r="R2701"/>
      <c r="S2701"/>
      <c r="T2701"/>
      <c r="U2701"/>
      <c r="V2701" s="39"/>
      <c r="W2701"/>
      <c r="X2701"/>
      <c r="Y2701"/>
      <c r="Z2701"/>
      <c r="AA2701"/>
    </row>
    <row r="2702" spans="1:27" x14ac:dyDescent="0.25">
      <c r="A2702"/>
      <c r="B2702" s="36"/>
      <c r="C2702" s="36"/>
      <c r="D2702"/>
      <c r="E2702"/>
      <c r="F2702"/>
      <c r="G2702"/>
      <c r="H2702"/>
      <c r="I2702"/>
      <c r="J2702"/>
      <c r="K2702"/>
      <c r="L2702"/>
      <c r="M2702"/>
      <c r="N2702"/>
      <c r="O2702"/>
      <c r="P2702" s="36"/>
      <c r="Q2702" s="37"/>
      <c r="R2702"/>
      <c r="S2702"/>
      <c r="T2702"/>
      <c r="U2702"/>
      <c r="V2702" s="39"/>
      <c r="W2702"/>
      <c r="X2702"/>
      <c r="Y2702"/>
      <c r="Z2702"/>
      <c r="AA2702"/>
    </row>
    <row r="2703" spans="1:27" x14ac:dyDescent="0.25">
      <c r="A2703"/>
      <c r="B2703" s="36"/>
      <c r="C2703" s="36"/>
      <c r="D2703"/>
      <c r="E2703"/>
      <c r="F2703"/>
      <c r="G2703"/>
      <c r="H2703"/>
      <c r="I2703"/>
      <c r="J2703"/>
      <c r="K2703"/>
      <c r="L2703"/>
      <c r="M2703"/>
      <c r="N2703"/>
      <c r="O2703"/>
      <c r="P2703" s="36"/>
      <c r="Q2703" s="37"/>
      <c r="R2703"/>
      <c r="S2703"/>
      <c r="T2703"/>
      <c r="U2703"/>
      <c r="V2703" s="39"/>
      <c r="W2703"/>
      <c r="X2703"/>
      <c r="Y2703"/>
      <c r="Z2703"/>
      <c r="AA2703"/>
    </row>
    <row r="2704" spans="1:27" x14ac:dyDescent="0.25">
      <c r="A2704"/>
      <c r="B2704" s="36"/>
      <c r="C2704" s="36"/>
      <c r="D2704"/>
      <c r="E2704"/>
      <c r="F2704"/>
      <c r="G2704"/>
      <c r="H2704"/>
      <c r="I2704"/>
      <c r="J2704"/>
      <c r="K2704"/>
      <c r="L2704"/>
      <c r="M2704"/>
      <c r="N2704"/>
      <c r="O2704"/>
      <c r="P2704" s="36"/>
      <c r="Q2704" s="37"/>
      <c r="R2704"/>
      <c r="S2704"/>
      <c r="T2704"/>
      <c r="U2704"/>
      <c r="V2704" s="39"/>
      <c r="W2704"/>
      <c r="X2704"/>
      <c r="Y2704"/>
      <c r="Z2704"/>
      <c r="AA2704"/>
    </row>
    <row r="2705" spans="1:27" x14ac:dyDescent="0.25">
      <c r="A2705"/>
      <c r="B2705" s="36"/>
      <c r="C2705" s="36"/>
      <c r="D2705"/>
      <c r="E2705"/>
      <c r="F2705"/>
      <c r="G2705"/>
      <c r="H2705"/>
      <c r="I2705"/>
      <c r="J2705"/>
      <c r="K2705"/>
      <c r="L2705"/>
      <c r="M2705"/>
      <c r="N2705"/>
      <c r="O2705"/>
      <c r="P2705" s="36"/>
      <c r="Q2705" s="37"/>
      <c r="R2705"/>
      <c r="S2705"/>
      <c r="T2705"/>
      <c r="U2705"/>
      <c r="V2705" s="39"/>
      <c r="W2705"/>
      <c r="X2705"/>
      <c r="Y2705"/>
      <c r="Z2705"/>
      <c r="AA2705"/>
    </row>
    <row r="2706" spans="1:27" x14ac:dyDescent="0.25">
      <c r="A2706"/>
      <c r="B2706" s="36"/>
      <c r="C2706" s="36"/>
      <c r="D2706"/>
      <c r="E2706"/>
      <c r="F2706"/>
      <c r="G2706"/>
      <c r="H2706"/>
      <c r="I2706"/>
      <c r="J2706"/>
      <c r="K2706"/>
      <c r="L2706"/>
      <c r="M2706"/>
      <c r="N2706"/>
      <c r="O2706"/>
      <c r="P2706" s="36"/>
      <c r="Q2706" s="37"/>
      <c r="R2706"/>
      <c r="S2706"/>
      <c r="T2706"/>
      <c r="U2706"/>
      <c r="V2706" s="39"/>
      <c r="W2706"/>
      <c r="X2706"/>
      <c r="Y2706"/>
      <c r="Z2706"/>
      <c r="AA2706"/>
    </row>
    <row r="2707" spans="1:27" x14ac:dyDescent="0.25">
      <c r="A2707"/>
      <c r="B2707" s="36"/>
      <c r="C2707" s="36"/>
      <c r="D2707"/>
      <c r="E2707"/>
      <c r="F2707"/>
      <c r="G2707"/>
      <c r="H2707"/>
      <c r="I2707"/>
      <c r="J2707"/>
      <c r="K2707"/>
      <c r="L2707"/>
      <c r="M2707"/>
      <c r="N2707"/>
      <c r="O2707"/>
      <c r="P2707" s="36"/>
      <c r="Q2707" s="37"/>
      <c r="R2707"/>
      <c r="S2707"/>
      <c r="T2707"/>
      <c r="U2707"/>
      <c r="V2707" s="39"/>
      <c r="W2707"/>
      <c r="X2707"/>
      <c r="Y2707"/>
      <c r="Z2707"/>
      <c r="AA2707"/>
    </row>
    <row r="2708" spans="1:27" x14ac:dyDescent="0.25">
      <c r="A2708"/>
      <c r="B2708" s="36"/>
      <c r="C2708" s="36"/>
      <c r="D2708"/>
      <c r="E2708"/>
      <c r="F2708"/>
      <c r="G2708"/>
      <c r="H2708"/>
      <c r="I2708"/>
      <c r="J2708"/>
      <c r="K2708"/>
      <c r="L2708"/>
      <c r="M2708"/>
      <c r="N2708"/>
      <c r="O2708"/>
      <c r="P2708" s="36"/>
      <c r="Q2708" s="37"/>
      <c r="R2708"/>
      <c r="S2708"/>
      <c r="T2708"/>
      <c r="U2708"/>
      <c r="V2708" s="39"/>
      <c r="W2708"/>
      <c r="X2708"/>
      <c r="Y2708"/>
      <c r="Z2708"/>
      <c r="AA2708"/>
    </row>
    <row r="2709" spans="1:27" x14ac:dyDescent="0.25">
      <c r="A2709"/>
      <c r="B2709" s="36"/>
      <c r="C2709" s="36"/>
      <c r="D2709"/>
      <c r="E2709"/>
      <c r="F2709"/>
      <c r="G2709"/>
      <c r="H2709"/>
      <c r="I2709"/>
      <c r="J2709"/>
      <c r="K2709"/>
      <c r="L2709"/>
      <c r="M2709"/>
      <c r="N2709"/>
      <c r="O2709"/>
      <c r="P2709" s="36"/>
      <c r="Q2709" s="37"/>
      <c r="R2709"/>
      <c r="S2709"/>
      <c r="T2709"/>
      <c r="U2709"/>
      <c r="V2709" s="39"/>
      <c r="W2709"/>
      <c r="X2709"/>
      <c r="Y2709"/>
      <c r="Z2709"/>
      <c r="AA2709"/>
    </row>
    <row r="2710" spans="1:27" x14ac:dyDescent="0.25">
      <c r="A2710"/>
      <c r="B2710" s="36"/>
      <c r="C2710" s="36"/>
      <c r="D2710"/>
      <c r="E2710"/>
      <c r="F2710"/>
      <c r="G2710"/>
      <c r="H2710"/>
      <c r="I2710"/>
      <c r="J2710"/>
      <c r="K2710"/>
      <c r="L2710"/>
      <c r="M2710"/>
      <c r="N2710"/>
      <c r="O2710"/>
      <c r="P2710" s="36"/>
      <c r="Q2710" s="37"/>
      <c r="R2710"/>
      <c r="S2710"/>
      <c r="T2710"/>
      <c r="U2710"/>
      <c r="V2710" s="39"/>
      <c r="W2710"/>
      <c r="X2710"/>
      <c r="Y2710"/>
      <c r="Z2710"/>
      <c r="AA2710"/>
    </row>
    <row r="2711" spans="1:27" x14ac:dyDescent="0.25">
      <c r="A2711"/>
      <c r="B2711" s="36"/>
      <c r="C2711" s="36"/>
      <c r="D2711"/>
      <c r="E2711"/>
      <c r="F2711"/>
      <c r="G2711"/>
      <c r="H2711"/>
      <c r="I2711"/>
      <c r="J2711"/>
      <c r="K2711"/>
      <c r="L2711"/>
      <c r="M2711"/>
      <c r="N2711"/>
      <c r="O2711"/>
      <c r="P2711" s="36"/>
      <c r="Q2711" s="37"/>
      <c r="R2711"/>
      <c r="S2711"/>
      <c r="T2711"/>
      <c r="U2711"/>
      <c r="V2711" s="39"/>
      <c r="W2711"/>
      <c r="X2711"/>
      <c r="Y2711"/>
      <c r="Z2711"/>
      <c r="AA2711"/>
    </row>
    <row r="2712" spans="1:27" x14ac:dyDescent="0.25">
      <c r="A2712"/>
      <c r="B2712" s="36"/>
      <c r="C2712" s="36"/>
      <c r="D2712"/>
      <c r="E2712"/>
      <c r="F2712"/>
      <c r="G2712"/>
      <c r="H2712"/>
      <c r="I2712"/>
      <c r="J2712"/>
      <c r="K2712"/>
      <c r="L2712"/>
      <c r="M2712"/>
      <c r="N2712"/>
      <c r="O2712"/>
      <c r="P2712" s="36"/>
      <c r="Q2712" s="37"/>
      <c r="R2712"/>
      <c r="S2712"/>
      <c r="T2712"/>
      <c r="U2712"/>
      <c r="V2712" s="39"/>
      <c r="W2712"/>
      <c r="X2712"/>
      <c r="Y2712"/>
      <c r="Z2712"/>
      <c r="AA2712"/>
    </row>
    <row r="2713" spans="1:27" x14ac:dyDescent="0.25">
      <c r="A2713"/>
      <c r="B2713" s="36"/>
      <c r="C2713" s="36"/>
      <c r="D2713"/>
      <c r="E2713"/>
      <c r="F2713"/>
      <c r="G2713"/>
      <c r="H2713"/>
      <c r="I2713"/>
      <c r="J2713"/>
      <c r="K2713"/>
      <c r="L2713"/>
      <c r="M2713"/>
      <c r="N2713"/>
      <c r="O2713"/>
      <c r="P2713" s="36"/>
      <c r="Q2713" s="37"/>
      <c r="R2713" s="44"/>
      <c r="S2713"/>
      <c r="T2713"/>
      <c r="U2713"/>
      <c r="V2713" s="39"/>
      <c r="W2713"/>
      <c r="X2713"/>
      <c r="Y2713"/>
      <c r="Z2713"/>
      <c r="AA2713"/>
    </row>
    <row r="2714" spans="1:27" x14ac:dyDescent="0.25">
      <c r="A2714"/>
      <c r="B2714" s="36"/>
      <c r="C2714" s="36"/>
      <c r="D2714"/>
      <c r="E2714"/>
      <c r="F2714"/>
      <c r="G2714"/>
      <c r="H2714"/>
      <c r="I2714"/>
      <c r="J2714"/>
      <c r="K2714"/>
      <c r="L2714"/>
      <c r="M2714"/>
      <c r="N2714"/>
      <c r="O2714"/>
      <c r="P2714" s="36"/>
      <c r="Q2714" s="37"/>
      <c r="R2714"/>
      <c r="S2714"/>
      <c r="T2714"/>
      <c r="U2714"/>
      <c r="V2714" s="39"/>
      <c r="W2714"/>
      <c r="X2714"/>
      <c r="Y2714"/>
      <c r="Z2714"/>
      <c r="AA2714"/>
    </row>
    <row r="2715" spans="1:27" x14ac:dyDescent="0.25">
      <c r="A2715"/>
      <c r="B2715" s="36"/>
      <c r="C2715" s="36"/>
      <c r="D2715"/>
      <c r="E2715"/>
      <c r="F2715"/>
      <c r="G2715"/>
      <c r="H2715"/>
      <c r="I2715"/>
      <c r="J2715"/>
      <c r="K2715"/>
      <c r="L2715"/>
      <c r="M2715"/>
      <c r="N2715"/>
      <c r="O2715"/>
      <c r="P2715" s="36"/>
      <c r="Q2715" s="37"/>
      <c r="R2715"/>
      <c r="S2715"/>
      <c r="T2715"/>
      <c r="U2715"/>
      <c r="V2715" s="39"/>
      <c r="W2715"/>
      <c r="X2715"/>
      <c r="Y2715"/>
      <c r="Z2715"/>
      <c r="AA2715"/>
    </row>
    <row r="2716" spans="1:27" x14ac:dyDescent="0.25">
      <c r="A2716"/>
      <c r="B2716" s="36"/>
      <c r="C2716" s="36"/>
      <c r="D2716"/>
      <c r="E2716"/>
      <c r="F2716"/>
      <c r="G2716"/>
      <c r="H2716"/>
      <c r="I2716"/>
      <c r="J2716"/>
      <c r="K2716"/>
      <c r="L2716"/>
      <c r="M2716"/>
      <c r="N2716"/>
      <c r="O2716"/>
      <c r="P2716" s="36"/>
      <c r="Q2716" s="37"/>
      <c r="R2716"/>
      <c r="S2716"/>
      <c r="T2716"/>
      <c r="U2716"/>
      <c r="V2716" s="39"/>
      <c r="W2716"/>
      <c r="X2716"/>
      <c r="Y2716"/>
      <c r="Z2716"/>
      <c r="AA2716"/>
    </row>
    <row r="2717" spans="1:27" x14ac:dyDescent="0.25">
      <c r="A2717"/>
      <c r="B2717" s="36"/>
      <c r="C2717" s="36"/>
      <c r="D2717"/>
      <c r="E2717"/>
      <c r="F2717"/>
      <c r="G2717"/>
      <c r="H2717"/>
      <c r="I2717"/>
      <c r="J2717"/>
      <c r="K2717"/>
      <c r="L2717"/>
      <c r="M2717"/>
      <c r="N2717"/>
      <c r="O2717"/>
      <c r="P2717" s="36"/>
      <c r="Q2717" s="37"/>
      <c r="R2717"/>
      <c r="S2717"/>
      <c r="T2717"/>
      <c r="U2717"/>
      <c r="V2717" s="39"/>
      <c r="W2717"/>
      <c r="X2717"/>
      <c r="Y2717"/>
      <c r="Z2717"/>
      <c r="AA2717"/>
    </row>
    <row r="2718" spans="1:27" x14ac:dyDescent="0.25">
      <c r="A2718"/>
      <c r="B2718" s="36"/>
      <c r="C2718" s="36"/>
      <c r="D2718"/>
      <c r="E2718"/>
      <c r="F2718"/>
      <c r="G2718"/>
      <c r="H2718"/>
      <c r="I2718"/>
      <c r="J2718"/>
      <c r="K2718"/>
      <c r="L2718"/>
      <c r="M2718"/>
      <c r="N2718"/>
      <c r="O2718"/>
      <c r="P2718" s="36"/>
      <c r="Q2718" s="37"/>
      <c r="R2718"/>
      <c r="S2718"/>
      <c r="T2718"/>
      <c r="U2718"/>
      <c r="V2718" s="39"/>
      <c r="W2718"/>
      <c r="X2718"/>
      <c r="Y2718"/>
      <c r="Z2718"/>
      <c r="AA2718"/>
    </row>
    <row r="2719" spans="1:27" x14ac:dyDescent="0.25">
      <c r="A2719"/>
      <c r="B2719" s="36"/>
      <c r="C2719" s="36"/>
      <c r="D2719"/>
      <c r="E2719"/>
      <c r="F2719"/>
      <c r="G2719"/>
      <c r="H2719"/>
      <c r="I2719"/>
      <c r="J2719"/>
      <c r="K2719"/>
      <c r="L2719"/>
      <c r="M2719"/>
      <c r="N2719"/>
      <c r="O2719"/>
      <c r="P2719" s="36"/>
      <c r="Q2719" s="37"/>
      <c r="R2719"/>
      <c r="S2719"/>
      <c r="T2719"/>
      <c r="U2719"/>
      <c r="V2719" s="39"/>
      <c r="W2719"/>
      <c r="X2719"/>
      <c r="Y2719"/>
      <c r="Z2719"/>
      <c r="AA2719"/>
    </row>
    <row r="2720" spans="1:27" x14ac:dyDescent="0.25">
      <c r="A2720"/>
      <c r="B2720" s="36"/>
      <c r="C2720" s="36"/>
      <c r="D2720"/>
      <c r="E2720"/>
      <c r="F2720"/>
      <c r="G2720"/>
      <c r="H2720"/>
      <c r="I2720"/>
      <c r="J2720"/>
      <c r="K2720"/>
      <c r="L2720"/>
      <c r="M2720"/>
      <c r="N2720"/>
      <c r="O2720"/>
      <c r="P2720" s="36"/>
      <c r="Q2720" s="37"/>
      <c r="R2720"/>
      <c r="S2720"/>
      <c r="T2720"/>
      <c r="U2720"/>
      <c r="V2720" s="39"/>
      <c r="W2720"/>
      <c r="X2720"/>
      <c r="Y2720"/>
      <c r="Z2720"/>
      <c r="AA2720"/>
    </row>
    <row r="2721" spans="1:27" x14ac:dyDescent="0.25">
      <c r="A2721"/>
      <c r="B2721" s="36"/>
      <c r="C2721" s="36"/>
      <c r="D2721"/>
      <c r="E2721"/>
      <c r="F2721"/>
      <c r="G2721"/>
      <c r="H2721"/>
      <c r="I2721"/>
      <c r="J2721"/>
      <c r="K2721"/>
      <c r="L2721"/>
      <c r="M2721"/>
      <c r="N2721"/>
      <c r="O2721"/>
      <c r="P2721" s="36"/>
      <c r="Q2721" s="37"/>
      <c r="R2721"/>
      <c r="S2721"/>
      <c r="T2721"/>
      <c r="U2721"/>
      <c r="V2721" s="39"/>
      <c r="W2721"/>
      <c r="X2721"/>
      <c r="Y2721"/>
      <c r="Z2721"/>
      <c r="AA2721"/>
    </row>
    <row r="2722" spans="1:27" x14ac:dyDescent="0.25">
      <c r="A2722"/>
      <c r="B2722" s="36"/>
      <c r="C2722" s="36"/>
      <c r="D2722"/>
      <c r="E2722"/>
      <c r="F2722"/>
      <c r="G2722"/>
      <c r="H2722"/>
      <c r="I2722"/>
      <c r="J2722"/>
      <c r="K2722"/>
      <c r="L2722"/>
      <c r="M2722"/>
      <c r="N2722"/>
      <c r="O2722"/>
      <c r="P2722" s="36"/>
      <c r="Q2722" s="37"/>
      <c r="R2722"/>
      <c r="S2722"/>
      <c r="T2722"/>
      <c r="U2722"/>
      <c r="V2722" s="39"/>
      <c r="W2722"/>
      <c r="X2722"/>
      <c r="Y2722"/>
      <c r="Z2722"/>
      <c r="AA2722"/>
    </row>
    <row r="2723" spans="1:27" x14ac:dyDescent="0.25">
      <c r="A2723"/>
      <c r="B2723" s="36"/>
      <c r="C2723" s="36"/>
      <c r="D2723"/>
      <c r="E2723"/>
      <c r="F2723"/>
      <c r="G2723"/>
      <c r="H2723"/>
      <c r="I2723"/>
      <c r="J2723"/>
      <c r="K2723"/>
      <c r="L2723"/>
      <c r="M2723"/>
      <c r="N2723"/>
      <c r="O2723"/>
      <c r="P2723" s="36"/>
      <c r="Q2723" s="37"/>
      <c r="R2723"/>
      <c r="S2723"/>
      <c r="T2723"/>
      <c r="U2723"/>
      <c r="V2723" s="39"/>
      <c r="W2723"/>
      <c r="X2723"/>
      <c r="Y2723"/>
      <c r="Z2723"/>
      <c r="AA2723"/>
    </row>
    <row r="2724" spans="1:27" x14ac:dyDescent="0.25">
      <c r="A2724"/>
      <c r="B2724" s="36"/>
      <c r="C2724" s="36"/>
      <c r="D2724"/>
      <c r="E2724"/>
      <c r="F2724"/>
      <c r="G2724"/>
      <c r="H2724"/>
      <c r="I2724"/>
      <c r="J2724"/>
      <c r="K2724"/>
      <c r="L2724"/>
      <c r="M2724"/>
      <c r="N2724"/>
      <c r="O2724"/>
      <c r="P2724" s="36"/>
      <c r="Q2724" s="37"/>
      <c r="R2724"/>
      <c r="S2724"/>
      <c r="T2724"/>
      <c r="U2724"/>
      <c r="V2724" s="39"/>
      <c r="W2724"/>
      <c r="X2724"/>
      <c r="Y2724"/>
      <c r="Z2724"/>
      <c r="AA2724"/>
    </row>
    <row r="2725" spans="1:27" x14ac:dyDescent="0.25">
      <c r="A2725"/>
      <c r="B2725" s="36"/>
      <c r="C2725" s="36"/>
      <c r="D2725"/>
      <c r="E2725"/>
      <c r="F2725"/>
      <c r="G2725"/>
      <c r="H2725"/>
      <c r="I2725"/>
      <c r="J2725"/>
      <c r="K2725"/>
      <c r="L2725"/>
      <c r="M2725"/>
      <c r="N2725"/>
      <c r="O2725"/>
      <c r="P2725" s="36"/>
      <c r="Q2725" s="37"/>
      <c r="R2725" s="44"/>
      <c r="S2725"/>
      <c r="T2725"/>
      <c r="U2725"/>
      <c r="V2725" s="39"/>
      <c r="W2725"/>
      <c r="X2725"/>
      <c r="Y2725"/>
      <c r="Z2725"/>
      <c r="AA2725"/>
    </row>
    <row r="2726" spans="1:27" x14ac:dyDescent="0.25">
      <c r="A2726"/>
      <c r="B2726" s="36"/>
      <c r="C2726" s="36"/>
      <c r="D2726"/>
      <c r="E2726"/>
      <c r="F2726"/>
      <c r="G2726"/>
      <c r="H2726"/>
      <c r="I2726"/>
      <c r="J2726"/>
      <c r="K2726"/>
      <c r="L2726"/>
      <c r="M2726"/>
      <c r="N2726"/>
      <c r="O2726"/>
      <c r="P2726" s="36"/>
      <c r="Q2726" s="37"/>
      <c r="R2726"/>
      <c r="S2726"/>
      <c r="T2726"/>
      <c r="U2726"/>
      <c r="V2726" s="39"/>
      <c r="W2726"/>
      <c r="X2726"/>
      <c r="Y2726"/>
      <c r="Z2726"/>
      <c r="AA2726"/>
    </row>
    <row r="2727" spans="1:27" x14ac:dyDescent="0.25">
      <c r="A2727"/>
      <c r="B2727" s="36"/>
      <c r="C2727" s="36"/>
      <c r="D2727"/>
      <c r="E2727"/>
      <c r="F2727"/>
      <c r="G2727"/>
      <c r="H2727"/>
      <c r="I2727"/>
      <c r="J2727"/>
      <c r="K2727"/>
      <c r="L2727"/>
      <c r="M2727"/>
      <c r="N2727"/>
      <c r="O2727"/>
      <c r="P2727" s="36"/>
      <c r="Q2727" s="37"/>
      <c r="R2727"/>
      <c r="S2727"/>
      <c r="T2727"/>
      <c r="U2727"/>
      <c r="V2727" s="39"/>
      <c r="W2727"/>
      <c r="X2727"/>
      <c r="Y2727"/>
      <c r="Z2727"/>
      <c r="AA2727"/>
    </row>
    <row r="2728" spans="1:27" x14ac:dyDescent="0.25">
      <c r="A2728"/>
      <c r="B2728" s="36"/>
      <c r="C2728" s="36"/>
      <c r="D2728"/>
      <c r="E2728"/>
      <c r="F2728"/>
      <c r="G2728"/>
      <c r="H2728"/>
      <c r="I2728"/>
      <c r="J2728"/>
      <c r="K2728"/>
      <c r="L2728"/>
      <c r="M2728"/>
      <c r="N2728"/>
      <c r="O2728"/>
      <c r="P2728" s="36"/>
      <c r="Q2728" s="37"/>
      <c r="R2728"/>
      <c r="S2728"/>
      <c r="T2728"/>
      <c r="U2728"/>
      <c r="V2728" s="39"/>
      <c r="W2728"/>
      <c r="X2728"/>
      <c r="Y2728"/>
      <c r="Z2728"/>
      <c r="AA2728"/>
    </row>
    <row r="2729" spans="1:27" x14ac:dyDescent="0.25">
      <c r="A2729"/>
      <c r="B2729" s="36"/>
      <c r="C2729" s="36"/>
      <c r="D2729"/>
      <c r="E2729"/>
      <c r="F2729"/>
      <c r="G2729"/>
      <c r="H2729"/>
      <c r="I2729"/>
      <c r="J2729"/>
      <c r="K2729"/>
      <c r="L2729"/>
      <c r="M2729"/>
      <c r="N2729"/>
      <c r="O2729"/>
      <c r="P2729" s="36"/>
      <c r="Q2729" s="37"/>
      <c r="R2729"/>
      <c r="S2729"/>
      <c r="T2729"/>
      <c r="U2729"/>
      <c r="V2729" s="39"/>
      <c r="W2729"/>
      <c r="X2729"/>
      <c r="Y2729"/>
      <c r="Z2729"/>
      <c r="AA2729"/>
    </row>
    <row r="2730" spans="1:27" x14ac:dyDescent="0.25">
      <c r="A2730"/>
      <c r="B2730" s="36"/>
      <c r="C2730" s="36"/>
      <c r="D2730"/>
      <c r="E2730"/>
      <c r="F2730"/>
      <c r="G2730"/>
      <c r="H2730"/>
      <c r="I2730"/>
      <c r="J2730"/>
      <c r="K2730"/>
      <c r="L2730"/>
      <c r="M2730"/>
      <c r="N2730"/>
      <c r="O2730"/>
      <c r="P2730" s="36"/>
      <c r="Q2730" s="37"/>
      <c r="R2730"/>
      <c r="S2730"/>
      <c r="T2730"/>
      <c r="U2730"/>
      <c r="V2730" s="39"/>
      <c r="W2730"/>
      <c r="X2730"/>
      <c r="Y2730"/>
      <c r="Z2730"/>
      <c r="AA2730"/>
    </row>
    <row r="2731" spans="1:27" x14ac:dyDescent="0.25">
      <c r="A2731"/>
      <c r="B2731" s="36"/>
      <c r="C2731" s="36"/>
      <c r="D2731"/>
      <c r="E2731"/>
      <c r="F2731"/>
      <c r="G2731"/>
      <c r="H2731"/>
      <c r="I2731"/>
      <c r="J2731"/>
      <c r="K2731"/>
      <c r="L2731"/>
      <c r="M2731"/>
      <c r="N2731"/>
      <c r="O2731"/>
      <c r="P2731" s="36"/>
      <c r="Q2731" s="37"/>
      <c r="R2731"/>
      <c r="S2731"/>
      <c r="T2731"/>
      <c r="U2731"/>
      <c r="V2731" s="39"/>
      <c r="W2731"/>
      <c r="X2731"/>
      <c r="Y2731"/>
      <c r="Z2731"/>
      <c r="AA2731"/>
    </row>
    <row r="2732" spans="1:27" x14ac:dyDescent="0.25">
      <c r="A2732"/>
      <c r="B2732" s="36"/>
      <c r="C2732" s="36"/>
      <c r="D2732"/>
      <c r="E2732"/>
      <c r="F2732"/>
      <c r="G2732"/>
      <c r="H2732"/>
      <c r="I2732"/>
      <c r="J2732"/>
      <c r="K2732"/>
      <c r="L2732"/>
      <c r="M2732"/>
      <c r="N2732"/>
      <c r="O2732"/>
      <c r="P2732" s="36"/>
      <c r="Q2732" s="37"/>
      <c r="R2732"/>
      <c r="S2732"/>
      <c r="T2732"/>
      <c r="U2732"/>
      <c r="V2732" s="39"/>
      <c r="W2732"/>
      <c r="X2732"/>
      <c r="Y2732"/>
      <c r="Z2732"/>
      <c r="AA2732"/>
    </row>
    <row r="2733" spans="1:27" x14ac:dyDescent="0.25">
      <c r="A2733"/>
      <c r="B2733" s="36"/>
      <c r="C2733" s="36"/>
      <c r="D2733"/>
      <c r="E2733"/>
      <c r="F2733"/>
      <c r="G2733"/>
      <c r="H2733"/>
      <c r="I2733"/>
      <c r="J2733"/>
      <c r="K2733"/>
      <c r="L2733"/>
      <c r="M2733"/>
      <c r="N2733"/>
      <c r="O2733"/>
      <c r="P2733" s="36"/>
      <c r="Q2733" s="37"/>
      <c r="R2733"/>
      <c r="S2733"/>
      <c r="T2733"/>
      <c r="U2733"/>
      <c r="V2733" s="39"/>
      <c r="W2733"/>
      <c r="X2733"/>
      <c r="Y2733"/>
      <c r="Z2733"/>
      <c r="AA2733"/>
    </row>
    <row r="2734" spans="1:27" x14ac:dyDescent="0.25">
      <c r="A2734"/>
      <c r="B2734" s="36"/>
      <c r="C2734" s="36"/>
      <c r="D2734"/>
      <c r="E2734"/>
      <c r="F2734"/>
      <c r="G2734"/>
      <c r="H2734"/>
      <c r="I2734"/>
      <c r="J2734"/>
      <c r="K2734"/>
      <c r="L2734"/>
      <c r="M2734"/>
      <c r="N2734"/>
      <c r="O2734"/>
      <c r="P2734" s="36"/>
      <c r="Q2734" s="37"/>
      <c r="R2734"/>
      <c r="S2734"/>
      <c r="T2734"/>
      <c r="U2734"/>
      <c r="V2734" s="39"/>
      <c r="W2734"/>
      <c r="X2734"/>
      <c r="Y2734"/>
      <c r="Z2734"/>
      <c r="AA2734"/>
    </row>
    <row r="2735" spans="1:27" x14ac:dyDescent="0.25">
      <c r="A2735"/>
      <c r="B2735" s="36"/>
      <c r="C2735" s="36"/>
      <c r="D2735"/>
      <c r="E2735"/>
      <c r="F2735"/>
      <c r="G2735"/>
      <c r="H2735"/>
      <c r="I2735"/>
      <c r="J2735"/>
      <c r="K2735"/>
      <c r="L2735"/>
      <c r="M2735"/>
      <c r="N2735"/>
      <c r="O2735"/>
      <c r="P2735" s="36"/>
      <c r="Q2735" s="37"/>
      <c r="R2735"/>
      <c r="S2735"/>
      <c r="T2735"/>
      <c r="U2735"/>
      <c r="V2735" s="39"/>
      <c r="W2735"/>
      <c r="X2735"/>
      <c r="Y2735"/>
      <c r="Z2735"/>
      <c r="AA2735"/>
    </row>
    <row r="2736" spans="1:27" x14ac:dyDescent="0.25">
      <c r="A2736"/>
      <c r="B2736" s="36"/>
      <c r="C2736" s="36"/>
      <c r="D2736"/>
      <c r="E2736"/>
      <c r="F2736"/>
      <c r="G2736"/>
      <c r="H2736"/>
      <c r="I2736"/>
      <c r="J2736"/>
      <c r="K2736"/>
      <c r="L2736"/>
      <c r="M2736"/>
      <c r="N2736"/>
      <c r="O2736"/>
      <c r="P2736" s="36"/>
      <c r="Q2736" s="37"/>
      <c r="R2736"/>
      <c r="S2736"/>
      <c r="T2736"/>
      <c r="U2736"/>
      <c r="V2736" s="39"/>
      <c r="W2736"/>
      <c r="X2736"/>
      <c r="Y2736"/>
      <c r="Z2736"/>
      <c r="AA2736"/>
    </row>
    <row r="2737" spans="1:27" x14ac:dyDescent="0.25">
      <c r="A2737"/>
      <c r="B2737" s="36"/>
      <c r="C2737" s="36"/>
      <c r="D2737"/>
      <c r="E2737"/>
      <c r="F2737"/>
      <c r="G2737"/>
      <c r="H2737"/>
      <c r="I2737"/>
      <c r="J2737"/>
      <c r="K2737"/>
      <c r="L2737"/>
      <c r="M2737"/>
      <c r="N2737"/>
      <c r="O2737"/>
      <c r="P2737" s="36"/>
      <c r="Q2737" s="37"/>
      <c r="R2737"/>
      <c r="S2737"/>
      <c r="T2737"/>
      <c r="U2737"/>
      <c r="V2737" s="39"/>
      <c r="W2737"/>
      <c r="X2737"/>
      <c r="Y2737"/>
      <c r="Z2737"/>
      <c r="AA2737"/>
    </row>
    <row r="2738" spans="1:27" x14ac:dyDescent="0.25">
      <c r="A2738"/>
      <c r="B2738" s="36"/>
      <c r="C2738" s="36"/>
      <c r="D2738"/>
      <c r="E2738"/>
      <c r="F2738"/>
      <c r="G2738"/>
      <c r="H2738"/>
      <c r="I2738"/>
      <c r="J2738"/>
      <c r="K2738"/>
      <c r="L2738"/>
      <c r="M2738"/>
      <c r="N2738"/>
      <c r="O2738"/>
      <c r="P2738" s="36"/>
      <c r="Q2738" s="37"/>
      <c r="R2738"/>
      <c r="S2738"/>
      <c r="T2738"/>
      <c r="U2738"/>
      <c r="V2738" s="39"/>
      <c r="W2738"/>
      <c r="X2738"/>
      <c r="Y2738"/>
      <c r="Z2738"/>
      <c r="AA2738"/>
    </row>
    <row r="2739" spans="1:27" x14ac:dyDescent="0.25">
      <c r="A2739"/>
      <c r="B2739" s="36"/>
      <c r="C2739" s="36"/>
      <c r="D2739"/>
      <c r="E2739"/>
      <c r="F2739"/>
      <c r="G2739"/>
      <c r="H2739"/>
      <c r="I2739"/>
      <c r="J2739"/>
      <c r="K2739"/>
      <c r="L2739"/>
      <c r="M2739"/>
      <c r="N2739"/>
      <c r="O2739"/>
      <c r="P2739" s="36"/>
      <c r="Q2739" s="37"/>
      <c r="R2739"/>
      <c r="S2739"/>
      <c r="T2739"/>
      <c r="U2739"/>
      <c r="V2739" s="39"/>
      <c r="W2739"/>
      <c r="X2739"/>
      <c r="Y2739"/>
      <c r="Z2739"/>
      <c r="AA2739"/>
    </row>
    <row r="2740" spans="1:27" x14ac:dyDescent="0.25">
      <c r="A2740"/>
      <c r="B2740" s="36"/>
      <c r="C2740" s="36"/>
      <c r="D2740"/>
      <c r="E2740"/>
      <c r="F2740"/>
      <c r="G2740"/>
      <c r="H2740"/>
      <c r="I2740"/>
      <c r="J2740"/>
      <c r="K2740"/>
      <c r="L2740"/>
      <c r="M2740"/>
      <c r="N2740"/>
      <c r="O2740"/>
      <c r="P2740" s="36"/>
      <c r="Q2740" s="37"/>
      <c r="R2740"/>
      <c r="S2740"/>
      <c r="T2740"/>
      <c r="U2740"/>
      <c r="V2740" s="39"/>
      <c r="W2740"/>
      <c r="X2740"/>
      <c r="Y2740"/>
      <c r="Z2740"/>
      <c r="AA2740"/>
    </row>
    <row r="2741" spans="1:27" x14ac:dyDescent="0.25">
      <c r="A2741"/>
      <c r="B2741" s="36"/>
      <c r="C2741" s="36"/>
      <c r="D2741"/>
      <c r="E2741"/>
      <c r="F2741"/>
      <c r="G2741"/>
      <c r="H2741"/>
      <c r="I2741"/>
      <c r="J2741"/>
      <c r="K2741"/>
      <c r="L2741"/>
      <c r="M2741"/>
      <c r="N2741"/>
      <c r="O2741"/>
      <c r="P2741" s="36"/>
      <c r="Q2741" s="37"/>
      <c r="R2741"/>
      <c r="S2741"/>
      <c r="T2741"/>
      <c r="U2741"/>
      <c r="V2741" s="39"/>
      <c r="W2741"/>
      <c r="X2741"/>
      <c r="Y2741"/>
      <c r="Z2741"/>
      <c r="AA2741"/>
    </row>
    <row r="2742" spans="1:27" x14ac:dyDescent="0.25">
      <c r="A2742"/>
      <c r="B2742" s="36"/>
      <c r="C2742" s="36"/>
      <c r="D2742"/>
      <c r="E2742"/>
      <c r="F2742"/>
      <c r="G2742"/>
      <c r="H2742"/>
      <c r="I2742"/>
      <c r="J2742"/>
      <c r="K2742"/>
      <c r="L2742"/>
      <c r="M2742"/>
      <c r="N2742"/>
      <c r="O2742"/>
      <c r="P2742" s="36"/>
      <c r="Q2742" s="37"/>
      <c r="R2742"/>
      <c r="S2742"/>
      <c r="T2742"/>
      <c r="U2742"/>
      <c r="V2742" s="39"/>
      <c r="W2742"/>
      <c r="X2742"/>
      <c r="Y2742"/>
      <c r="Z2742"/>
      <c r="AA2742"/>
    </row>
    <row r="2743" spans="1:27" x14ac:dyDescent="0.25">
      <c r="A2743"/>
      <c r="B2743" s="36"/>
      <c r="C2743" s="36"/>
      <c r="D2743"/>
      <c r="E2743"/>
      <c r="F2743"/>
      <c r="G2743"/>
      <c r="H2743"/>
      <c r="I2743"/>
      <c r="J2743"/>
      <c r="K2743"/>
      <c r="L2743"/>
      <c r="M2743"/>
      <c r="N2743"/>
      <c r="O2743"/>
      <c r="P2743" s="36"/>
      <c r="Q2743" s="37"/>
      <c r="R2743"/>
      <c r="S2743"/>
      <c r="T2743"/>
      <c r="U2743"/>
      <c r="V2743" s="39"/>
      <c r="W2743"/>
      <c r="X2743"/>
      <c r="Y2743"/>
      <c r="Z2743"/>
      <c r="AA2743"/>
    </row>
    <row r="2744" spans="1:27" x14ac:dyDescent="0.25">
      <c r="A2744"/>
      <c r="B2744" s="36"/>
      <c r="C2744" s="36"/>
      <c r="D2744"/>
      <c r="E2744"/>
      <c r="F2744"/>
      <c r="G2744"/>
      <c r="H2744"/>
      <c r="I2744"/>
      <c r="J2744"/>
      <c r="K2744"/>
      <c r="L2744"/>
      <c r="M2744"/>
      <c r="N2744"/>
      <c r="O2744"/>
      <c r="P2744" s="36"/>
      <c r="Q2744" s="37"/>
      <c r="R2744"/>
      <c r="S2744"/>
      <c r="T2744"/>
      <c r="U2744"/>
      <c r="V2744" s="39"/>
      <c r="W2744"/>
      <c r="X2744"/>
      <c r="Y2744"/>
      <c r="Z2744"/>
      <c r="AA2744"/>
    </row>
    <row r="2745" spans="1:27" x14ac:dyDescent="0.25">
      <c r="A2745"/>
      <c r="B2745" s="36"/>
      <c r="C2745" s="36"/>
      <c r="D2745"/>
      <c r="E2745"/>
      <c r="F2745"/>
      <c r="G2745"/>
      <c r="H2745"/>
      <c r="I2745"/>
      <c r="J2745"/>
      <c r="K2745"/>
      <c r="L2745"/>
      <c r="M2745"/>
      <c r="N2745"/>
      <c r="O2745"/>
      <c r="P2745" s="36"/>
      <c r="Q2745" s="37"/>
      <c r="R2745"/>
      <c r="S2745"/>
      <c r="T2745"/>
      <c r="U2745"/>
      <c r="V2745" s="39"/>
      <c r="W2745"/>
      <c r="X2745"/>
      <c r="Y2745"/>
      <c r="Z2745"/>
      <c r="AA2745"/>
    </row>
    <row r="2746" spans="1:27" x14ac:dyDescent="0.25">
      <c r="A2746"/>
      <c r="B2746" s="36"/>
      <c r="C2746" s="36"/>
      <c r="D2746"/>
      <c r="E2746"/>
      <c r="F2746"/>
      <c r="G2746"/>
      <c r="H2746"/>
      <c r="I2746"/>
      <c r="J2746"/>
      <c r="K2746"/>
      <c r="L2746"/>
      <c r="M2746"/>
      <c r="N2746"/>
      <c r="O2746"/>
      <c r="P2746" s="36"/>
      <c r="Q2746" s="37"/>
      <c r="R2746"/>
      <c r="S2746"/>
      <c r="T2746"/>
      <c r="U2746"/>
      <c r="V2746" s="39"/>
      <c r="W2746"/>
      <c r="X2746"/>
      <c r="Y2746"/>
      <c r="Z2746"/>
      <c r="AA2746"/>
    </row>
    <row r="2747" spans="1:27" x14ac:dyDescent="0.25">
      <c r="A2747"/>
      <c r="B2747" s="36"/>
      <c r="C2747" s="36"/>
      <c r="D2747"/>
      <c r="E2747"/>
      <c r="F2747"/>
      <c r="G2747"/>
      <c r="H2747"/>
      <c r="I2747"/>
      <c r="J2747"/>
      <c r="K2747"/>
      <c r="L2747"/>
      <c r="M2747"/>
      <c r="N2747"/>
      <c r="O2747"/>
      <c r="P2747" s="36"/>
      <c r="Q2747" s="37"/>
      <c r="R2747"/>
      <c r="S2747"/>
      <c r="T2747"/>
      <c r="U2747"/>
      <c r="V2747" s="39"/>
      <c r="W2747"/>
      <c r="X2747"/>
      <c r="Y2747"/>
      <c r="Z2747"/>
      <c r="AA2747"/>
    </row>
    <row r="2748" spans="1:27" x14ac:dyDescent="0.25">
      <c r="A2748"/>
      <c r="B2748" s="36"/>
      <c r="C2748" s="36"/>
      <c r="D2748"/>
      <c r="E2748"/>
      <c r="F2748"/>
      <c r="G2748"/>
      <c r="H2748"/>
      <c r="I2748"/>
      <c r="J2748"/>
      <c r="K2748"/>
      <c r="L2748"/>
      <c r="M2748"/>
      <c r="N2748"/>
      <c r="O2748"/>
      <c r="P2748" s="36"/>
      <c r="Q2748" s="37"/>
      <c r="R2748"/>
      <c r="S2748"/>
      <c r="T2748"/>
      <c r="U2748"/>
      <c r="V2748" s="39"/>
      <c r="W2748"/>
      <c r="X2748"/>
      <c r="Y2748"/>
      <c r="Z2748"/>
      <c r="AA2748"/>
    </row>
    <row r="2749" spans="1:27" x14ac:dyDescent="0.25">
      <c r="A2749"/>
      <c r="B2749" s="36"/>
      <c r="C2749" s="36"/>
      <c r="D2749"/>
      <c r="E2749"/>
      <c r="F2749"/>
      <c r="G2749"/>
      <c r="H2749"/>
      <c r="I2749"/>
      <c r="J2749"/>
      <c r="K2749"/>
      <c r="L2749"/>
      <c r="M2749"/>
      <c r="N2749"/>
      <c r="O2749"/>
      <c r="P2749" s="36"/>
      <c r="Q2749" s="37"/>
      <c r="R2749"/>
      <c r="S2749"/>
      <c r="T2749"/>
      <c r="U2749"/>
      <c r="V2749" s="39"/>
      <c r="W2749"/>
      <c r="X2749"/>
      <c r="Y2749"/>
      <c r="Z2749"/>
      <c r="AA2749"/>
    </row>
    <row r="2750" spans="1:27" x14ac:dyDescent="0.25">
      <c r="A2750"/>
      <c r="B2750" s="36"/>
      <c r="C2750" s="36"/>
      <c r="D2750"/>
      <c r="E2750"/>
      <c r="F2750"/>
      <c r="G2750"/>
      <c r="H2750"/>
      <c r="I2750"/>
      <c r="J2750"/>
      <c r="K2750"/>
      <c r="L2750"/>
      <c r="M2750"/>
      <c r="N2750"/>
      <c r="O2750"/>
      <c r="P2750" s="36"/>
      <c r="Q2750" s="37"/>
      <c r="R2750"/>
      <c r="S2750"/>
      <c r="T2750"/>
      <c r="U2750"/>
      <c r="V2750" s="39"/>
      <c r="W2750"/>
      <c r="X2750"/>
      <c r="Y2750"/>
      <c r="Z2750"/>
      <c r="AA2750"/>
    </row>
    <row r="2751" spans="1:27" x14ac:dyDescent="0.25">
      <c r="A2751"/>
      <c r="B2751" s="36"/>
      <c r="C2751" s="36"/>
      <c r="D2751"/>
      <c r="E2751"/>
      <c r="F2751"/>
      <c r="G2751"/>
      <c r="H2751"/>
      <c r="I2751"/>
      <c r="J2751"/>
      <c r="K2751"/>
      <c r="L2751"/>
      <c r="M2751"/>
      <c r="N2751"/>
      <c r="O2751"/>
      <c r="P2751" s="36"/>
      <c r="Q2751" s="37"/>
      <c r="R2751"/>
      <c r="S2751"/>
      <c r="T2751"/>
      <c r="U2751"/>
      <c r="V2751" s="39"/>
      <c r="W2751"/>
      <c r="X2751"/>
      <c r="Y2751"/>
      <c r="Z2751"/>
      <c r="AA2751"/>
    </row>
    <row r="2752" spans="1:27" x14ac:dyDescent="0.25">
      <c r="A2752"/>
      <c r="B2752" s="36"/>
      <c r="C2752" s="36"/>
      <c r="D2752"/>
      <c r="E2752"/>
      <c r="F2752"/>
      <c r="G2752"/>
      <c r="H2752"/>
      <c r="I2752"/>
      <c r="J2752"/>
      <c r="K2752"/>
      <c r="L2752"/>
      <c r="M2752"/>
      <c r="N2752"/>
      <c r="O2752"/>
      <c r="P2752" s="36"/>
      <c r="Q2752" s="37"/>
      <c r="R2752"/>
      <c r="S2752"/>
      <c r="T2752"/>
      <c r="U2752"/>
      <c r="V2752" s="39"/>
      <c r="W2752"/>
      <c r="X2752"/>
      <c r="Y2752"/>
      <c r="Z2752"/>
      <c r="AA2752"/>
    </row>
    <row r="2753" spans="1:27" x14ac:dyDescent="0.25">
      <c r="A2753"/>
      <c r="B2753" s="36"/>
      <c r="C2753" s="36"/>
      <c r="D2753"/>
      <c r="E2753"/>
      <c r="F2753"/>
      <c r="G2753"/>
      <c r="H2753"/>
      <c r="I2753"/>
      <c r="J2753"/>
      <c r="K2753"/>
      <c r="L2753"/>
      <c r="M2753"/>
      <c r="N2753"/>
      <c r="O2753"/>
      <c r="P2753" s="36"/>
      <c r="Q2753" s="37"/>
      <c r="R2753"/>
      <c r="S2753"/>
      <c r="T2753"/>
      <c r="U2753"/>
      <c r="V2753" s="39"/>
      <c r="W2753"/>
      <c r="X2753"/>
      <c r="Y2753"/>
      <c r="Z2753"/>
      <c r="AA2753"/>
    </row>
    <row r="2754" spans="1:27" x14ac:dyDescent="0.25">
      <c r="A2754"/>
      <c r="B2754" s="36"/>
      <c r="C2754" s="36"/>
      <c r="D2754"/>
      <c r="E2754"/>
      <c r="F2754"/>
      <c r="G2754"/>
      <c r="H2754"/>
      <c r="I2754"/>
      <c r="J2754"/>
      <c r="K2754"/>
      <c r="L2754"/>
      <c r="M2754"/>
      <c r="N2754"/>
      <c r="O2754"/>
      <c r="P2754" s="36"/>
      <c r="Q2754" s="37"/>
      <c r="R2754"/>
      <c r="S2754"/>
      <c r="T2754"/>
      <c r="U2754"/>
      <c r="V2754" s="39"/>
      <c r="W2754"/>
      <c r="X2754"/>
      <c r="Y2754"/>
      <c r="Z2754"/>
      <c r="AA2754"/>
    </row>
    <row r="2755" spans="1:27" x14ac:dyDescent="0.25">
      <c r="A2755"/>
      <c r="B2755" s="36"/>
      <c r="C2755" s="36"/>
      <c r="D2755"/>
      <c r="E2755"/>
      <c r="F2755"/>
      <c r="G2755"/>
      <c r="H2755"/>
      <c r="I2755"/>
      <c r="J2755"/>
      <c r="K2755"/>
      <c r="L2755"/>
      <c r="M2755"/>
      <c r="N2755"/>
      <c r="O2755"/>
      <c r="P2755" s="36"/>
      <c r="Q2755" s="37"/>
      <c r="R2755"/>
      <c r="S2755"/>
      <c r="T2755"/>
      <c r="U2755"/>
      <c r="V2755" s="39"/>
      <c r="W2755"/>
      <c r="X2755"/>
      <c r="Y2755"/>
      <c r="Z2755"/>
      <c r="AA2755"/>
    </row>
    <row r="2756" spans="1:27" x14ac:dyDescent="0.25">
      <c r="A2756"/>
      <c r="B2756" s="36"/>
      <c r="C2756" s="36"/>
      <c r="D2756"/>
      <c r="E2756"/>
      <c r="F2756"/>
      <c r="G2756"/>
      <c r="H2756"/>
      <c r="I2756"/>
      <c r="J2756"/>
      <c r="K2756"/>
      <c r="L2756"/>
      <c r="M2756"/>
      <c r="N2756"/>
      <c r="O2756"/>
      <c r="P2756" s="36"/>
      <c r="Q2756" s="37"/>
      <c r="R2756"/>
      <c r="S2756"/>
      <c r="T2756"/>
      <c r="U2756"/>
      <c r="V2756" s="39"/>
      <c r="W2756"/>
      <c r="X2756"/>
      <c r="Y2756"/>
      <c r="Z2756"/>
      <c r="AA2756"/>
    </row>
    <row r="2757" spans="1:27" x14ac:dyDescent="0.25">
      <c r="A2757"/>
      <c r="B2757" s="36"/>
      <c r="C2757" s="36"/>
      <c r="D2757"/>
      <c r="E2757"/>
      <c r="F2757"/>
      <c r="G2757"/>
      <c r="H2757"/>
      <c r="I2757"/>
      <c r="J2757"/>
      <c r="K2757"/>
      <c r="L2757"/>
      <c r="M2757"/>
      <c r="N2757"/>
      <c r="O2757"/>
      <c r="P2757" s="36"/>
      <c r="Q2757" s="37"/>
      <c r="R2757"/>
      <c r="S2757"/>
      <c r="T2757"/>
      <c r="U2757"/>
      <c r="V2757" s="39"/>
      <c r="W2757"/>
      <c r="X2757"/>
      <c r="Y2757"/>
      <c r="Z2757"/>
      <c r="AA2757"/>
    </row>
    <row r="2758" spans="1:27" x14ac:dyDescent="0.25">
      <c r="A2758"/>
      <c r="B2758" s="36"/>
      <c r="C2758" s="36"/>
      <c r="D2758"/>
      <c r="E2758"/>
      <c r="F2758"/>
      <c r="G2758"/>
      <c r="H2758"/>
      <c r="I2758"/>
      <c r="J2758"/>
      <c r="K2758"/>
      <c r="L2758"/>
      <c r="M2758"/>
      <c r="N2758"/>
      <c r="O2758"/>
      <c r="P2758" s="36"/>
      <c r="Q2758" s="37"/>
      <c r="R2758"/>
      <c r="S2758"/>
      <c r="T2758"/>
      <c r="U2758"/>
      <c r="V2758" s="39"/>
      <c r="W2758"/>
      <c r="X2758"/>
      <c r="Y2758"/>
      <c r="Z2758"/>
      <c r="AA2758"/>
    </row>
    <row r="2759" spans="1:27" x14ac:dyDescent="0.25">
      <c r="A2759"/>
      <c r="B2759" s="36"/>
      <c r="C2759" s="36"/>
      <c r="D2759"/>
      <c r="E2759"/>
      <c r="F2759"/>
      <c r="G2759"/>
      <c r="H2759"/>
      <c r="I2759"/>
      <c r="J2759"/>
      <c r="K2759"/>
      <c r="L2759"/>
      <c r="M2759"/>
      <c r="N2759"/>
      <c r="O2759"/>
      <c r="P2759" s="36"/>
      <c r="Q2759" s="37"/>
      <c r="R2759"/>
      <c r="S2759"/>
      <c r="T2759"/>
      <c r="U2759"/>
      <c r="V2759" s="39"/>
      <c r="W2759"/>
      <c r="X2759"/>
      <c r="Y2759"/>
      <c r="Z2759"/>
      <c r="AA2759"/>
    </row>
    <row r="2760" spans="1:27" x14ac:dyDescent="0.25">
      <c r="A2760"/>
      <c r="B2760" s="36"/>
      <c r="C2760" s="36"/>
      <c r="D2760"/>
      <c r="E2760"/>
      <c r="F2760"/>
      <c r="G2760"/>
      <c r="H2760"/>
      <c r="I2760"/>
      <c r="J2760"/>
      <c r="K2760"/>
      <c r="L2760"/>
      <c r="M2760"/>
      <c r="N2760"/>
      <c r="O2760"/>
      <c r="P2760" s="36"/>
      <c r="Q2760" s="37"/>
      <c r="R2760"/>
      <c r="S2760"/>
      <c r="T2760"/>
      <c r="U2760"/>
      <c r="V2760" s="39"/>
      <c r="W2760"/>
      <c r="X2760"/>
      <c r="Y2760"/>
      <c r="Z2760"/>
      <c r="AA2760"/>
    </row>
    <row r="2761" spans="1:27" x14ac:dyDescent="0.25">
      <c r="A2761"/>
      <c r="B2761" s="36"/>
      <c r="C2761" s="36"/>
      <c r="D2761"/>
      <c r="E2761"/>
      <c r="F2761"/>
      <c r="G2761"/>
      <c r="H2761"/>
      <c r="I2761"/>
      <c r="J2761"/>
      <c r="K2761"/>
      <c r="L2761"/>
      <c r="M2761"/>
      <c r="N2761"/>
      <c r="O2761"/>
      <c r="P2761" s="36"/>
      <c r="Q2761" s="37"/>
      <c r="R2761"/>
      <c r="S2761"/>
      <c r="T2761"/>
      <c r="U2761"/>
      <c r="V2761" s="39"/>
      <c r="W2761"/>
      <c r="X2761"/>
      <c r="Y2761"/>
      <c r="Z2761"/>
      <c r="AA2761"/>
    </row>
    <row r="2762" spans="1:27" x14ac:dyDescent="0.25">
      <c r="A2762"/>
      <c r="B2762" s="36"/>
      <c r="C2762" s="36"/>
      <c r="D2762"/>
      <c r="E2762"/>
      <c r="F2762"/>
      <c r="G2762"/>
      <c r="H2762"/>
      <c r="I2762"/>
      <c r="J2762"/>
      <c r="K2762"/>
      <c r="L2762"/>
      <c r="M2762"/>
      <c r="N2762"/>
      <c r="O2762"/>
      <c r="P2762" s="36"/>
      <c r="Q2762" s="37"/>
      <c r="R2762"/>
      <c r="S2762"/>
      <c r="T2762"/>
      <c r="U2762"/>
      <c r="V2762" s="39"/>
      <c r="W2762"/>
      <c r="X2762"/>
      <c r="Y2762"/>
      <c r="Z2762"/>
      <c r="AA2762"/>
    </row>
    <row r="2763" spans="1:27" x14ac:dyDescent="0.25">
      <c r="A2763"/>
      <c r="B2763" s="36"/>
      <c r="C2763" s="36"/>
      <c r="D2763"/>
      <c r="E2763"/>
      <c r="F2763"/>
      <c r="G2763"/>
      <c r="H2763"/>
      <c r="I2763"/>
      <c r="J2763"/>
      <c r="K2763"/>
      <c r="L2763"/>
      <c r="M2763"/>
      <c r="N2763"/>
      <c r="O2763"/>
      <c r="P2763" s="36"/>
      <c r="Q2763" s="37"/>
      <c r="R2763"/>
      <c r="S2763"/>
      <c r="T2763"/>
      <c r="U2763"/>
      <c r="V2763" s="39"/>
      <c r="W2763"/>
      <c r="X2763"/>
      <c r="Y2763"/>
      <c r="Z2763"/>
      <c r="AA2763"/>
    </row>
    <row r="2764" spans="1:27" x14ac:dyDescent="0.25">
      <c r="A2764"/>
      <c r="B2764" s="36"/>
      <c r="C2764" s="36"/>
      <c r="D2764"/>
      <c r="E2764"/>
      <c r="F2764"/>
      <c r="G2764"/>
      <c r="H2764"/>
      <c r="I2764"/>
      <c r="J2764"/>
      <c r="K2764"/>
      <c r="L2764"/>
      <c r="M2764"/>
      <c r="N2764"/>
      <c r="O2764"/>
      <c r="P2764" s="36"/>
      <c r="Q2764" s="37"/>
      <c r="R2764"/>
      <c r="S2764"/>
      <c r="T2764"/>
      <c r="U2764"/>
      <c r="V2764" s="39"/>
      <c r="W2764"/>
      <c r="X2764"/>
      <c r="Y2764"/>
      <c r="Z2764"/>
      <c r="AA2764"/>
    </row>
    <row r="2765" spans="1:27" x14ac:dyDescent="0.25">
      <c r="A2765"/>
      <c r="B2765" s="36"/>
      <c r="C2765" s="36"/>
      <c r="D2765"/>
      <c r="E2765"/>
      <c r="F2765"/>
      <c r="G2765"/>
      <c r="H2765"/>
      <c r="I2765"/>
      <c r="J2765"/>
      <c r="K2765"/>
      <c r="L2765"/>
      <c r="M2765"/>
      <c r="N2765"/>
      <c r="O2765"/>
      <c r="P2765" s="36"/>
      <c r="Q2765" s="37"/>
      <c r="R2765"/>
      <c r="S2765"/>
      <c r="T2765"/>
      <c r="U2765"/>
      <c r="V2765" s="39"/>
      <c r="W2765"/>
      <c r="X2765"/>
      <c r="Y2765"/>
      <c r="Z2765"/>
      <c r="AA2765"/>
    </row>
    <row r="2766" spans="1:27" x14ac:dyDescent="0.25">
      <c r="A2766"/>
      <c r="B2766" s="36"/>
      <c r="C2766" s="36"/>
      <c r="D2766"/>
      <c r="E2766"/>
      <c r="F2766"/>
      <c r="G2766"/>
      <c r="H2766"/>
      <c r="I2766"/>
      <c r="J2766"/>
      <c r="K2766"/>
      <c r="L2766"/>
      <c r="M2766"/>
      <c r="N2766"/>
      <c r="O2766"/>
      <c r="P2766" s="36"/>
      <c r="Q2766" s="37"/>
      <c r="R2766"/>
      <c r="S2766"/>
      <c r="T2766"/>
      <c r="U2766"/>
      <c r="V2766" s="39"/>
      <c r="W2766"/>
      <c r="X2766"/>
      <c r="Y2766"/>
      <c r="Z2766"/>
      <c r="AA2766"/>
    </row>
    <row r="2767" spans="1:27" x14ac:dyDescent="0.25">
      <c r="A2767"/>
      <c r="B2767" s="36"/>
      <c r="C2767" s="36"/>
      <c r="D2767"/>
      <c r="E2767"/>
      <c r="F2767"/>
      <c r="G2767"/>
      <c r="H2767"/>
      <c r="I2767"/>
      <c r="J2767"/>
      <c r="K2767"/>
      <c r="L2767"/>
      <c r="M2767"/>
      <c r="N2767"/>
      <c r="O2767"/>
      <c r="P2767" s="36"/>
      <c r="Q2767" s="37"/>
      <c r="R2767" s="44"/>
      <c r="S2767"/>
      <c r="T2767"/>
      <c r="U2767"/>
      <c r="V2767" s="39"/>
      <c r="W2767"/>
      <c r="X2767"/>
      <c r="Y2767"/>
      <c r="Z2767"/>
      <c r="AA2767"/>
    </row>
    <row r="2768" spans="1:27" x14ac:dyDescent="0.25">
      <c r="A2768"/>
      <c r="B2768" s="36"/>
      <c r="C2768" s="36"/>
      <c r="D2768"/>
      <c r="E2768"/>
      <c r="F2768"/>
      <c r="G2768"/>
      <c r="H2768"/>
      <c r="I2768"/>
      <c r="J2768"/>
      <c r="K2768"/>
      <c r="L2768"/>
      <c r="M2768"/>
      <c r="N2768"/>
      <c r="O2768"/>
      <c r="P2768" s="36"/>
      <c r="Q2768" s="37"/>
      <c r="R2768"/>
      <c r="S2768"/>
      <c r="T2768"/>
      <c r="U2768"/>
      <c r="V2768" s="39"/>
      <c r="W2768"/>
      <c r="X2768"/>
      <c r="Y2768"/>
      <c r="Z2768"/>
      <c r="AA2768"/>
    </row>
    <row r="2769" spans="1:27" x14ac:dyDescent="0.25">
      <c r="A2769"/>
      <c r="B2769" s="36"/>
      <c r="C2769" s="36"/>
      <c r="D2769"/>
      <c r="E2769"/>
      <c r="F2769"/>
      <c r="G2769"/>
      <c r="H2769"/>
      <c r="I2769"/>
      <c r="J2769"/>
      <c r="K2769"/>
      <c r="L2769"/>
      <c r="M2769"/>
      <c r="N2769"/>
      <c r="O2769"/>
      <c r="P2769" s="36"/>
      <c r="Q2769" s="37"/>
      <c r="R2769"/>
      <c r="S2769"/>
      <c r="T2769"/>
      <c r="U2769"/>
      <c r="V2769" s="39"/>
      <c r="W2769"/>
      <c r="X2769"/>
      <c r="Y2769"/>
      <c r="Z2769"/>
      <c r="AA2769"/>
    </row>
    <row r="2770" spans="1:27" x14ac:dyDescent="0.25">
      <c r="A2770"/>
      <c r="B2770" s="36"/>
      <c r="C2770" s="36"/>
      <c r="D2770"/>
      <c r="E2770"/>
      <c r="F2770"/>
      <c r="G2770"/>
      <c r="H2770"/>
      <c r="I2770"/>
      <c r="J2770"/>
      <c r="K2770"/>
      <c r="L2770"/>
      <c r="M2770"/>
      <c r="N2770"/>
      <c r="O2770"/>
      <c r="P2770" s="36"/>
      <c r="Q2770" s="37"/>
      <c r="R2770"/>
      <c r="S2770"/>
      <c r="T2770"/>
      <c r="U2770"/>
      <c r="V2770" s="39"/>
      <c r="W2770"/>
      <c r="X2770"/>
      <c r="Y2770"/>
      <c r="Z2770"/>
      <c r="AA2770"/>
    </row>
    <row r="2771" spans="1:27" x14ac:dyDescent="0.25">
      <c r="A2771"/>
      <c r="B2771" s="36"/>
      <c r="C2771" s="36"/>
      <c r="D2771"/>
      <c r="E2771"/>
      <c r="F2771"/>
      <c r="G2771"/>
      <c r="H2771"/>
      <c r="I2771"/>
      <c r="J2771"/>
      <c r="K2771"/>
      <c r="L2771"/>
      <c r="M2771"/>
      <c r="N2771"/>
      <c r="O2771"/>
      <c r="P2771" s="36"/>
      <c r="Q2771" s="37"/>
      <c r="R2771"/>
      <c r="S2771"/>
      <c r="T2771"/>
      <c r="U2771"/>
      <c r="V2771" s="39"/>
      <c r="W2771"/>
      <c r="X2771"/>
      <c r="Y2771"/>
      <c r="Z2771"/>
      <c r="AA2771"/>
    </row>
    <row r="2772" spans="1:27" x14ac:dyDescent="0.25">
      <c r="A2772"/>
      <c r="B2772" s="36"/>
      <c r="C2772" s="36"/>
      <c r="D2772"/>
      <c r="E2772"/>
      <c r="F2772"/>
      <c r="G2772"/>
      <c r="H2772"/>
      <c r="I2772"/>
      <c r="J2772"/>
      <c r="K2772"/>
      <c r="L2772"/>
      <c r="M2772"/>
      <c r="N2772"/>
      <c r="O2772"/>
      <c r="P2772" s="36"/>
      <c r="Q2772" s="37"/>
      <c r="R2772"/>
      <c r="S2772"/>
      <c r="T2772"/>
      <c r="U2772"/>
      <c r="V2772" s="39"/>
      <c r="W2772"/>
      <c r="X2772"/>
      <c r="Y2772"/>
      <c r="Z2772"/>
      <c r="AA2772"/>
    </row>
    <row r="2773" spans="1:27" x14ac:dyDescent="0.25">
      <c r="A2773"/>
      <c r="B2773" s="36"/>
      <c r="C2773" s="36"/>
      <c r="D2773"/>
      <c r="E2773"/>
      <c r="F2773"/>
      <c r="G2773"/>
      <c r="H2773"/>
      <c r="I2773"/>
      <c r="J2773"/>
      <c r="K2773"/>
      <c r="L2773"/>
      <c r="M2773"/>
      <c r="N2773"/>
      <c r="O2773"/>
      <c r="P2773" s="36"/>
      <c r="Q2773" s="37"/>
      <c r="R2773"/>
      <c r="S2773"/>
      <c r="T2773"/>
      <c r="U2773"/>
      <c r="V2773" s="39"/>
      <c r="W2773"/>
      <c r="X2773"/>
      <c r="Y2773"/>
      <c r="Z2773"/>
      <c r="AA2773"/>
    </row>
    <row r="2774" spans="1:27" x14ac:dyDescent="0.25">
      <c r="A2774"/>
      <c r="B2774" s="36"/>
      <c r="C2774" s="36"/>
      <c r="D2774"/>
      <c r="E2774"/>
      <c r="F2774"/>
      <c r="G2774"/>
      <c r="H2774"/>
      <c r="I2774"/>
      <c r="J2774"/>
      <c r="K2774"/>
      <c r="L2774"/>
      <c r="M2774"/>
      <c r="N2774"/>
      <c r="O2774"/>
      <c r="P2774" s="36"/>
      <c r="Q2774" s="37"/>
      <c r="R2774"/>
      <c r="S2774"/>
      <c r="T2774"/>
      <c r="U2774"/>
      <c r="V2774" s="39"/>
      <c r="W2774"/>
      <c r="X2774"/>
      <c r="Y2774"/>
      <c r="Z2774"/>
      <c r="AA2774"/>
    </row>
    <row r="2775" spans="1:27" x14ac:dyDescent="0.25">
      <c r="A2775"/>
      <c r="B2775" s="36"/>
      <c r="C2775" s="36"/>
      <c r="D2775"/>
      <c r="E2775"/>
      <c r="F2775"/>
      <c r="G2775"/>
      <c r="H2775"/>
      <c r="I2775"/>
      <c r="J2775"/>
      <c r="K2775"/>
      <c r="L2775"/>
      <c r="M2775"/>
      <c r="N2775"/>
      <c r="O2775"/>
      <c r="P2775" s="36"/>
      <c r="Q2775" s="37"/>
      <c r="R2775"/>
      <c r="S2775"/>
      <c r="T2775"/>
      <c r="U2775"/>
      <c r="V2775" s="39"/>
      <c r="W2775"/>
      <c r="X2775"/>
      <c r="Y2775"/>
      <c r="Z2775"/>
      <c r="AA2775"/>
    </row>
    <row r="2776" spans="1:27" x14ac:dyDescent="0.25">
      <c r="A2776"/>
      <c r="B2776" s="36"/>
      <c r="C2776" s="36"/>
      <c r="D2776"/>
      <c r="E2776"/>
      <c r="F2776"/>
      <c r="G2776"/>
      <c r="H2776"/>
      <c r="I2776"/>
      <c r="J2776"/>
      <c r="K2776"/>
      <c r="L2776"/>
      <c r="M2776"/>
      <c r="N2776"/>
      <c r="O2776"/>
      <c r="P2776" s="36"/>
      <c r="Q2776" s="37"/>
      <c r="R2776"/>
      <c r="S2776"/>
      <c r="T2776"/>
      <c r="U2776"/>
      <c r="V2776" s="39"/>
      <c r="W2776"/>
      <c r="X2776"/>
      <c r="Y2776"/>
      <c r="Z2776"/>
      <c r="AA2776"/>
    </row>
    <row r="2777" spans="1:27" x14ac:dyDescent="0.25">
      <c r="A2777"/>
      <c r="B2777" s="36"/>
      <c r="C2777" s="36"/>
      <c r="D2777"/>
      <c r="E2777"/>
      <c r="F2777"/>
      <c r="G2777"/>
      <c r="H2777"/>
      <c r="I2777"/>
      <c r="J2777"/>
      <c r="K2777"/>
      <c r="L2777"/>
      <c r="M2777"/>
      <c r="N2777"/>
      <c r="O2777"/>
      <c r="P2777" s="36"/>
      <c r="Q2777" s="37"/>
      <c r="R2777"/>
      <c r="S2777"/>
      <c r="T2777"/>
      <c r="U2777"/>
      <c r="V2777" s="39"/>
      <c r="W2777"/>
      <c r="X2777"/>
      <c r="Y2777"/>
      <c r="Z2777"/>
      <c r="AA2777"/>
    </row>
    <row r="2778" spans="1:27" x14ac:dyDescent="0.25">
      <c r="A2778"/>
      <c r="B2778" s="36"/>
      <c r="C2778" s="36"/>
      <c r="D2778"/>
      <c r="E2778"/>
      <c r="F2778"/>
      <c r="G2778"/>
      <c r="H2778"/>
      <c r="I2778"/>
      <c r="J2778"/>
      <c r="K2778"/>
      <c r="L2778"/>
      <c r="M2778"/>
      <c r="N2778"/>
      <c r="O2778"/>
      <c r="P2778" s="36"/>
      <c r="Q2778" s="37"/>
      <c r="R2778"/>
      <c r="S2778"/>
      <c r="T2778"/>
      <c r="U2778"/>
      <c r="V2778" s="39"/>
      <c r="W2778"/>
      <c r="X2778"/>
      <c r="Y2778"/>
      <c r="Z2778"/>
      <c r="AA2778"/>
    </row>
    <row r="2779" spans="1:27" x14ac:dyDescent="0.25">
      <c r="A2779"/>
      <c r="B2779" s="36"/>
      <c r="C2779" s="36"/>
      <c r="D2779"/>
      <c r="E2779"/>
      <c r="F2779"/>
      <c r="G2779"/>
      <c r="H2779"/>
      <c r="I2779"/>
      <c r="J2779"/>
      <c r="K2779"/>
      <c r="L2779"/>
      <c r="M2779"/>
      <c r="N2779"/>
      <c r="O2779"/>
      <c r="P2779" s="36"/>
      <c r="Q2779" s="37"/>
      <c r="R2779"/>
      <c r="S2779"/>
      <c r="T2779"/>
      <c r="U2779"/>
      <c r="V2779" s="39"/>
      <c r="W2779"/>
      <c r="X2779"/>
      <c r="Y2779"/>
      <c r="Z2779"/>
      <c r="AA2779"/>
    </row>
    <row r="2780" spans="1:27" x14ac:dyDescent="0.25">
      <c r="A2780"/>
      <c r="B2780" s="36"/>
      <c r="C2780" s="36"/>
      <c r="D2780"/>
      <c r="E2780"/>
      <c r="F2780"/>
      <c r="G2780"/>
      <c r="H2780"/>
      <c r="I2780"/>
      <c r="J2780"/>
      <c r="K2780"/>
      <c r="L2780"/>
      <c r="M2780"/>
      <c r="N2780"/>
      <c r="O2780"/>
      <c r="P2780" s="36"/>
      <c r="Q2780" s="37"/>
      <c r="R2780"/>
      <c r="S2780"/>
      <c r="T2780"/>
      <c r="U2780"/>
      <c r="V2780" s="39"/>
      <c r="W2780"/>
      <c r="X2780"/>
      <c r="Y2780"/>
      <c r="Z2780"/>
      <c r="AA2780"/>
    </row>
    <row r="2781" spans="1:27" x14ac:dyDescent="0.25">
      <c r="A2781"/>
      <c r="B2781" s="36"/>
      <c r="C2781" s="36"/>
      <c r="D2781"/>
      <c r="E2781"/>
      <c r="F2781"/>
      <c r="G2781"/>
      <c r="H2781"/>
      <c r="I2781"/>
      <c r="J2781"/>
      <c r="K2781"/>
      <c r="L2781"/>
      <c r="M2781"/>
      <c r="N2781"/>
      <c r="O2781"/>
      <c r="P2781" s="36"/>
      <c r="Q2781" s="37"/>
      <c r="R2781"/>
      <c r="S2781"/>
      <c r="T2781"/>
      <c r="U2781"/>
      <c r="V2781" s="39"/>
      <c r="W2781"/>
      <c r="X2781"/>
      <c r="Y2781"/>
      <c r="Z2781"/>
      <c r="AA2781"/>
    </row>
    <row r="2782" spans="1:27" x14ac:dyDescent="0.25">
      <c r="A2782"/>
      <c r="B2782" s="36"/>
      <c r="C2782" s="36"/>
      <c r="D2782"/>
      <c r="E2782"/>
      <c r="F2782"/>
      <c r="G2782"/>
      <c r="H2782"/>
      <c r="I2782"/>
      <c r="J2782"/>
      <c r="K2782"/>
      <c r="L2782"/>
      <c r="M2782"/>
      <c r="N2782"/>
      <c r="O2782"/>
      <c r="P2782" s="36"/>
      <c r="Q2782" s="37"/>
      <c r="R2782"/>
      <c r="S2782"/>
      <c r="T2782"/>
      <c r="U2782"/>
      <c r="V2782" s="39"/>
      <c r="W2782"/>
      <c r="X2782"/>
      <c r="Y2782"/>
      <c r="Z2782"/>
      <c r="AA2782"/>
    </row>
    <row r="2783" spans="1:27" x14ac:dyDescent="0.25">
      <c r="A2783"/>
      <c r="B2783" s="36"/>
      <c r="C2783" s="36"/>
      <c r="D2783"/>
      <c r="E2783"/>
      <c r="F2783"/>
      <c r="G2783"/>
      <c r="H2783"/>
      <c r="I2783"/>
      <c r="J2783"/>
      <c r="K2783"/>
      <c r="L2783"/>
      <c r="M2783"/>
      <c r="N2783"/>
      <c r="O2783"/>
      <c r="P2783" s="36"/>
      <c r="Q2783" s="37"/>
      <c r="R2783"/>
      <c r="S2783"/>
      <c r="T2783"/>
      <c r="U2783"/>
      <c r="V2783" s="39"/>
      <c r="W2783"/>
      <c r="X2783"/>
      <c r="Y2783"/>
      <c r="Z2783"/>
      <c r="AA2783"/>
    </row>
    <row r="2784" spans="1:27" x14ac:dyDescent="0.25">
      <c r="A2784"/>
      <c r="B2784" s="36"/>
      <c r="C2784" s="36"/>
      <c r="D2784"/>
      <c r="E2784"/>
      <c r="F2784"/>
      <c r="G2784"/>
      <c r="H2784"/>
      <c r="I2784"/>
      <c r="J2784"/>
      <c r="K2784"/>
      <c r="L2784"/>
      <c r="M2784"/>
      <c r="N2784"/>
      <c r="O2784"/>
      <c r="P2784" s="36"/>
      <c r="Q2784" s="37"/>
      <c r="R2784"/>
      <c r="S2784"/>
      <c r="T2784"/>
      <c r="U2784"/>
      <c r="V2784" s="39"/>
      <c r="W2784"/>
      <c r="X2784"/>
      <c r="Y2784"/>
      <c r="Z2784"/>
      <c r="AA2784"/>
    </row>
    <row r="2785" spans="1:27" x14ac:dyDescent="0.25">
      <c r="A2785"/>
      <c r="B2785" s="36"/>
      <c r="C2785" s="36"/>
      <c r="D2785"/>
      <c r="E2785"/>
      <c r="F2785"/>
      <c r="G2785"/>
      <c r="H2785"/>
      <c r="I2785"/>
      <c r="J2785"/>
      <c r="K2785"/>
      <c r="L2785"/>
      <c r="M2785"/>
      <c r="N2785"/>
      <c r="O2785"/>
      <c r="P2785" s="36"/>
      <c r="Q2785" s="37"/>
      <c r="R2785"/>
      <c r="S2785"/>
      <c r="T2785"/>
      <c r="U2785"/>
      <c r="V2785" s="39"/>
      <c r="W2785"/>
      <c r="X2785"/>
      <c r="Y2785"/>
      <c r="Z2785"/>
      <c r="AA2785"/>
    </row>
    <row r="2786" spans="1:27" x14ac:dyDescent="0.25">
      <c r="A2786"/>
      <c r="B2786" s="36"/>
      <c r="C2786" s="36"/>
      <c r="D2786"/>
      <c r="E2786"/>
      <c r="F2786"/>
      <c r="G2786"/>
      <c r="H2786"/>
      <c r="I2786"/>
      <c r="J2786"/>
      <c r="K2786"/>
      <c r="L2786"/>
      <c r="M2786"/>
      <c r="N2786"/>
      <c r="O2786"/>
      <c r="P2786" s="36"/>
      <c r="Q2786" s="37"/>
      <c r="R2786"/>
      <c r="S2786"/>
      <c r="T2786"/>
      <c r="U2786"/>
      <c r="V2786" s="39"/>
      <c r="W2786"/>
      <c r="X2786"/>
      <c r="Y2786"/>
      <c r="Z2786"/>
      <c r="AA2786"/>
    </row>
    <row r="2787" spans="1:27" x14ac:dyDescent="0.25">
      <c r="A2787"/>
      <c r="B2787" s="36"/>
      <c r="C2787" s="36"/>
      <c r="D2787"/>
      <c r="E2787"/>
      <c r="F2787"/>
      <c r="G2787"/>
      <c r="H2787"/>
      <c r="I2787"/>
      <c r="J2787"/>
      <c r="K2787"/>
      <c r="L2787"/>
      <c r="M2787"/>
      <c r="N2787"/>
      <c r="O2787"/>
      <c r="P2787" s="36"/>
      <c r="Q2787" s="37"/>
      <c r="R2787"/>
      <c r="S2787"/>
      <c r="T2787"/>
      <c r="U2787"/>
      <c r="V2787" s="39"/>
      <c r="W2787"/>
      <c r="X2787"/>
      <c r="Y2787"/>
      <c r="Z2787"/>
      <c r="AA2787"/>
    </row>
    <row r="2788" spans="1:27" x14ac:dyDescent="0.25">
      <c r="A2788"/>
      <c r="B2788" s="36"/>
      <c r="C2788" s="36"/>
      <c r="D2788"/>
      <c r="E2788"/>
      <c r="F2788"/>
      <c r="G2788"/>
      <c r="H2788"/>
      <c r="I2788"/>
      <c r="J2788"/>
      <c r="K2788"/>
      <c r="L2788"/>
      <c r="M2788"/>
      <c r="N2788"/>
      <c r="O2788"/>
      <c r="P2788" s="36"/>
      <c r="Q2788" s="37"/>
      <c r="R2788"/>
      <c r="S2788"/>
      <c r="T2788"/>
      <c r="U2788"/>
      <c r="V2788" s="39"/>
      <c r="W2788"/>
      <c r="X2788"/>
      <c r="Y2788"/>
      <c r="Z2788"/>
      <c r="AA2788"/>
    </row>
    <row r="2789" spans="1:27" x14ac:dyDescent="0.25">
      <c r="A2789"/>
      <c r="B2789" s="36"/>
      <c r="C2789" s="36"/>
      <c r="D2789"/>
      <c r="E2789"/>
      <c r="F2789"/>
      <c r="G2789"/>
      <c r="H2789"/>
      <c r="I2789"/>
      <c r="J2789"/>
      <c r="K2789"/>
      <c r="L2789"/>
      <c r="M2789"/>
      <c r="N2789"/>
      <c r="O2789"/>
      <c r="P2789" s="36"/>
      <c r="Q2789" s="37"/>
      <c r="R2789"/>
      <c r="S2789"/>
      <c r="T2789"/>
      <c r="U2789"/>
      <c r="V2789" s="39"/>
      <c r="W2789"/>
      <c r="X2789"/>
      <c r="Y2789"/>
      <c r="Z2789"/>
      <c r="AA2789"/>
    </row>
    <row r="2790" spans="1:27" x14ac:dyDescent="0.25">
      <c r="A2790"/>
      <c r="B2790" s="36"/>
      <c r="C2790" s="36"/>
      <c r="D2790"/>
      <c r="E2790"/>
      <c r="F2790"/>
      <c r="G2790"/>
      <c r="H2790"/>
      <c r="I2790"/>
      <c r="J2790"/>
      <c r="K2790"/>
      <c r="L2790"/>
      <c r="M2790"/>
      <c r="N2790"/>
      <c r="O2790"/>
      <c r="P2790" s="36"/>
      <c r="Q2790" s="37"/>
      <c r="R2790"/>
      <c r="S2790"/>
      <c r="T2790"/>
      <c r="U2790"/>
      <c r="V2790" s="39"/>
      <c r="W2790"/>
      <c r="X2790"/>
      <c r="Y2790"/>
      <c r="Z2790"/>
      <c r="AA2790"/>
    </row>
    <row r="2791" spans="1:27" x14ac:dyDescent="0.25">
      <c r="A2791"/>
      <c r="B2791" s="36"/>
      <c r="C2791" s="36"/>
      <c r="D2791"/>
      <c r="E2791"/>
      <c r="F2791"/>
      <c r="G2791"/>
      <c r="H2791"/>
      <c r="I2791"/>
      <c r="J2791"/>
      <c r="K2791"/>
      <c r="L2791"/>
      <c r="M2791"/>
      <c r="N2791"/>
      <c r="O2791"/>
      <c r="P2791" s="36"/>
      <c r="Q2791" s="37"/>
      <c r="R2791"/>
      <c r="S2791"/>
      <c r="T2791"/>
      <c r="U2791"/>
      <c r="V2791" s="39"/>
      <c r="W2791"/>
      <c r="X2791"/>
      <c r="Y2791"/>
      <c r="Z2791"/>
      <c r="AA2791"/>
    </row>
    <row r="2792" spans="1:27" x14ac:dyDescent="0.25">
      <c r="A2792"/>
      <c r="B2792" s="36"/>
      <c r="C2792" s="36"/>
      <c r="D2792"/>
      <c r="E2792"/>
      <c r="F2792"/>
      <c r="G2792"/>
      <c r="H2792"/>
      <c r="I2792"/>
      <c r="J2792"/>
      <c r="K2792"/>
      <c r="L2792"/>
      <c r="M2792"/>
      <c r="N2792"/>
      <c r="O2792"/>
      <c r="P2792" s="36"/>
      <c r="Q2792" s="37"/>
      <c r="R2792"/>
      <c r="S2792"/>
      <c r="T2792"/>
      <c r="U2792"/>
      <c r="V2792" s="39"/>
      <c r="W2792"/>
      <c r="X2792"/>
      <c r="Y2792"/>
      <c r="Z2792"/>
      <c r="AA2792"/>
    </row>
    <row r="2793" spans="1:27" x14ac:dyDescent="0.25">
      <c r="A2793"/>
      <c r="B2793" s="36"/>
      <c r="C2793" s="36"/>
      <c r="D2793"/>
      <c r="E2793"/>
      <c r="F2793"/>
      <c r="G2793"/>
      <c r="H2793"/>
      <c r="I2793"/>
      <c r="J2793"/>
      <c r="K2793"/>
      <c r="L2793"/>
      <c r="M2793"/>
      <c r="N2793"/>
      <c r="O2793"/>
      <c r="P2793" s="36"/>
      <c r="Q2793" s="37"/>
      <c r="R2793"/>
      <c r="S2793"/>
      <c r="T2793"/>
      <c r="U2793"/>
      <c r="V2793" s="39"/>
      <c r="W2793"/>
      <c r="X2793"/>
      <c r="Y2793"/>
      <c r="Z2793"/>
      <c r="AA2793"/>
    </row>
    <row r="2794" spans="1:27" x14ac:dyDescent="0.25">
      <c r="A2794"/>
      <c r="B2794" s="36"/>
      <c r="C2794" s="36"/>
      <c r="D2794"/>
      <c r="E2794"/>
      <c r="F2794"/>
      <c r="G2794"/>
      <c r="H2794"/>
      <c r="I2794"/>
      <c r="J2794"/>
      <c r="K2794"/>
      <c r="L2794"/>
      <c r="M2794"/>
      <c r="N2794"/>
      <c r="O2794"/>
      <c r="P2794" s="36"/>
      <c r="Q2794" s="37"/>
      <c r="R2794"/>
      <c r="S2794"/>
      <c r="T2794"/>
      <c r="U2794"/>
      <c r="V2794" s="39"/>
      <c r="W2794"/>
      <c r="X2794"/>
      <c r="Y2794"/>
      <c r="Z2794"/>
      <c r="AA2794"/>
    </row>
    <row r="2795" spans="1:27" x14ac:dyDescent="0.25">
      <c r="A2795"/>
      <c r="B2795" s="36"/>
      <c r="C2795" s="36"/>
      <c r="D2795"/>
      <c r="E2795"/>
      <c r="F2795"/>
      <c r="G2795"/>
      <c r="H2795"/>
      <c r="I2795"/>
      <c r="J2795"/>
      <c r="K2795"/>
      <c r="L2795"/>
      <c r="M2795"/>
      <c r="N2795"/>
      <c r="O2795"/>
      <c r="P2795" s="36"/>
      <c r="Q2795" s="37"/>
      <c r="R2795"/>
      <c r="S2795"/>
      <c r="T2795"/>
      <c r="U2795"/>
      <c r="V2795" s="39"/>
      <c r="W2795"/>
      <c r="X2795"/>
      <c r="Y2795"/>
      <c r="Z2795"/>
      <c r="AA2795"/>
    </row>
    <row r="2796" spans="1:27" x14ac:dyDescent="0.25">
      <c r="A2796"/>
      <c r="B2796" s="36"/>
      <c r="C2796" s="36"/>
      <c r="D2796"/>
      <c r="E2796"/>
      <c r="F2796"/>
      <c r="G2796"/>
      <c r="H2796"/>
      <c r="I2796"/>
      <c r="J2796"/>
      <c r="K2796"/>
      <c r="L2796"/>
      <c r="M2796"/>
      <c r="N2796"/>
      <c r="O2796"/>
      <c r="P2796" s="36"/>
      <c r="Q2796" s="37"/>
      <c r="R2796"/>
      <c r="S2796"/>
      <c r="T2796"/>
      <c r="U2796"/>
      <c r="V2796" s="39"/>
      <c r="W2796"/>
      <c r="X2796"/>
      <c r="Y2796"/>
      <c r="Z2796"/>
      <c r="AA2796"/>
    </row>
    <row r="2797" spans="1:27" x14ac:dyDescent="0.25">
      <c r="A2797"/>
      <c r="B2797" s="36"/>
      <c r="C2797" s="36"/>
      <c r="D2797"/>
      <c r="E2797"/>
      <c r="F2797"/>
      <c r="G2797"/>
      <c r="H2797"/>
      <c r="I2797"/>
      <c r="J2797"/>
      <c r="K2797"/>
      <c r="L2797"/>
      <c r="M2797"/>
      <c r="N2797"/>
      <c r="O2797"/>
      <c r="P2797" s="36"/>
      <c r="Q2797" s="37"/>
      <c r="R2797"/>
      <c r="S2797"/>
      <c r="T2797"/>
      <c r="U2797"/>
      <c r="V2797" s="39"/>
      <c r="W2797"/>
      <c r="X2797"/>
      <c r="Y2797"/>
      <c r="Z2797"/>
      <c r="AA2797"/>
    </row>
    <row r="2798" spans="1:27" x14ac:dyDescent="0.25">
      <c r="A2798"/>
      <c r="B2798" s="36"/>
      <c r="C2798" s="36"/>
      <c r="D2798"/>
      <c r="E2798"/>
      <c r="F2798"/>
      <c r="G2798"/>
      <c r="H2798"/>
      <c r="I2798"/>
      <c r="J2798"/>
      <c r="K2798"/>
      <c r="L2798"/>
      <c r="M2798"/>
      <c r="N2798"/>
      <c r="O2798"/>
      <c r="P2798" s="36"/>
      <c r="Q2798" s="37"/>
      <c r="R2798"/>
      <c r="S2798"/>
      <c r="T2798"/>
      <c r="U2798"/>
      <c r="V2798" s="39"/>
      <c r="W2798"/>
      <c r="X2798"/>
      <c r="Y2798"/>
      <c r="Z2798"/>
      <c r="AA2798"/>
    </row>
    <row r="2799" spans="1:27" x14ac:dyDescent="0.25">
      <c r="A2799"/>
      <c r="B2799" s="36"/>
      <c r="C2799" s="36"/>
      <c r="D2799"/>
      <c r="E2799"/>
      <c r="F2799"/>
      <c r="G2799"/>
      <c r="H2799"/>
      <c r="I2799"/>
      <c r="J2799"/>
      <c r="K2799"/>
      <c r="L2799"/>
      <c r="M2799"/>
      <c r="N2799"/>
      <c r="O2799"/>
      <c r="P2799" s="36"/>
      <c r="Q2799" s="37"/>
      <c r="R2799"/>
      <c r="S2799"/>
      <c r="T2799"/>
      <c r="U2799"/>
      <c r="V2799" s="39"/>
      <c r="W2799"/>
      <c r="X2799"/>
      <c r="Y2799"/>
      <c r="Z2799"/>
      <c r="AA2799"/>
    </row>
    <row r="2800" spans="1:27" x14ac:dyDescent="0.25">
      <c r="A2800"/>
      <c r="B2800" s="36"/>
      <c r="C2800" s="36"/>
      <c r="D2800"/>
      <c r="E2800"/>
      <c r="F2800"/>
      <c r="G2800"/>
      <c r="H2800"/>
      <c r="I2800"/>
      <c r="J2800"/>
      <c r="K2800"/>
      <c r="L2800"/>
      <c r="M2800"/>
      <c r="N2800"/>
      <c r="O2800"/>
      <c r="P2800" s="36"/>
      <c r="Q2800" s="37"/>
      <c r="R2800"/>
      <c r="S2800"/>
      <c r="T2800"/>
      <c r="U2800"/>
      <c r="V2800" s="39"/>
      <c r="W2800"/>
      <c r="X2800"/>
      <c r="Y2800"/>
      <c r="Z2800"/>
      <c r="AA2800"/>
    </row>
    <row r="2801" spans="1:27" x14ac:dyDescent="0.25">
      <c r="A2801"/>
      <c r="B2801" s="36"/>
      <c r="C2801" s="36"/>
      <c r="D2801"/>
      <c r="E2801"/>
      <c r="F2801"/>
      <c r="G2801"/>
      <c r="H2801"/>
      <c r="I2801"/>
      <c r="J2801"/>
      <c r="K2801"/>
      <c r="L2801"/>
      <c r="M2801"/>
      <c r="N2801"/>
      <c r="O2801"/>
      <c r="P2801" s="36"/>
      <c r="Q2801" s="37"/>
      <c r="R2801"/>
      <c r="S2801"/>
      <c r="T2801"/>
      <c r="U2801"/>
      <c r="V2801" s="39"/>
      <c r="W2801"/>
      <c r="X2801"/>
      <c r="Y2801"/>
      <c r="Z2801"/>
      <c r="AA2801"/>
    </row>
    <row r="2802" spans="1:27" x14ac:dyDescent="0.25">
      <c r="A2802"/>
      <c r="B2802" s="36"/>
      <c r="C2802" s="36"/>
      <c r="D2802"/>
      <c r="E2802"/>
      <c r="F2802"/>
      <c r="G2802"/>
      <c r="H2802"/>
      <c r="I2802"/>
      <c r="J2802"/>
      <c r="K2802"/>
      <c r="L2802"/>
      <c r="M2802"/>
      <c r="N2802"/>
      <c r="O2802"/>
      <c r="P2802" s="36"/>
      <c r="Q2802" s="37"/>
      <c r="R2802"/>
      <c r="S2802"/>
      <c r="T2802"/>
      <c r="U2802"/>
      <c r="V2802" s="39"/>
      <c r="W2802"/>
      <c r="X2802"/>
      <c r="Y2802"/>
      <c r="Z2802"/>
      <c r="AA2802"/>
    </row>
    <row r="2803" spans="1:27" x14ac:dyDescent="0.25">
      <c r="A2803"/>
      <c r="B2803" s="36"/>
      <c r="C2803" s="36"/>
      <c r="D2803"/>
      <c r="E2803"/>
      <c r="F2803"/>
      <c r="G2803"/>
      <c r="H2803"/>
      <c r="I2803"/>
      <c r="J2803"/>
      <c r="K2803"/>
      <c r="L2803"/>
      <c r="M2803"/>
      <c r="N2803"/>
      <c r="O2803"/>
      <c r="P2803" s="36"/>
      <c r="Q2803" s="37"/>
      <c r="R2803"/>
      <c r="S2803"/>
      <c r="T2803"/>
      <c r="U2803"/>
      <c r="V2803" s="39"/>
      <c r="W2803"/>
      <c r="X2803"/>
      <c r="Y2803"/>
      <c r="Z2803"/>
      <c r="AA2803"/>
    </row>
    <row r="2804" spans="1:27" x14ac:dyDescent="0.25">
      <c r="A2804"/>
      <c r="B2804" s="36"/>
      <c r="C2804" s="36"/>
      <c r="D2804"/>
      <c r="E2804"/>
      <c r="F2804"/>
      <c r="G2804"/>
      <c r="H2804"/>
      <c r="I2804"/>
      <c r="J2804"/>
      <c r="K2804"/>
      <c r="L2804"/>
      <c r="M2804"/>
      <c r="N2804"/>
      <c r="O2804"/>
      <c r="P2804" s="36"/>
      <c r="Q2804" s="37"/>
      <c r="R2804"/>
      <c r="S2804"/>
      <c r="T2804"/>
      <c r="U2804"/>
      <c r="V2804" s="39"/>
      <c r="W2804"/>
      <c r="X2804"/>
      <c r="Y2804"/>
      <c r="Z2804"/>
      <c r="AA2804"/>
    </row>
    <row r="2805" spans="1:27" x14ac:dyDescent="0.25">
      <c r="A2805"/>
      <c r="B2805" s="36"/>
      <c r="C2805" s="36"/>
      <c r="D2805"/>
      <c r="E2805"/>
      <c r="F2805"/>
      <c r="G2805"/>
      <c r="H2805"/>
      <c r="I2805"/>
      <c r="J2805"/>
      <c r="K2805"/>
      <c r="L2805"/>
      <c r="M2805"/>
      <c r="N2805"/>
      <c r="O2805"/>
      <c r="P2805" s="36"/>
      <c r="Q2805" s="37"/>
      <c r="R2805"/>
      <c r="S2805"/>
      <c r="T2805"/>
      <c r="U2805"/>
      <c r="V2805" s="39"/>
      <c r="W2805"/>
      <c r="X2805"/>
      <c r="Y2805"/>
      <c r="Z2805"/>
      <c r="AA2805"/>
    </row>
    <row r="2806" spans="1:27" x14ac:dyDescent="0.25">
      <c r="A2806"/>
      <c r="B2806" s="36"/>
      <c r="C2806" s="36"/>
      <c r="D2806"/>
      <c r="E2806"/>
      <c r="F2806"/>
      <c r="G2806"/>
      <c r="H2806"/>
      <c r="I2806"/>
      <c r="J2806"/>
      <c r="K2806"/>
      <c r="L2806"/>
      <c r="M2806"/>
      <c r="N2806"/>
      <c r="O2806"/>
      <c r="P2806" s="36"/>
      <c r="Q2806" s="37"/>
      <c r="R2806"/>
      <c r="S2806"/>
      <c r="T2806"/>
      <c r="U2806"/>
      <c r="V2806" s="39"/>
      <c r="W2806"/>
      <c r="X2806"/>
      <c r="Y2806"/>
      <c r="Z2806"/>
      <c r="AA2806"/>
    </row>
    <row r="2807" spans="1:27" x14ac:dyDescent="0.25">
      <c r="A2807"/>
      <c r="B2807" s="36"/>
      <c r="C2807" s="36"/>
      <c r="D2807"/>
      <c r="E2807"/>
      <c r="F2807"/>
      <c r="G2807"/>
      <c r="H2807"/>
      <c r="I2807"/>
      <c r="J2807"/>
      <c r="K2807"/>
      <c r="L2807"/>
      <c r="M2807"/>
      <c r="N2807"/>
      <c r="O2807"/>
      <c r="P2807" s="36"/>
      <c r="Q2807" s="37"/>
      <c r="R2807"/>
      <c r="S2807"/>
      <c r="T2807"/>
      <c r="U2807"/>
      <c r="V2807" s="39"/>
      <c r="W2807"/>
      <c r="X2807"/>
      <c r="Y2807"/>
      <c r="Z2807"/>
      <c r="AA2807"/>
    </row>
    <row r="2808" spans="1:27" x14ac:dyDescent="0.25">
      <c r="A2808"/>
      <c r="B2808" s="36"/>
      <c r="C2808" s="36"/>
      <c r="D2808"/>
      <c r="E2808"/>
      <c r="F2808"/>
      <c r="G2808"/>
      <c r="H2808"/>
      <c r="I2808"/>
      <c r="J2808"/>
      <c r="K2808"/>
      <c r="L2808"/>
      <c r="M2808"/>
      <c r="N2808"/>
      <c r="O2808"/>
      <c r="P2808" s="36"/>
      <c r="Q2808" s="37"/>
      <c r="R2808"/>
      <c r="S2808"/>
      <c r="T2808"/>
      <c r="U2808"/>
      <c r="V2808" s="39"/>
      <c r="W2808"/>
      <c r="X2808"/>
      <c r="Y2808"/>
      <c r="Z2808"/>
      <c r="AA2808"/>
    </row>
    <row r="2809" spans="1:27" x14ac:dyDescent="0.25">
      <c r="A2809"/>
      <c r="B2809" s="36"/>
      <c r="C2809" s="36"/>
      <c r="D2809"/>
      <c r="E2809"/>
      <c r="F2809"/>
      <c r="G2809"/>
      <c r="H2809"/>
      <c r="I2809"/>
      <c r="J2809"/>
      <c r="K2809"/>
      <c r="L2809"/>
      <c r="M2809"/>
      <c r="N2809"/>
      <c r="O2809"/>
      <c r="P2809" s="36"/>
      <c r="Q2809" s="37"/>
      <c r="R2809"/>
      <c r="S2809"/>
      <c r="T2809"/>
      <c r="U2809"/>
      <c r="V2809" s="39"/>
      <c r="W2809"/>
      <c r="X2809"/>
      <c r="Y2809"/>
      <c r="Z2809"/>
      <c r="AA2809"/>
    </row>
    <row r="2810" spans="1:27" x14ac:dyDescent="0.25">
      <c r="A2810"/>
      <c r="B2810" s="36"/>
      <c r="C2810" s="36"/>
      <c r="D2810"/>
      <c r="E2810"/>
      <c r="F2810"/>
      <c r="G2810"/>
      <c r="H2810"/>
      <c r="I2810"/>
      <c r="J2810"/>
      <c r="K2810"/>
      <c r="L2810"/>
      <c r="M2810"/>
      <c r="N2810"/>
      <c r="O2810"/>
      <c r="P2810" s="36"/>
      <c r="Q2810" s="37"/>
      <c r="R2810"/>
      <c r="S2810"/>
      <c r="T2810"/>
      <c r="U2810"/>
      <c r="V2810" s="39"/>
      <c r="W2810"/>
      <c r="X2810"/>
      <c r="Y2810"/>
      <c r="Z2810"/>
      <c r="AA2810"/>
    </row>
    <row r="2811" spans="1:27" x14ac:dyDescent="0.25">
      <c r="A2811"/>
      <c r="B2811" s="36"/>
      <c r="C2811" s="36"/>
      <c r="D2811"/>
      <c r="E2811"/>
      <c r="F2811"/>
      <c r="G2811"/>
      <c r="H2811"/>
      <c r="I2811"/>
      <c r="J2811"/>
      <c r="K2811"/>
      <c r="L2811"/>
      <c r="M2811"/>
      <c r="N2811"/>
      <c r="O2811"/>
      <c r="P2811" s="36"/>
      <c r="Q2811" s="37"/>
      <c r="R2811"/>
      <c r="S2811"/>
      <c r="T2811"/>
      <c r="U2811"/>
      <c r="V2811" s="39"/>
      <c r="W2811"/>
      <c r="X2811"/>
      <c r="Y2811"/>
      <c r="Z2811"/>
      <c r="AA2811"/>
    </row>
    <row r="2812" spans="1:27" x14ac:dyDescent="0.25">
      <c r="A2812"/>
      <c r="B2812" s="36"/>
      <c r="C2812" s="36"/>
      <c r="D2812"/>
      <c r="E2812"/>
      <c r="F2812"/>
      <c r="G2812"/>
      <c r="H2812"/>
      <c r="I2812"/>
      <c r="J2812"/>
      <c r="K2812"/>
      <c r="L2812"/>
      <c r="M2812"/>
      <c r="N2812"/>
      <c r="O2812"/>
      <c r="P2812" s="36"/>
      <c r="Q2812" s="37"/>
      <c r="R2812"/>
      <c r="S2812"/>
      <c r="T2812"/>
      <c r="U2812"/>
      <c r="V2812" s="39"/>
      <c r="W2812"/>
      <c r="X2812"/>
      <c r="Y2812"/>
      <c r="Z2812"/>
      <c r="AA2812"/>
    </row>
    <row r="2813" spans="1:27" x14ac:dyDescent="0.25">
      <c r="A2813"/>
      <c r="B2813" s="36"/>
      <c r="C2813" s="36"/>
      <c r="D2813"/>
      <c r="E2813"/>
      <c r="F2813"/>
      <c r="G2813"/>
      <c r="H2813"/>
      <c r="I2813"/>
      <c r="J2813"/>
      <c r="K2813"/>
      <c r="L2813"/>
      <c r="M2813"/>
      <c r="N2813"/>
      <c r="O2813"/>
      <c r="P2813" s="36"/>
      <c r="Q2813" s="37"/>
      <c r="R2813"/>
      <c r="S2813"/>
      <c r="T2813"/>
      <c r="U2813"/>
      <c r="V2813" s="39"/>
      <c r="W2813"/>
      <c r="X2813"/>
      <c r="Y2813"/>
      <c r="Z2813"/>
      <c r="AA2813"/>
    </row>
    <row r="2814" spans="1:27" x14ac:dyDescent="0.25">
      <c r="A2814"/>
      <c r="B2814" s="36"/>
      <c r="C2814" s="36"/>
      <c r="D2814"/>
      <c r="E2814"/>
      <c r="F2814"/>
      <c r="G2814"/>
      <c r="H2814"/>
      <c r="I2814"/>
      <c r="J2814"/>
      <c r="K2814"/>
      <c r="L2814"/>
      <c r="M2814"/>
      <c r="N2814"/>
      <c r="O2814"/>
      <c r="P2814" s="36"/>
      <c r="Q2814" s="37"/>
      <c r="R2814"/>
      <c r="S2814"/>
      <c r="T2814"/>
      <c r="U2814"/>
      <c r="V2814" s="39"/>
      <c r="W2814"/>
      <c r="X2814"/>
      <c r="Y2814"/>
      <c r="Z2814"/>
      <c r="AA2814"/>
    </row>
    <row r="2815" spans="1:27" x14ac:dyDescent="0.25">
      <c r="A2815"/>
      <c r="B2815" s="36"/>
      <c r="C2815" s="36"/>
      <c r="D2815"/>
      <c r="E2815"/>
      <c r="F2815"/>
      <c r="G2815"/>
      <c r="H2815"/>
      <c r="I2815"/>
      <c r="J2815"/>
      <c r="K2815"/>
      <c r="L2815"/>
      <c r="M2815"/>
      <c r="N2815"/>
      <c r="O2815"/>
      <c r="P2815" s="36"/>
      <c r="Q2815" s="37"/>
      <c r="R2815"/>
      <c r="S2815"/>
      <c r="T2815"/>
      <c r="U2815"/>
      <c r="V2815" s="39"/>
      <c r="W2815"/>
      <c r="X2815"/>
      <c r="Y2815"/>
      <c r="Z2815"/>
      <c r="AA2815"/>
    </row>
    <row r="2816" spans="1:27" x14ac:dyDescent="0.25">
      <c r="A2816"/>
      <c r="B2816" s="36"/>
      <c r="C2816" s="36"/>
      <c r="D2816"/>
      <c r="E2816"/>
      <c r="F2816"/>
      <c r="G2816"/>
      <c r="H2816"/>
      <c r="I2816"/>
      <c r="J2816"/>
      <c r="K2816"/>
      <c r="L2816"/>
      <c r="M2816"/>
      <c r="N2816"/>
      <c r="O2816"/>
      <c r="P2816" s="36"/>
      <c r="Q2816" s="37"/>
      <c r="R2816"/>
      <c r="S2816"/>
      <c r="T2816"/>
      <c r="U2816"/>
      <c r="V2816" s="39"/>
      <c r="W2816"/>
      <c r="X2816"/>
      <c r="Y2816"/>
      <c r="Z2816"/>
      <c r="AA2816"/>
    </row>
    <row r="2817" spans="1:27" x14ac:dyDescent="0.25">
      <c r="A2817"/>
      <c r="B2817" s="36"/>
      <c r="C2817" s="36"/>
      <c r="D2817"/>
      <c r="E2817"/>
      <c r="F2817"/>
      <c r="G2817"/>
      <c r="H2817"/>
      <c r="I2817"/>
      <c r="J2817"/>
      <c r="K2817"/>
      <c r="L2817"/>
      <c r="M2817"/>
      <c r="N2817"/>
      <c r="O2817"/>
      <c r="P2817" s="36"/>
      <c r="Q2817" s="37"/>
      <c r="R2817"/>
      <c r="S2817"/>
      <c r="T2817"/>
      <c r="U2817"/>
      <c r="V2817" s="39"/>
      <c r="W2817"/>
      <c r="X2817"/>
      <c r="Y2817"/>
      <c r="Z2817"/>
      <c r="AA2817"/>
    </row>
    <row r="2818" spans="1:27" x14ac:dyDescent="0.25">
      <c r="A2818"/>
      <c r="B2818" s="36"/>
      <c r="C2818" s="36"/>
      <c r="D2818"/>
      <c r="E2818"/>
      <c r="F2818"/>
      <c r="G2818"/>
      <c r="H2818"/>
      <c r="I2818"/>
      <c r="J2818"/>
      <c r="K2818"/>
      <c r="L2818"/>
      <c r="M2818"/>
      <c r="N2818"/>
      <c r="O2818"/>
      <c r="P2818" s="36"/>
      <c r="Q2818" s="37"/>
      <c r="R2818"/>
      <c r="S2818"/>
      <c r="T2818"/>
      <c r="U2818"/>
      <c r="V2818" s="39"/>
      <c r="W2818"/>
      <c r="X2818"/>
      <c r="Y2818"/>
      <c r="Z2818"/>
      <c r="AA2818"/>
    </row>
    <row r="2819" spans="1:27" x14ac:dyDescent="0.25">
      <c r="A2819"/>
      <c r="B2819" s="36"/>
      <c r="C2819" s="36"/>
      <c r="D2819"/>
      <c r="E2819"/>
      <c r="F2819"/>
      <c r="G2819"/>
      <c r="H2819"/>
      <c r="I2819"/>
      <c r="J2819"/>
      <c r="K2819"/>
      <c r="L2819"/>
      <c r="M2819"/>
      <c r="N2819"/>
      <c r="O2819"/>
      <c r="P2819" s="36"/>
      <c r="Q2819" s="37"/>
      <c r="R2819"/>
      <c r="S2819"/>
      <c r="T2819"/>
      <c r="U2819"/>
      <c r="V2819" s="39"/>
      <c r="W2819"/>
      <c r="X2819"/>
      <c r="Y2819"/>
      <c r="Z2819"/>
      <c r="AA2819"/>
    </row>
    <row r="2820" spans="1:27" x14ac:dyDescent="0.25">
      <c r="A2820"/>
      <c r="B2820" s="36"/>
      <c r="C2820" s="36"/>
      <c r="D2820"/>
      <c r="E2820"/>
      <c r="F2820"/>
      <c r="G2820"/>
      <c r="H2820"/>
      <c r="I2820"/>
      <c r="J2820"/>
      <c r="K2820"/>
      <c r="L2820"/>
      <c r="M2820"/>
      <c r="N2820"/>
      <c r="O2820"/>
      <c r="P2820" s="36"/>
      <c r="Q2820" s="37"/>
      <c r="R2820"/>
      <c r="S2820"/>
      <c r="T2820"/>
      <c r="U2820"/>
      <c r="V2820" s="39"/>
      <c r="W2820"/>
      <c r="X2820"/>
      <c r="Y2820"/>
      <c r="Z2820"/>
      <c r="AA2820"/>
    </row>
    <row r="2821" spans="1:27" x14ac:dyDescent="0.25">
      <c r="A2821"/>
      <c r="B2821" s="36"/>
      <c r="C2821" s="36"/>
      <c r="D2821"/>
      <c r="E2821"/>
      <c r="F2821"/>
      <c r="G2821"/>
      <c r="H2821"/>
      <c r="I2821"/>
      <c r="J2821"/>
      <c r="K2821"/>
      <c r="L2821"/>
      <c r="M2821"/>
      <c r="N2821"/>
      <c r="O2821"/>
      <c r="P2821" s="36"/>
      <c r="Q2821" s="37"/>
      <c r="R2821"/>
      <c r="S2821"/>
      <c r="T2821"/>
      <c r="U2821"/>
      <c r="V2821" s="39"/>
      <c r="W2821"/>
      <c r="X2821"/>
      <c r="Y2821"/>
      <c r="Z2821"/>
      <c r="AA2821"/>
    </row>
    <row r="2822" spans="1:27" x14ac:dyDescent="0.25">
      <c r="A2822"/>
      <c r="B2822" s="36"/>
      <c r="C2822" s="36"/>
      <c r="D2822"/>
      <c r="E2822"/>
      <c r="F2822"/>
      <c r="G2822"/>
      <c r="H2822"/>
      <c r="I2822"/>
      <c r="J2822"/>
      <c r="K2822"/>
      <c r="L2822"/>
      <c r="M2822"/>
      <c r="N2822"/>
      <c r="O2822"/>
      <c r="P2822" s="36"/>
      <c r="Q2822" s="37"/>
      <c r="R2822"/>
      <c r="S2822"/>
      <c r="T2822"/>
      <c r="U2822"/>
      <c r="V2822" s="39"/>
      <c r="W2822"/>
      <c r="X2822"/>
      <c r="Y2822"/>
      <c r="Z2822"/>
      <c r="AA2822"/>
    </row>
    <row r="2823" spans="1:27" x14ac:dyDescent="0.25">
      <c r="A2823"/>
      <c r="B2823" s="36"/>
      <c r="C2823" s="36"/>
      <c r="D2823"/>
      <c r="E2823"/>
      <c r="F2823"/>
      <c r="G2823"/>
      <c r="H2823"/>
      <c r="I2823"/>
      <c r="J2823"/>
      <c r="K2823"/>
      <c r="L2823"/>
      <c r="M2823"/>
      <c r="N2823"/>
      <c r="O2823"/>
      <c r="P2823" s="36"/>
      <c r="Q2823" s="37"/>
      <c r="R2823"/>
      <c r="S2823"/>
      <c r="T2823"/>
      <c r="U2823"/>
      <c r="V2823" s="39"/>
      <c r="W2823"/>
      <c r="X2823"/>
      <c r="Y2823"/>
      <c r="Z2823"/>
      <c r="AA2823"/>
    </row>
    <row r="2824" spans="1:27" x14ac:dyDescent="0.25">
      <c r="A2824"/>
      <c r="B2824" s="36"/>
      <c r="C2824" s="36"/>
      <c r="D2824"/>
      <c r="E2824"/>
      <c r="F2824"/>
      <c r="G2824"/>
      <c r="H2824"/>
      <c r="I2824"/>
      <c r="J2824"/>
      <c r="K2824"/>
      <c r="L2824"/>
      <c r="M2824"/>
      <c r="N2824"/>
      <c r="O2824"/>
      <c r="P2824" s="36"/>
      <c r="Q2824" s="37"/>
      <c r="R2824"/>
      <c r="S2824"/>
      <c r="T2824"/>
      <c r="U2824"/>
      <c r="V2824" s="39"/>
      <c r="W2824"/>
      <c r="X2824"/>
      <c r="Y2824"/>
      <c r="Z2824"/>
      <c r="AA2824"/>
    </row>
    <row r="2825" spans="1:27" x14ac:dyDescent="0.25">
      <c r="A2825"/>
      <c r="B2825" s="36"/>
      <c r="C2825" s="36"/>
      <c r="D2825"/>
      <c r="E2825"/>
      <c r="F2825"/>
      <c r="G2825"/>
      <c r="H2825"/>
      <c r="I2825"/>
      <c r="J2825"/>
      <c r="K2825"/>
      <c r="L2825"/>
      <c r="M2825"/>
      <c r="N2825"/>
      <c r="O2825"/>
      <c r="P2825" s="36"/>
      <c r="Q2825" s="37"/>
      <c r="R2825"/>
      <c r="S2825"/>
      <c r="T2825"/>
      <c r="U2825"/>
      <c r="V2825" s="39"/>
      <c r="W2825"/>
      <c r="X2825"/>
      <c r="Y2825"/>
      <c r="Z2825"/>
      <c r="AA2825"/>
    </row>
    <row r="2826" spans="1:27" x14ac:dyDescent="0.25">
      <c r="A2826"/>
      <c r="B2826" s="36"/>
      <c r="C2826" s="36"/>
      <c r="D2826"/>
      <c r="E2826"/>
      <c r="F2826"/>
      <c r="G2826"/>
      <c r="H2826"/>
      <c r="I2826"/>
      <c r="J2826"/>
      <c r="K2826"/>
      <c r="L2826"/>
      <c r="M2826"/>
      <c r="N2826"/>
      <c r="O2826"/>
      <c r="P2826" s="36"/>
      <c r="Q2826" s="37"/>
      <c r="R2826"/>
      <c r="S2826"/>
      <c r="T2826"/>
      <c r="U2826"/>
      <c r="V2826" s="39"/>
      <c r="W2826"/>
      <c r="X2826"/>
      <c r="Y2826"/>
      <c r="Z2826"/>
      <c r="AA2826"/>
    </row>
    <row r="2827" spans="1:27" x14ac:dyDescent="0.25">
      <c r="A2827"/>
      <c r="B2827" s="36"/>
      <c r="C2827" s="36"/>
      <c r="D2827"/>
      <c r="E2827"/>
      <c r="F2827"/>
      <c r="G2827"/>
      <c r="H2827"/>
      <c r="I2827"/>
      <c r="J2827"/>
      <c r="K2827"/>
      <c r="L2827"/>
      <c r="M2827"/>
      <c r="N2827"/>
      <c r="O2827"/>
      <c r="P2827" s="36"/>
      <c r="Q2827" s="37"/>
      <c r="R2827"/>
      <c r="S2827"/>
      <c r="T2827"/>
      <c r="U2827"/>
      <c r="V2827" s="39"/>
      <c r="W2827"/>
      <c r="X2827"/>
      <c r="Y2827"/>
      <c r="Z2827"/>
      <c r="AA2827"/>
    </row>
    <row r="2828" spans="1:27" x14ac:dyDescent="0.25">
      <c r="A2828"/>
      <c r="B2828" s="36"/>
      <c r="C2828" s="36"/>
      <c r="D2828"/>
      <c r="E2828"/>
      <c r="F2828"/>
      <c r="G2828"/>
      <c r="H2828"/>
      <c r="I2828"/>
      <c r="J2828"/>
      <c r="K2828"/>
      <c r="L2828"/>
      <c r="M2828"/>
      <c r="N2828"/>
      <c r="O2828"/>
      <c r="P2828" s="36"/>
      <c r="Q2828" s="37"/>
      <c r="R2828"/>
      <c r="S2828"/>
      <c r="T2828"/>
      <c r="U2828"/>
      <c r="V2828" s="39"/>
      <c r="W2828"/>
      <c r="X2828"/>
      <c r="Y2828"/>
      <c r="Z2828"/>
      <c r="AA2828"/>
    </row>
    <row r="2829" spans="1:27" x14ac:dyDescent="0.25">
      <c r="A2829"/>
      <c r="B2829" s="36"/>
      <c r="C2829" s="36"/>
      <c r="D2829"/>
      <c r="E2829"/>
      <c r="F2829"/>
      <c r="G2829"/>
      <c r="H2829"/>
      <c r="I2829"/>
      <c r="J2829"/>
      <c r="K2829"/>
      <c r="L2829"/>
      <c r="M2829"/>
      <c r="N2829"/>
      <c r="O2829"/>
      <c r="P2829" s="36"/>
      <c r="Q2829" s="37"/>
      <c r="R2829"/>
      <c r="S2829"/>
      <c r="T2829"/>
      <c r="U2829"/>
      <c r="V2829" s="39"/>
      <c r="W2829"/>
      <c r="X2829"/>
      <c r="Y2829"/>
      <c r="Z2829"/>
      <c r="AA2829"/>
    </row>
    <row r="2830" spans="1:27" x14ac:dyDescent="0.25">
      <c r="A2830"/>
      <c r="B2830" s="36"/>
      <c r="C2830" s="36"/>
      <c r="D2830"/>
      <c r="E2830"/>
      <c r="F2830"/>
      <c r="G2830"/>
      <c r="H2830"/>
      <c r="I2830"/>
      <c r="J2830"/>
      <c r="K2830"/>
      <c r="L2830"/>
      <c r="M2830"/>
      <c r="N2830"/>
      <c r="O2830"/>
      <c r="P2830" s="36"/>
      <c r="Q2830" s="37"/>
      <c r="R2830"/>
      <c r="S2830"/>
      <c r="T2830"/>
      <c r="U2830"/>
      <c r="V2830" s="39"/>
      <c r="W2830"/>
      <c r="X2830"/>
      <c r="Y2830"/>
      <c r="Z2830"/>
      <c r="AA2830"/>
    </row>
    <row r="2831" spans="1:27" x14ac:dyDescent="0.25">
      <c r="A2831"/>
      <c r="B2831" s="36"/>
      <c r="C2831" s="36"/>
      <c r="D2831"/>
      <c r="E2831"/>
      <c r="F2831"/>
      <c r="G2831"/>
      <c r="H2831"/>
      <c r="I2831"/>
      <c r="J2831"/>
      <c r="K2831"/>
      <c r="L2831"/>
      <c r="M2831"/>
      <c r="N2831"/>
      <c r="O2831"/>
      <c r="P2831" s="36"/>
      <c r="Q2831" s="37"/>
      <c r="R2831"/>
      <c r="S2831"/>
      <c r="T2831"/>
      <c r="U2831"/>
      <c r="V2831" s="39"/>
      <c r="W2831"/>
      <c r="X2831"/>
      <c r="Y2831"/>
      <c r="Z2831"/>
      <c r="AA2831"/>
    </row>
    <row r="2832" spans="1:27" x14ac:dyDescent="0.25">
      <c r="A2832"/>
      <c r="B2832" s="36"/>
      <c r="C2832" s="36"/>
      <c r="D2832"/>
      <c r="E2832"/>
      <c r="F2832"/>
      <c r="G2832"/>
      <c r="H2832"/>
      <c r="I2832"/>
      <c r="J2832"/>
      <c r="K2832"/>
      <c r="L2832"/>
      <c r="M2832"/>
      <c r="N2832"/>
      <c r="O2832"/>
      <c r="P2832" s="36"/>
      <c r="Q2832" s="37"/>
      <c r="R2832"/>
      <c r="S2832"/>
      <c r="T2832"/>
      <c r="U2832"/>
      <c r="V2832" s="39"/>
      <c r="W2832"/>
      <c r="X2832"/>
      <c r="Y2832"/>
      <c r="Z2832"/>
      <c r="AA2832"/>
    </row>
    <row r="2833" spans="1:27" x14ac:dyDescent="0.25">
      <c r="A2833"/>
      <c r="B2833" s="36"/>
      <c r="C2833" s="36"/>
      <c r="D2833"/>
      <c r="E2833"/>
      <c r="F2833"/>
      <c r="G2833"/>
      <c r="H2833"/>
      <c r="I2833"/>
      <c r="J2833"/>
      <c r="K2833"/>
      <c r="L2833"/>
      <c r="M2833"/>
      <c r="N2833"/>
      <c r="O2833"/>
      <c r="P2833" s="36"/>
      <c r="Q2833" s="37"/>
      <c r="R2833"/>
      <c r="S2833"/>
      <c r="T2833"/>
      <c r="U2833"/>
      <c r="V2833" s="39"/>
      <c r="W2833"/>
      <c r="X2833"/>
      <c r="Y2833"/>
      <c r="Z2833"/>
      <c r="AA2833"/>
    </row>
    <row r="2834" spans="1:27" x14ac:dyDescent="0.25">
      <c r="A2834"/>
      <c r="B2834" s="36"/>
      <c r="C2834" s="36"/>
      <c r="D2834"/>
      <c r="E2834"/>
      <c r="F2834"/>
      <c r="G2834"/>
      <c r="H2834"/>
      <c r="I2834"/>
      <c r="J2834"/>
      <c r="K2834"/>
      <c r="L2834"/>
      <c r="M2834"/>
      <c r="N2834"/>
      <c r="O2834"/>
      <c r="P2834" s="36"/>
      <c r="Q2834" s="37"/>
      <c r="R2834"/>
      <c r="S2834"/>
      <c r="T2834"/>
      <c r="U2834"/>
      <c r="V2834" s="39"/>
      <c r="W2834"/>
      <c r="X2834"/>
      <c r="Y2834"/>
      <c r="Z2834"/>
      <c r="AA2834"/>
    </row>
    <row r="2835" spans="1:27" x14ac:dyDescent="0.25">
      <c r="A2835"/>
      <c r="B2835" s="36"/>
      <c r="C2835" s="36"/>
      <c r="D2835"/>
      <c r="E2835"/>
      <c r="F2835"/>
      <c r="G2835"/>
      <c r="H2835"/>
      <c r="I2835"/>
      <c r="J2835"/>
      <c r="K2835"/>
      <c r="L2835"/>
      <c r="M2835"/>
      <c r="N2835"/>
      <c r="O2835"/>
      <c r="P2835" s="36"/>
      <c r="Q2835" s="37"/>
      <c r="R2835"/>
      <c r="S2835"/>
      <c r="T2835"/>
      <c r="U2835"/>
      <c r="V2835" s="39"/>
      <c r="W2835"/>
      <c r="X2835"/>
      <c r="Y2835"/>
      <c r="Z2835"/>
      <c r="AA2835"/>
    </row>
    <row r="2836" spans="1:27" x14ac:dyDescent="0.25">
      <c r="A2836"/>
      <c r="B2836" s="36"/>
      <c r="C2836" s="36"/>
      <c r="D2836"/>
      <c r="E2836"/>
      <c r="F2836"/>
      <c r="G2836"/>
      <c r="H2836"/>
      <c r="I2836"/>
      <c r="J2836"/>
      <c r="K2836"/>
      <c r="L2836"/>
      <c r="M2836"/>
      <c r="N2836"/>
      <c r="O2836"/>
      <c r="P2836" s="36"/>
      <c r="Q2836" s="37"/>
      <c r="R2836"/>
      <c r="S2836"/>
      <c r="T2836"/>
      <c r="U2836"/>
      <c r="V2836" s="39"/>
      <c r="W2836"/>
      <c r="X2836"/>
      <c r="Y2836"/>
      <c r="Z2836"/>
      <c r="AA2836"/>
    </row>
    <row r="2837" spans="1:27" x14ac:dyDescent="0.25">
      <c r="A2837"/>
      <c r="B2837" s="36"/>
      <c r="C2837" s="36"/>
      <c r="D2837"/>
      <c r="E2837"/>
      <c r="F2837"/>
      <c r="G2837"/>
      <c r="H2837"/>
      <c r="I2837"/>
      <c r="J2837"/>
      <c r="K2837"/>
      <c r="L2837"/>
      <c r="M2837"/>
      <c r="N2837"/>
      <c r="O2837"/>
      <c r="P2837" s="36"/>
      <c r="Q2837" s="37"/>
      <c r="R2837"/>
      <c r="S2837"/>
      <c r="T2837"/>
      <c r="U2837"/>
      <c r="V2837" s="39"/>
      <c r="W2837"/>
      <c r="X2837"/>
      <c r="Y2837"/>
      <c r="Z2837"/>
      <c r="AA2837"/>
    </row>
    <row r="2838" spans="1:27" x14ac:dyDescent="0.25">
      <c r="A2838"/>
      <c r="B2838" s="36"/>
      <c r="C2838" s="36"/>
      <c r="D2838"/>
      <c r="E2838"/>
      <c r="F2838"/>
      <c r="G2838"/>
      <c r="H2838"/>
      <c r="I2838"/>
      <c r="J2838"/>
      <c r="K2838"/>
      <c r="L2838"/>
      <c r="M2838"/>
      <c r="N2838"/>
      <c r="O2838"/>
      <c r="P2838" s="36"/>
      <c r="Q2838" s="37"/>
      <c r="R2838"/>
      <c r="S2838"/>
      <c r="T2838"/>
      <c r="U2838"/>
      <c r="V2838" s="39"/>
      <c r="W2838"/>
      <c r="X2838"/>
      <c r="Y2838"/>
      <c r="Z2838"/>
      <c r="AA2838"/>
    </row>
    <row r="2839" spans="1:27" x14ac:dyDescent="0.25">
      <c r="A2839"/>
      <c r="B2839" s="36"/>
      <c r="C2839" s="36"/>
      <c r="D2839"/>
      <c r="E2839"/>
      <c r="F2839"/>
      <c r="G2839"/>
      <c r="H2839"/>
      <c r="I2839"/>
      <c r="J2839"/>
      <c r="K2839"/>
      <c r="L2839"/>
      <c r="M2839"/>
      <c r="N2839"/>
      <c r="O2839"/>
      <c r="P2839" s="36"/>
      <c r="Q2839" s="37"/>
      <c r="R2839"/>
      <c r="S2839"/>
      <c r="T2839"/>
      <c r="U2839"/>
      <c r="V2839" s="39"/>
      <c r="W2839"/>
      <c r="X2839"/>
      <c r="Y2839"/>
      <c r="Z2839"/>
      <c r="AA2839"/>
    </row>
    <row r="2840" spans="1:27" x14ac:dyDescent="0.25">
      <c r="A2840"/>
      <c r="B2840" s="36"/>
      <c r="C2840" s="36"/>
      <c r="D2840"/>
      <c r="E2840"/>
      <c r="F2840"/>
      <c r="G2840"/>
      <c r="H2840"/>
      <c r="I2840"/>
      <c r="J2840"/>
      <c r="K2840"/>
      <c r="L2840"/>
      <c r="M2840"/>
      <c r="N2840"/>
      <c r="O2840"/>
      <c r="P2840" s="36"/>
      <c r="Q2840" s="37"/>
      <c r="R2840"/>
      <c r="S2840"/>
      <c r="T2840"/>
      <c r="U2840"/>
      <c r="V2840" s="39"/>
      <c r="W2840"/>
      <c r="X2840"/>
      <c r="Y2840"/>
      <c r="Z2840"/>
      <c r="AA2840"/>
    </row>
    <row r="2841" spans="1:27" x14ac:dyDescent="0.25">
      <c r="A2841"/>
      <c r="B2841" s="36"/>
      <c r="C2841" s="36"/>
      <c r="D2841"/>
      <c r="E2841"/>
      <c r="F2841"/>
      <c r="G2841"/>
      <c r="H2841"/>
      <c r="I2841"/>
      <c r="J2841"/>
      <c r="K2841"/>
      <c r="L2841"/>
      <c r="M2841"/>
      <c r="N2841"/>
      <c r="O2841"/>
      <c r="P2841" s="36"/>
      <c r="Q2841" s="37"/>
      <c r="R2841" s="44"/>
      <c r="S2841"/>
      <c r="T2841"/>
      <c r="U2841"/>
      <c r="V2841" s="39"/>
      <c r="W2841"/>
      <c r="X2841"/>
      <c r="Y2841"/>
      <c r="Z2841"/>
      <c r="AA2841"/>
    </row>
    <row r="2842" spans="1:27" x14ac:dyDescent="0.25">
      <c r="A2842"/>
      <c r="B2842" s="36"/>
      <c r="C2842" s="36"/>
      <c r="D2842"/>
      <c r="E2842"/>
      <c r="F2842"/>
      <c r="G2842"/>
      <c r="H2842"/>
      <c r="I2842"/>
      <c r="J2842"/>
      <c r="K2842"/>
      <c r="L2842"/>
      <c r="M2842"/>
      <c r="N2842"/>
      <c r="O2842"/>
      <c r="P2842" s="36"/>
      <c r="Q2842" s="37"/>
      <c r="R2842"/>
      <c r="S2842"/>
      <c r="T2842"/>
      <c r="U2842"/>
      <c r="V2842" s="39"/>
      <c r="W2842"/>
      <c r="X2842"/>
      <c r="Y2842"/>
      <c r="Z2842"/>
      <c r="AA2842"/>
    </row>
    <row r="2843" spans="1:27" x14ac:dyDescent="0.25">
      <c r="A2843"/>
      <c r="B2843" s="36"/>
      <c r="C2843" s="36"/>
      <c r="D2843"/>
      <c r="E2843"/>
      <c r="F2843"/>
      <c r="G2843"/>
      <c r="H2843"/>
      <c r="I2843"/>
      <c r="J2843"/>
      <c r="K2843"/>
      <c r="L2843"/>
      <c r="M2843"/>
      <c r="N2843"/>
      <c r="O2843"/>
      <c r="P2843" s="36"/>
      <c r="Q2843" s="37"/>
      <c r="R2843"/>
      <c r="S2843"/>
      <c r="T2843"/>
      <c r="U2843"/>
      <c r="V2843" s="39"/>
      <c r="W2843"/>
      <c r="X2843"/>
      <c r="Y2843"/>
      <c r="Z2843"/>
      <c r="AA2843"/>
    </row>
    <row r="2844" spans="1:27" x14ac:dyDescent="0.25">
      <c r="A2844"/>
      <c r="B2844" s="36"/>
      <c r="C2844" s="36"/>
      <c r="D2844"/>
      <c r="E2844"/>
      <c r="F2844"/>
      <c r="G2844"/>
      <c r="H2844"/>
      <c r="I2844"/>
      <c r="J2844"/>
      <c r="K2844"/>
      <c r="L2844"/>
      <c r="M2844"/>
      <c r="N2844"/>
      <c r="O2844"/>
      <c r="P2844" s="36"/>
      <c r="Q2844" s="37"/>
      <c r="R2844"/>
      <c r="S2844"/>
      <c r="T2844"/>
      <c r="U2844"/>
      <c r="V2844" s="39"/>
      <c r="W2844"/>
      <c r="X2844"/>
      <c r="Y2844"/>
      <c r="Z2844"/>
      <c r="AA2844"/>
    </row>
    <row r="2845" spans="1:27" x14ac:dyDescent="0.25">
      <c r="A2845"/>
      <c r="B2845" s="36"/>
      <c r="C2845" s="36"/>
      <c r="D2845"/>
      <c r="E2845"/>
      <c r="F2845"/>
      <c r="G2845"/>
      <c r="H2845"/>
      <c r="I2845"/>
      <c r="J2845"/>
      <c r="K2845"/>
      <c r="L2845"/>
      <c r="M2845"/>
      <c r="N2845"/>
      <c r="O2845"/>
      <c r="P2845" s="36"/>
      <c r="Q2845" s="37"/>
      <c r="R2845"/>
      <c r="S2845"/>
      <c r="T2845"/>
      <c r="U2845"/>
      <c r="V2845" s="39"/>
      <c r="W2845"/>
      <c r="X2845"/>
      <c r="Y2845"/>
      <c r="Z2845"/>
      <c r="AA2845"/>
    </row>
    <row r="2846" spans="1:27" x14ac:dyDescent="0.25">
      <c r="A2846"/>
      <c r="B2846" s="36"/>
      <c r="C2846" s="36"/>
      <c r="D2846"/>
      <c r="E2846"/>
      <c r="F2846"/>
      <c r="G2846"/>
      <c r="H2846"/>
      <c r="I2846"/>
      <c r="J2846"/>
      <c r="K2846"/>
      <c r="L2846"/>
      <c r="M2846"/>
      <c r="N2846"/>
      <c r="O2846"/>
      <c r="P2846" s="36"/>
      <c r="Q2846" s="37"/>
      <c r="R2846"/>
      <c r="S2846"/>
      <c r="T2846"/>
      <c r="U2846"/>
      <c r="V2846" s="39"/>
      <c r="W2846"/>
      <c r="X2846"/>
      <c r="Y2846"/>
      <c r="Z2846"/>
      <c r="AA2846"/>
    </row>
    <row r="2847" spans="1:27" x14ac:dyDescent="0.25">
      <c r="A2847"/>
      <c r="B2847" s="36"/>
      <c r="C2847" s="36"/>
      <c r="D2847"/>
      <c r="E2847"/>
      <c r="F2847"/>
      <c r="G2847"/>
      <c r="H2847"/>
      <c r="I2847"/>
      <c r="J2847"/>
      <c r="K2847"/>
      <c r="L2847"/>
      <c r="M2847"/>
      <c r="N2847"/>
      <c r="O2847"/>
      <c r="P2847" s="36"/>
      <c r="Q2847" s="37"/>
      <c r="R2847"/>
      <c r="S2847"/>
      <c r="T2847"/>
      <c r="U2847"/>
      <c r="V2847" s="39"/>
      <c r="W2847"/>
      <c r="X2847"/>
      <c r="Y2847"/>
      <c r="Z2847"/>
      <c r="AA2847"/>
    </row>
    <row r="2848" spans="1:27" x14ac:dyDescent="0.25">
      <c r="A2848"/>
      <c r="B2848" s="36"/>
      <c r="C2848" s="36"/>
      <c r="D2848"/>
      <c r="E2848"/>
      <c r="F2848"/>
      <c r="G2848"/>
      <c r="H2848"/>
      <c r="I2848"/>
      <c r="J2848"/>
      <c r="K2848"/>
      <c r="L2848"/>
      <c r="M2848"/>
      <c r="N2848"/>
      <c r="O2848"/>
      <c r="P2848" s="36"/>
      <c r="Q2848" s="37"/>
      <c r="R2848"/>
      <c r="S2848"/>
      <c r="T2848"/>
      <c r="U2848"/>
      <c r="V2848" s="39"/>
      <c r="W2848"/>
      <c r="X2848"/>
      <c r="Y2848"/>
      <c r="Z2848"/>
      <c r="AA2848"/>
    </row>
    <row r="2849" spans="1:27" x14ac:dyDescent="0.25">
      <c r="A2849"/>
      <c r="B2849" s="36"/>
      <c r="C2849" s="36"/>
      <c r="D2849"/>
      <c r="E2849"/>
      <c r="F2849"/>
      <c r="G2849"/>
      <c r="H2849"/>
      <c r="I2849"/>
      <c r="J2849"/>
      <c r="K2849"/>
      <c r="L2849"/>
      <c r="M2849"/>
      <c r="N2849"/>
      <c r="O2849"/>
      <c r="P2849" s="36"/>
      <c r="Q2849" s="37"/>
      <c r="R2849"/>
      <c r="S2849"/>
      <c r="T2849"/>
      <c r="U2849"/>
      <c r="V2849" s="39"/>
      <c r="W2849"/>
      <c r="X2849"/>
      <c r="Y2849"/>
      <c r="Z2849"/>
      <c r="AA2849"/>
    </row>
    <row r="2850" spans="1:27" x14ac:dyDescent="0.25">
      <c r="A2850"/>
      <c r="B2850" s="36"/>
      <c r="C2850" s="36"/>
      <c r="D2850"/>
      <c r="E2850"/>
      <c r="F2850"/>
      <c r="G2850"/>
      <c r="H2850"/>
      <c r="I2850"/>
      <c r="J2850"/>
      <c r="K2850"/>
      <c r="L2850"/>
      <c r="M2850"/>
      <c r="N2850"/>
      <c r="O2850"/>
      <c r="P2850" s="36"/>
      <c r="Q2850" s="37"/>
      <c r="R2850"/>
      <c r="S2850"/>
      <c r="T2850"/>
      <c r="U2850"/>
      <c r="V2850" s="39"/>
      <c r="W2850"/>
      <c r="X2850"/>
      <c r="Y2850"/>
      <c r="Z2850"/>
      <c r="AA2850"/>
    </row>
    <row r="2851" spans="1:27" x14ac:dyDescent="0.25">
      <c r="A2851"/>
      <c r="B2851" s="36"/>
      <c r="C2851" s="36"/>
      <c r="D2851"/>
      <c r="E2851"/>
      <c r="F2851"/>
      <c r="G2851"/>
      <c r="H2851"/>
      <c r="I2851"/>
      <c r="J2851"/>
      <c r="K2851"/>
      <c r="L2851"/>
      <c r="M2851"/>
      <c r="N2851"/>
      <c r="O2851"/>
      <c r="P2851" s="36"/>
      <c r="Q2851" s="37"/>
      <c r="R2851"/>
      <c r="S2851"/>
      <c r="T2851"/>
      <c r="U2851"/>
      <c r="V2851" s="39"/>
      <c r="W2851"/>
      <c r="X2851"/>
      <c r="Y2851"/>
      <c r="Z2851"/>
      <c r="AA2851"/>
    </row>
    <row r="2852" spans="1:27" x14ac:dyDescent="0.25">
      <c r="A2852"/>
      <c r="B2852" s="36"/>
      <c r="C2852" s="36"/>
      <c r="D2852"/>
      <c r="E2852"/>
      <c r="F2852"/>
      <c r="G2852"/>
      <c r="H2852"/>
      <c r="I2852"/>
      <c r="J2852"/>
      <c r="K2852"/>
      <c r="L2852"/>
      <c r="M2852"/>
      <c r="N2852"/>
      <c r="O2852"/>
      <c r="P2852" s="36"/>
      <c r="Q2852" s="37"/>
      <c r="R2852"/>
      <c r="S2852"/>
      <c r="T2852"/>
      <c r="U2852"/>
      <c r="V2852" s="39"/>
      <c r="W2852"/>
      <c r="X2852"/>
      <c r="Y2852"/>
      <c r="Z2852"/>
      <c r="AA2852"/>
    </row>
    <row r="2853" spans="1:27" x14ac:dyDescent="0.25">
      <c r="A2853"/>
      <c r="B2853" s="36"/>
      <c r="C2853" s="36"/>
      <c r="D2853"/>
      <c r="E2853"/>
      <c r="F2853"/>
      <c r="G2853"/>
      <c r="H2853"/>
      <c r="I2853"/>
      <c r="J2853"/>
      <c r="K2853"/>
      <c r="L2853"/>
      <c r="M2853"/>
      <c r="N2853"/>
      <c r="O2853"/>
      <c r="P2853" s="36"/>
      <c r="Q2853" s="37"/>
      <c r="R2853"/>
      <c r="S2853"/>
      <c r="T2853"/>
      <c r="U2853"/>
      <c r="V2853" s="39"/>
      <c r="W2853"/>
      <c r="X2853"/>
      <c r="Y2853"/>
      <c r="Z2853"/>
      <c r="AA2853"/>
    </row>
    <row r="2854" spans="1:27" x14ac:dyDescent="0.25">
      <c r="A2854"/>
      <c r="B2854" s="36"/>
      <c r="C2854" s="36"/>
      <c r="D2854"/>
      <c r="E2854"/>
      <c r="F2854"/>
      <c r="G2854"/>
      <c r="H2854"/>
      <c r="I2854"/>
      <c r="J2854"/>
      <c r="K2854"/>
      <c r="L2854"/>
      <c r="M2854"/>
      <c r="N2854"/>
      <c r="O2854"/>
      <c r="P2854" s="36"/>
      <c r="Q2854" s="37"/>
      <c r="R2854"/>
      <c r="S2854"/>
      <c r="T2854"/>
      <c r="U2854"/>
      <c r="V2854" s="39"/>
      <c r="W2854"/>
      <c r="X2854"/>
      <c r="Y2854"/>
      <c r="Z2854"/>
      <c r="AA2854"/>
    </row>
    <row r="2855" spans="1:27" x14ac:dyDescent="0.25">
      <c r="A2855"/>
      <c r="B2855" s="36"/>
      <c r="C2855" s="36"/>
      <c r="D2855"/>
      <c r="E2855"/>
      <c r="F2855"/>
      <c r="G2855"/>
      <c r="H2855"/>
      <c r="I2855"/>
      <c r="J2855"/>
      <c r="K2855"/>
      <c r="L2855"/>
      <c r="M2855"/>
      <c r="N2855"/>
      <c r="O2855"/>
      <c r="P2855" s="36"/>
      <c r="Q2855" s="37"/>
      <c r="R2855"/>
      <c r="S2855"/>
      <c r="T2855"/>
      <c r="U2855"/>
      <c r="V2855" s="39"/>
      <c r="W2855"/>
      <c r="X2855"/>
      <c r="Y2855"/>
      <c r="Z2855"/>
      <c r="AA2855"/>
    </row>
    <row r="2856" spans="1:27" x14ac:dyDescent="0.25">
      <c r="A2856"/>
      <c r="B2856" s="36"/>
      <c r="C2856" s="36"/>
      <c r="D2856"/>
      <c r="E2856"/>
      <c r="F2856"/>
      <c r="G2856"/>
      <c r="H2856"/>
      <c r="I2856"/>
      <c r="J2856"/>
      <c r="K2856"/>
      <c r="L2856"/>
      <c r="M2856"/>
      <c r="N2856"/>
      <c r="O2856"/>
      <c r="P2856" s="36"/>
      <c r="Q2856" s="37"/>
      <c r="R2856"/>
      <c r="S2856"/>
      <c r="T2856"/>
      <c r="U2856"/>
      <c r="V2856" s="39"/>
      <c r="W2856"/>
      <c r="X2856"/>
      <c r="Y2856"/>
      <c r="Z2856"/>
      <c r="AA2856"/>
    </row>
    <row r="2857" spans="1:27" x14ac:dyDescent="0.25">
      <c r="A2857"/>
      <c r="B2857" s="36"/>
      <c r="C2857" s="36"/>
      <c r="D2857"/>
      <c r="E2857"/>
      <c r="F2857"/>
      <c r="G2857"/>
      <c r="H2857"/>
      <c r="I2857"/>
      <c r="J2857"/>
      <c r="K2857"/>
      <c r="L2857"/>
      <c r="M2857"/>
      <c r="N2857"/>
      <c r="O2857"/>
      <c r="P2857" s="36"/>
      <c r="Q2857" s="37"/>
      <c r="R2857"/>
      <c r="S2857"/>
      <c r="T2857"/>
      <c r="U2857"/>
      <c r="V2857" s="39"/>
      <c r="W2857"/>
      <c r="X2857"/>
      <c r="Y2857"/>
      <c r="Z2857"/>
      <c r="AA2857"/>
    </row>
    <row r="2858" spans="1:27" x14ac:dyDescent="0.25">
      <c r="A2858"/>
      <c r="B2858" s="36"/>
      <c r="C2858" s="36"/>
      <c r="D2858"/>
      <c r="E2858"/>
      <c r="F2858"/>
      <c r="G2858"/>
      <c r="H2858"/>
      <c r="I2858"/>
      <c r="J2858"/>
      <c r="K2858"/>
      <c r="L2858"/>
      <c r="M2858"/>
      <c r="N2858"/>
      <c r="O2858"/>
      <c r="P2858" s="36"/>
      <c r="Q2858" s="37"/>
      <c r="R2858"/>
      <c r="S2858"/>
      <c r="T2858"/>
      <c r="U2858"/>
      <c r="V2858" s="39"/>
      <c r="W2858"/>
      <c r="X2858"/>
      <c r="Y2858"/>
      <c r="Z2858"/>
      <c r="AA2858"/>
    </row>
    <row r="2859" spans="1:27" x14ac:dyDescent="0.25">
      <c r="A2859"/>
      <c r="B2859" s="36"/>
      <c r="C2859" s="36"/>
      <c r="D2859"/>
      <c r="E2859"/>
      <c r="F2859"/>
      <c r="G2859"/>
      <c r="H2859"/>
      <c r="I2859"/>
      <c r="J2859"/>
      <c r="K2859"/>
      <c r="L2859"/>
      <c r="M2859"/>
      <c r="N2859"/>
      <c r="O2859"/>
      <c r="P2859" s="36"/>
      <c r="Q2859" s="37"/>
      <c r="R2859"/>
      <c r="S2859"/>
      <c r="T2859"/>
      <c r="U2859"/>
      <c r="V2859" s="39"/>
      <c r="W2859"/>
      <c r="X2859"/>
      <c r="Y2859"/>
      <c r="Z2859"/>
      <c r="AA2859"/>
    </row>
    <row r="2860" spans="1:27" x14ac:dyDescent="0.25">
      <c r="A2860"/>
      <c r="B2860" s="36"/>
      <c r="C2860" s="36"/>
      <c r="D2860"/>
      <c r="E2860"/>
      <c r="F2860"/>
      <c r="G2860"/>
      <c r="H2860"/>
      <c r="I2860"/>
      <c r="J2860"/>
      <c r="K2860"/>
      <c r="L2860"/>
      <c r="M2860"/>
      <c r="N2860"/>
      <c r="O2860"/>
      <c r="P2860" s="36"/>
      <c r="Q2860" s="37"/>
      <c r="R2860"/>
      <c r="S2860"/>
      <c r="T2860"/>
      <c r="U2860"/>
      <c r="V2860" s="39"/>
      <c r="W2860"/>
      <c r="X2860"/>
      <c r="Y2860"/>
      <c r="Z2860"/>
      <c r="AA2860"/>
    </row>
    <row r="2861" spans="1:27" x14ac:dyDescent="0.25">
      <c r="A2861"/>
      <c r="B2861" s="36"/>
      <c r="C2861" s="36"/>
      <c r="D2861"/>
      <c r="E2861"/>
      <c r="F2861"/>
      <c r="G2861"/>
      <c r="H2861"/>
      <c r="I2861"/>
      <c r="J2861"/>
      <c r="K2861"/>
      <c r="L2861"/>
      <c r="M2861"/>
      <c r="N2861"/>
      <c r="O2861"/>
      <c r="P2861" s="36"/>
      <c r="Q2861" s="37"/>
      <c r="R2861"/>
      <c r="S2861"/>
      <c r="T2861"/>
      <c r="U2861"/>
      <c r="V2861" s="39"/>
      <c r="W2861"/>
      <c r="X2861"/>
      <c r="Y2861"/>
      <c r="Z2861"/>
      <c r="AA2861"/>
    </row>
    <row r="2862" spans="1:27" x14ac:dyDescent="0.25">
      <c r="A2862"/>
      <c r="B2862" s="36"/>
      <c r="C2862" s="36"/>
      <c r="D2862"/>
      <c r="E2862"/>
      <c r="F2862"/>
      <c r="G2862"/>
      <c r="H2862"/>
      <c r="I2862"/>
      <c r="J2862"/>
      <c r="K2862"/>
      <c r="L2862"/>
      <c r="M2862"/>
      <c r="N2862"/>
      <c r="O2862"/>
      <c r="P2862" s="36"/>
      <c r="Q2862" s="37"/>
      <c r="R2862"/>
      <c r="S2862"/>
      <c r="T2862"/>
      <c r="U2862"/>
      <c r="V2862" s="39"/>
      <c r="W2862"/>
      <c r="X2862"/>
      <c r="Y2862"/>
      <c r="Z2862"/>
      <c r="AA2862"/>
    </row>
    <row r="2863" spans="1:27" x14ac:dyDescent="0.25">
      <c r="A2863"/>
      <c r="B2863" s="36"/>
      <c r="C2863" s="36"/>
      <c r="D2863"/>
      <c r="E2863"/>
      <c r="F2863"/>
      <c r="G2863"/>
      <c r="H2863"/>
      <c r="I2863"/>
      <c r="J2863"/>
      <c r="K2863"/>
      <c r="L2863"/>
      <c r="M2863"/>
      <c r="N2863"/>
      <c r="O2863"/>
      <c r="P2863" s="36"/>
      <c r="Q2863" s="37"/>
      <c r="R2863"/>
      <c r="S2863"/>
      <c r="T2863"/>
      <c r="U2863"/>
      <c r="V2863" s="39"/>
      <c r="W2863"/>
      <c r="X2863"/>
      <c r="Y2863"/>
      <c r="Z2863"/>
      <c r="AA2863"/>
    </row>
    <row r="2864" spans="1:27" x14ac:dyDescent="0.25">
      <c r="A2864"/>
      <c r="B2864" s="36"/>
      <c r="C2864" s="36"/>
      <c r="D2864"/>
      <c r="E2864"/>
      <c r="F2864"/>
      <c r="G2864"/>
      <c r="H2864"/>
      <c r="I2864"/>
      <c r="J2864"/>
      <c r="K2864"/>
      <c r="L2864"/>
      <c r="M2864"/>
      <c r="N2864"/>
      <c r="O2864"/>
      <c r="P2864" s="36"/>
      <c r="Q2864" s="37"/>
      <c r="R2864"/>
      <c r="S2864"/>
      <c r="T2864"/>
      <c r="U2864"/>
      <c r="V2864" s="39"/>
      <c r="W2864"/>
      <c r="X2864"/>
      <c r="Y2864"/>
      <c r="Z2864"/>
      <c r="AA2864"/>
    </row>
    <row r="2865" spans="1:27" x14ac:dyDescent="0.25">
      <c r="A2865"/>
      <c r="B2865" s="36"/>
      <c r="C2865" s="36"/>
      <c r="D2865"/>
      <c r="E2865"/>
      <c r="F2865"/>
      <c r="G2865"/>
      <c r="H2865"/>
      <c r="I2865"/>
      <c r="J2865"/>
      <c r="K2865"/>
      <c r="L2865"/>
      <c r="M2865"/>
      <c r="N2865"/>
      <c r="O2865"/>
      <c r="P2865" s="36"/>
      <c r="Q2865" s="37"/>
      <c r="R2865"/>
      <c r="S2865"/>
      <c r="T2865"/>
      <c r="U2865"/>
      <c r="V2865" s="39"/>
      <c r="W2865"/>
      <c r="X2865"/>
      <c r="Y2865"/>
      <c r="Z2865"/>
      <c r="AA2865"/>
    </row>
    <row r="2866" spans="1:27" x14ac:dyDescent="0.25">
      <c r="A2866"/>
      <c r="B2866" s="36"/>
      <c r="C2866" s="36"/>
      <c r="D2866"/>
      <c r="E2866"/>
      <c r="F2866"/>
      <c r="G2866"/>
      <c r="H2866"/>
      <c r="I2866"/>
      <c r="J2866"/>
      <c r="K2866"/>
      <c r="L2866"/>
      <c r="M2866"/>
      <c r="N2866"/>
      <c r="O2866"/>
      <c r="P2866" s="36"/>
      <c r="Q2866" s="37"/>
      <c r="R2866"/>
      <c r="S2866"/>
      <c r="T2866"/>
      <c r="U2866"/>
      <c r="V2866" s="39"/>
      <c r="W2866"/>
      <c r="X2866"/>
      <c r="Y2866"/>
      <c r="Z2866"/>
      <c r="AA2866"/>
    </row>
    <row r="2867" spans="1:27" x14ac:dyDescent="0.25">
      <c r="A2867"/>
      <c r="B2867" s="36"/>
      <c r="C2867" s="36"/>
      <c r="D2867"/>
      <c r="E2867"/>
      <c r="F2867"/>
      <c r="G2867"/>
      <c r="H2867"/>
      <c r="I2867"/>
      <c r="J2867"/>
      <c r="K2867"/>
      <c r="L2867"/>
      <c r="M2867"/>
      <c r="N2867"/>
      <c r="O2867"/>
      <c r="P2867" s="36"/>
      <c r="Q2867" s="37"/>
      <c r="R2867"/>
      <c r="S2867"/>
      <c r="T2867"/>
      <c r="U2867"/>
      <c r="V2867" s="39"/>
      <c r="W2867"/>
      <c r="X2867"/>
      <c r="Y2867"/>
      <c r="Z2867"/>
      <c r="AA2867"/>
    </row>
    <row r="2868" spans="1:27" x14ac:dyDescent="0.25">
      <c r="A2868"/>
      <c r="B2868" s="36"/>
      <c r="C2868" s="36"/>
      <c r="D2868"/>
      <c r="E2868"/>
      <c r="F2868"/>
      <c r="G2868"/>
      <c r="H2868"/>
      <c r="I2868"/>
      <c r="J2868"/>
      <c r="K2868"/>
      <c r="L2868"/>
      <c r="M2868"/>
      <c r="N2868"/>
      <c r="O2868"/>
      <c r="P2868" s="36"/>
      <c r="Q2868" s="37"/>
      <c r="R2868"/>
      <c r="S2868"/>
      <c r="T2868"/>
      <c r="U2868"/>
      <c r="V2868" s="39"/>
      <c r="W2868"/>
      <c r="X2868"/>
      <c r="Y2868"/>
      <c r="Z2868"/>
      <c r="AA2868"/>
    </row>
    <row r="2869" spans="1:27" x14ac:dyDescent="0.25">
      <c r="A2869"/>
      <c r="B2869" s="36"/>
      <c r="C2869" s="36"/>
      <c r="D2869"/>
      <c r="E2869"/>
      <c r="F2869"/>
      <c r="G2869"/>
      <c r="H2869"/>
      <c r="I2869"/>
      <c r="J2869"/>
      <c r="K2869"/>
      <c r="L2869"/>
      <c r="M2869"/>
      <c r="N2869"/>
      <c r="O2869"/>
      <c r="P2869" s="36"/>
      <c r="Q2869" s="37"/>
      <c r="R2869"/>
      <c r="S2869"/>
      <c r="T2869"/>
      <c r="U2869"/>
      <c r="V2869" s="39"/>
      <c r="W2869"/>
      <c r="X2869"/>
      <c r="Y2869"/>
      <c r="Z2869"/>
      <c r="AA2869"/>
    </row>
    <row r="2870" spans="1:27" x14ac:dyDescent="0.25">
      <c r="A2870"/>
      <c r="B2870" s="36"/>
      <c r="C2870" s="36"/>
      <c r="D2870"/>
      <c r="E2870"/>
      <c r="F2870"/>
      <c r="G2870"/>
      <c r="H2870"/>
      <c r="I2870"/>
      <c r="J2870"/>
      <c r="K2870"/>
      <c r="L2870"/>
      <c r="M2870"/>
      <c r="N2870"/>
      <c r="O2870"/>
      <c r="P2870" s="36"/>
      <c r="Q2870" s="37"/>
      <c r="R2870"/>
      <c r="S2870"/>
      <c r="T2870"/>
      <c r="U2870"/>
      <c r="V2870" s="39"/>
      <c r="W2870"/>
      <c r="X2870"/>
      <c r="Y2870"/>
      <c r="Z2870"/>
      <c r="AA2870"/>
    </row>
    <row r="2871" spans="1:27" x14ac:dyDescent="0.25">
      <c r="A2871"/>
      <c r="B2871" s="36"/>
      <c r="C2871" s="36"/>
      <c r="D2871"/>
      <c r="E2871"/>
      <c r="F2871"/>
      <c r="G2871"/>
      <c r="H2871"/>
      <c r="I2871"/>
      <c r="J2871"/>
      <c r="K2871"/>
      <c r="L2871"/>
      <c r="M2871"/>
      <c r="N2871"/>
      <c r="O2871"/>
      <c r="P2871" s="36"/>
      <c r="Q2871" s="37"/>
      <c r="R2871"/>
      <c r="S2871"/>
      <c r="T2871"/>
      <c r="U2871"/>
      <c r="V2871" s="39"/>
      <c r="W2871"/>
      <c r="X2871"/>
      <c r="Y2871"/>
      <c r="Z2871"/>
      <c r="AA2871"/>
    </row>
    <row r="2872" spans="1:27" x14ac:dyDescent="0.25">
      <c r="A2872"/>
      <c r="B2872" s="36"/>
      <c r="C2872" s="36"/>
      <c r="D2872"/>
      <c r="E2872"/>
      <c r="F2872"/>
      <c r="G2872"/>
      <c r="H2872"/>
      <c r="I2872"/>
      <c r="J2872"/>
      <c r="K2872"/>
      <c r="L2872"/>
      <c r="M2872"/>
      <c r="N2872"/>
      <c r="O2872"/>
      <c r="P2872" s="36"/>
      <c r="Q2872" s="37"/>
      <c r="R2872"/>
      <c r="S2872"/>
      <c r="T2872"/>
      <c r="U2872"/>
      <c r="V2872" s="39"/>
      <c r="W2872"/>
      <c r="X2872"/>
      <c r="Y2872"/>
      <c r="Z2872"/>
      <c r="AA2872"/>
    </row>
    <row r="2873" spans="1:27" x14ac:dyDescent="0.25">
      <c r="A2873"/>
      <c r="B2873" s="36"/>
      <c r="C2873" s="36"/>
      <c r="D2873"/>
      <c r="E2873"/>
      <c r="F2873"/>
      <c r="G2873"/>
      <c r="H2873"/>
      <c r="I2873"/>
      <c r="J2873"/>
      <c r="K2873"/>
      <c r="L2873"/>
      <c r="M2873"/>
      <c r="N2873"/>
      <c r="O2873"/>
      <c r="P2873" s="36"/>
      <c r="Q2873" s="37"/>
      <c r="R2873"/>
      <c r="S2873"/>
      <c r="T2873"/>
      <c r="U2873"/>
      <c r="V2873" s="39"/>
      <c r="W2873"/>
      <c r="X2873"/>
      <c r="Y2873"/>
      <c r="Z2873"/>
      <c r="AA2873"/>
    </row>
    <row r="2874" spans="1:27" x14ac:dyDescent="0.25">
      <c r="A2874"/>
      <c r="B2874" s="36"/>
      <c r="C2874" s="36"/>
      <c r="D2874"/>
      <c r="E2874"/>
      <c r="F2874"/>
      <c r="G2874"/>
      <c r="H2874"/>
      <c r="I2874"/>
      <c r="J2874"/>
      <c r="K2874"/>
      <c r="L2874"/>
      <c r="M2874"/>
      <c r="N2874"/>
      <c r="O2874"/>
      <c r="P2874" s="36"/>
      <c r="Q2874" s="37"/>
      <c r="R2874"/>
      <c r="S2874"/>
      <c r="T2874"/>
      <c r="U2874"/>
      <c r="V2874" s="39"/>
      <c r="W2874"/>
      <c r="X2874"/>
      <c r="Y2874"/>
      <c r="Z2874"/>
      <c r="AA2874"/>
    </row>
    <row r="2875" spans="1:27" x14ac:dyDescent="0.25">
      <c r="A2875"/>
      <c r="B2875" s="36"/>
      <c r="C2875" s="36"/>
      <c r="D2875"/>
      <c r="E2875"/>
      <c r="F2875"/>
      <c r="G2875"/>
      <c r="H2875"/>
      <c r="I2875"/>
      <c r="J2875"/>
      <c r="K2875"/>
      <c r="L2875"/>
      <c r="M2875"/>
      <c r="N2875"/>
      <c r="O2875"/>
      <c r="P2875" s="36"/>
      <c r="Q2875" s="37"/>
      <c r="R2875"/>
      <c r="S2875"/>
      <c r="T2875"/>
      <c r="U2875"/>
      <c r="V2875" s="39"/>
      <c r="W2875"/>
      <c r="X2875"/>
      <c r="Y2875"/>
      <c r="Z2875"/>
      <c r="AA2875"/>
    </row>
    <row r="2876" spans="1:27" x14ac:dyDescent="0.25">
      <c r="A2876"/>
      <c r="B2876" s="36"/>
      <c r="C2876" s="36"/>
      <c r="D2876"/>
      <c r="E2876"/>
      <c r="F2876"/>
      <c r="G2876"/>
      <c r="H2876"/>
      <c r="I2876"/>
      <c r="J2876"/>
      <c r="K2876"/>
      <c r="L2876"/>
      <c r="M2876"/>
      <c r="N2876"/>
      <c r="O2876"/>
      <c r="P2876" s="36"/>
      <c r="Q2876" s="37"/>
      <c r="R2876"/>
      <c r="S2876"/>
      <c r="T2876"/>
      <c r="U2876"/>
      <c r="V2876" s="39"/>
      <c r="W2876"/>
      <c r="X2876"/>
      <c r="Y2876"/>
      <c r="Z2876"/>
      <c r="AA2876"/>
    </row>
    <row r="2877" spans="1:27" x14ac:dyDescent="0.25">
      <c r="A2877"/>
      <c r="B2877" s="36"/>
      <c r="C2877" s="36"/>
      <c r="D2877"/>
      <c r="E2877"/>
      <c r="F2877"/>
      <c r="G2877"/>
      <c r="H2877"/>
      <c r="I2877"/>
      <c r="J2877"/>
      <c r="K2877"/>
      <c r="L2877"/>
      <c r="M2877"/>
      <c r="N2877"/>
      <c r="O2877"/>
      <c r="P2877" s="36"/>
      <c r="Q2877" s="37"/>
      <c r="R2877"/>
      <c r="S2877"/>
      <c r="T2877"/>
      <c r="U2877"/>
      <c r="V2877" s="39"/>
      <c r="W2877"/>
      <c r="X2877"/>
      <c r="Y2877"/>
      <c r="Z2877"/>
      <c r="AA2877"/>
    </row>
    <row r="2878" spans="1:27" x14ac:dyDescent="0.25">
      <c r="A2878"/>
      <c r="B2878" s="36"/>
      <c r="C2878" s="36"/>
      <c r="D2878"/>
      <c r="E2878"/>
      <c r="F2878"/>
      <c r="G2878"/>
      <c r="H2878"/>
      <c r="I2878"/>
      <c r="J2878"/>
      <c r="K2878"/>
      <c r="L2878"/>
      <c r="M2878"/>
      <c r="N2878"/>
      <c r="O2878"/>
      <c r="P2878" s="36"/>
      <c r="Q2878" s="37"/>
      <c r="R2878"/>
      <c r="S2878"/>
      <c r="T2878"/>
      <c r="U2878"/>
      <c r="V2878" s="39"/>
      <c r="W2878"/>
      <c r="X2878"/>
      <c r="Y2878"/>
      <c r="Z2878"/>
      <c r="AA2878"/>
    </row>
    <row r="2879" spans="1:27" x14ac:dyDescent="0.25">
      <c r="A2879"/>
      <c r="B2879" s="36"/>
      <c r="C2879" s="36"/>
      <c r="D2879"/>
      <c r="E2879"/>
      <c r="F2879"/>
      <c r="G2879"/>
      <c r="H2879"/>
      <c r="I2879"/>
      <c r="J2879"/>
      <c r="K2879"/>
      <c r="L2879"/>
      <c r="M2879"/>
      <c r="N2879"/>
      <c r="O2879"/>
      <c r="P2879" s="36"/>
      <c r="Q2879" s="37"/>
      <c r="R2879"/>
      <c r="S2879"/>
      <c r="T2879"/>
      <c r="U2879"/>
      <c r="V2879" s="39"/>
      <c r="W2879"/>
      <c r="X2879"/>
      <c r="Y2879"/>
      <c r="Z2879"/>
      <c r="AA2879"/>
    </row>
    <row r="2880" spans="1:27" x14ac:dyDescent="0.25">
      <c r="A2880"/>
      <c r="B2880" s="36"/>
      <c r="C2880" s="36"/>
      <c r="D2880"/>
      <c r="E2880"/>
      <c r="F2880"/>
      <c r="G2880"/>
      <c r="H2880"/>
      <c r="I2880"/>
      <c r="J2880"/>
      <c r="K2880"/>
      <c r="L2880"/>
      <c r="M2880"/>
      <c r="N2880"/>
      <c r="O2880"/>
      <c r="P2880" s="36"/>
      <c r="Q2880" s="37"/>
      <c r="R2880"/>
      <c r="S2880"/>
      <c r="T2880"/>
      <c r="U2880"/>
      <c r="V2880" s="39"/>
      <c r="W2880"/>
      <c r="X2880"/>
      <c r="Y2880"/>
      <c r="Z2880"/>
      <c r="AA2880"/>
    </row>
    <row r="2881" spans="1:27" x14ac:dyDescent="0.25">
      <c r="A2881"/>
      <c r="B2881" s="36"/>
      <c r="C2881" s="36"/>
      <c r="D2881"/>
      <c r="E2881"/>
      <c r="F2881"/>
      <c r="G2881"/>
      <c r="H2881"/>
      <c r="I2881"/>
      <c r="J2881"/>
      <c r="K2881"/>
      <c r="L2881"/>
      <c r="M2881"/>
      <c r="N2881"/>
      <c r="O2881"/>
      <c r="P2881" s="36"/>
      <c r="Q2881" s="37"/>
      <c r="R2881"/>
      <c r="S2881"/>
      <c r="T2881"/>
      <c r="U2881"/>
      <c r="V2881" s="39"/>
      <c r="W2881"/>
      <c r="X2881"/>
      <c r="Y2881"/>
      <c r="Z2881"/>
      <c r="AA2881"/>
    </row>
    <row r="2882" spans="1:27" x14ac:dyDescent="0.25">
      <c r="A2882"/>
      <c r="B2882" s="36"/>
      <c r="C2882" s="36"/>
      <c r="D2882"/>
      <c r="E2882"/>
      <c r="F2882"/>
      <c r="G2882"/>
      <c r="H2882"/>
      <c r="I2882"/>
      <c r="J2882"/>
      <c r="K2882"/>
      <c r="L2882"/>
      <c r="M2882"/>
      <c r="N2882"/>
      <c r="O2882"/>
      <c r="P2882" s="36"/>
      <c r="Q2882" s="37"/>
      <c r="R2882"/>
      <c r="S2882"/>
      <c r="T2882"/>
      <c r="U2882"/>
      <c r="V2882" s="39"/>
      <c r="W2882"/>
      <c r="X2882"/>
      <c r="Y2882"/>
      <c r="Z2882"/>
      <c r="AA2882"/>
    </row>
    <row r="2883" spans="1:27" x14ac:dyDescent="0.25">
      <c r="A2883"/>
      <c r="B2883" s="36"/>
      <c r="C2883" s="36"/>
      <c r="D2883"/>
      <c r="E2883"/>
      <c r="F2883"/>
      <c r="G2883"/>
      <c r="H2883"/>
      <c r="I2883"/>
      <c r="J2883"/>
      <c r="K2883"/>
      <c r="L2883"/>
      <c r="M2883"/>
      <c r="N2883"/>
      <c r="O2883"/>
      <c r="P2883" s="36"/>
      <c r="Q2883" s="37"/>
      <c r="R2883"/>
      <c r="S2883"/>
      <c r="T2883"/>
      <c r="U2883"/>
      <c r="V2883" s="39"/>
      <c r="W2883"/>
      <c r="X2883"/>
      <c r="Y2883"/>
      <c r="Z2883"/>
      <c r="AA2883"/>
    </row>
    <row r="2884" spans="1:27" x14ac:dyDescent="0.25">
      <c r="A2884"/>
      <c r="B2884" s="36"/>
      <c r="C2884" s="36"/>
      <c r="D2884"/>
      <c r="E2884"/>
      <c r="F2884"/>
      <c r="G2884"/>
      <c r="H2884"/>
      <c r="I2884"/>
      <c r="J2884"/>
      <c r="K2884"/>
      <c r="L2884"/>
      <c r="M2884"/>
      <c r="N2884"/>
      <c r="O2884"/>
      <c r="P2884" s="36"/>
      <c r="Q2884" s="37"/>
      <c r="R2884"/>
      <c r="S2884"/>
      <c r="T2884"/>
      <c r="U2884"/>
      <c r="V2884" s="39"/>
      <c r="W2884"/>
      <c r="X2884"/>
      <c r="Y2884"/>
      <c r="Z2884"/>
      <c r="AA2884"/>
    </row>
    <row r="2885" spans="1:27" x14ac:dyDescent="0.25">
      <c r="A2885"/>
      <c r="B2885" s="36"/>
      <c r="C2885" s="36"/>
      <c r="D2885"/>
      <c r="E2885"/>
      <c r="F2885"/>
      <c r="G2885"/>
      <c r="H2885"/>
      <c r="I2885"/>
      <c r="J2885"/>
      <c r="K2885"/>
      <c r="L2885"/>
      <c r="M2885"/>
      <c r="N2885"/>
      <c r="O2885"/>
      <c r="P2885" s="36"/>
      <c r="Q2885" s="37"/>
      <c r="R2885"/>
      <c r="S2885"/>
      <c r="T2885"/>
      <c r="U2885"/>
      <c r="V2885" s="39"/>
      <c r="W2885"/>
      <c r="X2885"/>
      <c r="Y2885"/>
      <c r="Z2885"/>
      <c r="AA2885"/>
    </row>
    <row r="2886" spans="1:27" x14ac:dyDescent="0.25">
      <c r="A2886"/>
      <c r="B2886" s="36"/>
      <c r="C2886" s="36"/>
      <c r="D2886"/>
      <c r="E2886"/>
      <c r="F2886"/>
      <c r="G2886"/>
      <c r="H2886"/>
      <c r="I2886"/>
      <c r="J2886"/>
      <c r="K2886"/>
      <c r="L2886"/>
      <c r="M2886"/>
      <c r="N2886"/>
      <c r="O2886"/>
      <c r="P2886" s="36"/>
      <c r="Q2886" s="37"/>
      <c r="R2886"/>
      <c r="S2886"/>
      <c r="T2886"/>
      <c r="U2886"/>
      <c r="V2886" s="39"/>
      <c r="W2886"/>
      <c r="X2886"/>
      <c r="Y2886"/>
      <c r="Z2886"/>
      <c r="AA2886"/>
    </row>
    <row r="2887" spans="1:27" x14ac:dyDescent="0.25">
      <c r="A2887"/>
      <c r="B2887" s="36"/>
      <c r="C2887" s="36"/>
      <c r="D2887"/>
      <c r="E2887"/>
      <c r="F2887"/>
      <c r="G2887"/>
      <c r="H2887"/>
      <c r="I2887"/>
      <c r="J2887"/>
      <c r="K2887"/>
      <c r="L2887"/>
      <c r="M2887"/>
      <c r="N2887"/>
      <c r="O2887"/>
      <c r="P2887" s="36"/>
      <c r="Q2887" s="37"/>
      <c r="R2887"/>
      <c r="S2887"/>
      <c r="T2887"/>
      <c r="U2887"/>
      <c r="V2887" s="39"/>
      <c r="W2887"/>
      <c r="X2887"/>
      <c r="Y2887"/>
      <c r="Z2887"/>
      <c r="AA2887"/>
    </row>
    <row r="2888" spans="1:27" x14ac:dyDescent="0.25">
      <c r="A2888"/>
      <c r="B2888" s="36"/>
      <c r="C2888" s="36"/>
      <c r="D2888"/>
      <c r="E2888"/>
      <c r="F2888"/>
      <c r="G2888"/>
      <c r="H2888"/>
      <c r="I2888"/>
      <c r="J2888"/>
      <c r="K2888"/>
      <c r="L2888"/>
      <c r="M2888"/>
      <c r="N2888"/>
      <c r="O2888"/>
      <c r="P2888" s="36"/>
      <c r="Q2888" s="37"/>
      <c r="R2888"/>
      <c r="S2888"/>
      <c r="T2888"/>
      <c r="U2888"/>
      <c r="V2888" s="39"/>
      <c r="W2888"/>
      <c r="X2888"/>
      <c r="Y2888"/>
      <c r="Z2888"/>
      <c r="AA2888"/>
    </row>
    <row r="2889" spans="1:27" x14ac:dyDescent="0.25">
      <c r="A2889"/>
      <c r="B2889" s="36"/>
      <c r="C2889" s="36"/>
      <c r="D2889"/>
      <c r="E2889"/>
      <c r="F2889"/>
      <c r="G2889"/>
      <c r="H2889"/>
      <c r="I2889"/>
      <c r="J2889"/>
      <c r="K2889"/>
      <c r="L2889"/>
      <c r="M2889"/>
      <c r="N2889"/>
      <c r="O2889"/>
      <c r="P2889" s="36"/>
      <c r="Q2889" s="37"/>
      <c r="R2889"/>
      <c r="S2889"/>
      <c r="T2889"/>
      <c r="U2889"/>
      <c r="V2889" s="39"/>
      <c r="W2889"/>
      <c r="X2889"/>
      <c r="Y2889"/>
      <c r="Z2889"/>
      <c r="AA2889"/>
    </row>
    <row r="2890" spans="1:27" x14ac:dyDescent="0.25">
      <c r="A2890"/>
      <c r="B2890" s="36"/>
      <c r="C2890" s="36"/>
      <c r="D2890"/>
      <c r="E2890"/>
      <c r="F2890"/>
      <c r="G2890"/>
      <c r="H2890"/>
      <c r="I2890"/>
      <c r="J2890"/>
      <c r="K2890"/>
      <c r="L2890"/>
      <c r="M2890"/>
      <c r="N2890"/>
      <c r="O2890"/>
      <c r="P2890" s="36"/>
      <c r="Q2890" s="37"/>
      <c r="R2890"/>
      <c r="S2890"/>
      <c r="T2890"/>
      <c r="U2890"/>
      <c r="V2890" s="39"/>
      <c r="W2890"/>
      <c r="X2890"/>
      <c r="Y2890"/>
      <c r="Z2890"/>
      <c r="AA2890"/>
    </row>
    <row r="2891" spans="1:27" x14ac:dyDescent="0.25">
      <c r="A2891"/>
      <c r="B2891" s="36"/>
      <c r="C2891" s="36"/>
      <c r="D2891"/>
      <c r="E2891"/>
      <c r="F2891"/>
      <c r="G2891"/>
      <c r="H2891"/>
      <c r="I2891"/>
      <c r="J2891"/>
      <c r="K2891"/>
      <c r="L2891"/>
      <c r="M2891"/>
      <c r="N2891"/>
      <c r="O2891"/>
      <c r="P2891" s="36"/>
      <c r="Q2891" s="37"/>
      <c r="R2891"/>
      <c r="S2891"/>
      <c r="T2891"/>
      <c r="U2891"/>
      <c r="V2891" s="39"/>
      <c r="W2891"/>
      <c r="X2891"/>
      <c r="Y2891"/>
      <c r="Z2891"/>
      <c r="AA2891"/>
    </row>
    <row r="2892" spans="1:27" x14ac:dyDescent="0.25">
      <c r="A2892"/>
      <c r="B2892" s="36"/>
      <c r="C2892" s="36"/>
      <c r="D2892"/>
      <c r="E2892"/>
      <c r="F2892"/>
      <c r="G2892"/>
      <c r="H2892"/>
      <c r="I2892"/>
      <c r="J2892"/>
      <c r="K2892"/>
      <c r="L2892"/>
      <c r="M2892"/>
      <c r="N2892"/>
      <c r="O2892"/>
      <c r="P2892" s="36"/>
      <c r="Q2892" s="37"/>
      <c r="R2892"/>
      <c r="S2892"/>
      <c r="T2892"/>
      <c r="U2892"/>
      <c r="V2892" s="39"/>
      <c r="W2892"/>
      <c r="X2892"/>
      <c r="Y2892"/>
      <c r="Z2892"/>
      <c r="AA2892"/>
    </row>
    <row r="2893" spans="1:27" x14ac:dyDescent="0.25">
      <c r="A2893"/>
      <c r="B2893" s="36"/>
      <c r="C2893" s="36"/>
      <c r="D2893"/>
      <c r="E2893"/>
      <c r="F2893"/>
      <c r="G2893"/>
      <c r="H2893"/>
      <c r="I2893"/>
      <c r="J2893"/>
      <c r="K2893"/>
      <c r="L2893"/>
      <c r="M2893"/>
      <c r="N2893"/>
      <c r="O2893"/>
      <c r="P2893" s="36"/>
      <c r="Q2893" s="37"/>
      <c r="R2893"/>
      <c r="S2893"/>
      <c r="T2893"/>
      <c r="U2893"/>
      <c r="V2893" s="39"/>
      <c r="W2893"/>
      <c r="X2893"/>
      <c r="Y2893"/>
      <c r="Z2893"/>
      <c r="AA2893"/>
    </row>
    <row r="2894" spans="1:27" x14ac:dyDescent="0.25">
      <c r="A2894"/>
      <c r="B2894" s="36"/>
      <c r="C2894" s="36"/>
      <c r="D2894"/>
      <c r="E2894"/>
      <c r="F2894"/>
      <c r="G2894"/>
      <c r="H2894"/>
      <c r="I2894"/>
      <c r="J2894"/>
      <c r="K2894"/>
      <c r="L2894"/>
      <c r="M2894"/>
      <c r="N2894"/>
      <c r="O2894"/>
      <c r="P2894" s="36"/>
      <c r="Q2894" s="37"/>
      <c r="R2894"/>
      <c r="S2894"/>
      <c r="T2894"/>
      <c r="U2894"/>
      <c r="V2894" s="39"/>
      <c r="W2894"/>
      <c r="X2894"/>
      <c r="Y2894"/>
      <c r="Z2894"/>
      <c r="AA2894"/>
    </row>
    <row r="2895" spans="1:27" x14ac:dyDescent="0.25">
      <c r="A2895"/>
      <c r="B2895" s="36"/>
      <c r="C2895" s="36"/>
      <c r="D2895"/>
      <c r="E2895"/>
      <c r="F2895"/>
      <c r="G2895"/>
      <c r="H2895"/>
      <c r="I2895"/>
      <c r="J2895"/>
      <c r="K2895"/>
      <c r="L2895"/>
      <c r="M2895"/>
      <c r="N2895"/>
      <c r="O2895"/>
      <c r="P2895" s="36"/>
      <c r="Q2895" s="37"/>
      <c r="R2895"/>
      <c r="S2895"/>
      <c r="T2895"/>
      <c r="U2895"/>
      <c r="V2895" s="39"/>
      <c r="W2895"/>
      <c r="X2895"/>
      <c r="Y2895"/>
      <c r="Z2895"/>
      <c r="AA2895"/>
    </row>
    <row r="2896" spans="1:27" x14ac:dyDescent="0.25">
      <c r="A2896"/>
      <c r="B2896" s="36"/>
      <c r="C2896" s="36"/>
      <c r="D2896"/>
      <c r="E2896"/>
      <c r="F2896"/>
      <c r="G2896"/>
      <c r="H2896"/>
      <c r="I2896"/>
      <c r="J2896"/>
      <c r="K2896"/>
      <c r="L2896"/>
      <c r="M2896"/>
      <c r="N2896"/>
      <c r="O2896"/>
      <c r="P2896" s="36"/>
      <c r="Q2896" s="37"/>
      <c r="R2896"/>
      <c r="S2896"/>
      <c r="T2896"/>
      <c r="U2896"/>
      <c r="V2896" s="39"/>
      <c r="W2896"/>
      <c r="X2896"/>
      <c r="Y2896"/>
      <c r="Z2896"/>
      <c r="AA2896"/>
    </row>
    <row r="2897" spans="1:27" x14ac:dyDescent="0.25">
      <c r="A2897"/>
      <c r="B2897" s="36"/>
      <c r="C2897" s="36"/>
      <c r="D2897"/>
      <c r="E2897"/>
      <c r="F2897"/>
      <c r="G2897"/>
      <c r="H2897"/>
      <c r="I2897"/>
      <c r="J2897"/>
      <c r="K2897"/>
      <c r="L2897"/>
      <c r="M2897"/>
      <c r="N2897"/>
      <c r="O2897"/>
      <c r="P2897" s="36"/>
      <c r="Q2897" s="37"/>
      <c r="R2897"/>
      <c r="S2897"/>
      <c r="T2897"/>
      <c r="U2897"/>
      <c r="V2897" s="39"/>
      <c r="W2897"/>
      <c r="X2897"/>
      <c r="Y2897"/>
      <c r="Z2897"/>
      <c r="AA2897"/>
    </row>
    <row r="2898" spans="1:27" x14ac:dyDescent="0.25">
      <c r="A2898"/>
      <c r="B2898" s="36"/>
      <c r="C2898" s="36"/>
      <c r="D2898"/>
      <c r="E2898"/>
      <c r="F2898"/>
      <c r="G2898"/>
      <c r="H2898"/>
      <c r="I2898"/>
      <c r="J2898"/>
      <c r="K2898"/>
      <c r="L2898"/>
      <c r="M2898"/>
      <c r="N2898"/>
      <c r="O2898"/>
      <c r="P2898" s="36"/>
      <c r="Q2898" s="37"/>
      <c r="R2898"/>
      <c r="S2898"/>
      <c r="T2898"/>
      <c r="U2898"/>
      <c r="V2898" s="39"/>
      <c r="W2898"/>
      <c r="X2898"/>
      <c r="Y2898"/>
      <c r="Z2898"/>
      <c r="AA2898"/>
    </row>
    <row r="2899" spans="1:27" x14ac:dyDescent="0.25">
      <c r="A2899"/>
      <c r="B2899" s="36"/>
      <c r="C2899" s="36"/>
      <c r="D2899"/>
      <c r="E2899"/>
      <c r="F2899"/>
      <c r="G2899"/>
      <c r="H2899"/>
      <c r="I2899"/>
      <c r="J2899"/>
      <c r="K2899"/>
      <c r="L2899"/>
      <c r="M2899"/>
      <c r="N2899"/>
      <c r="O2899"/>
      <c r="P2899" s="36"/>
      <c r="Q2899" s="37"/>
      <c r="R2899"/>
      <c r="S2899"/>
      <c r="T2899"/>
      <c r="U2899"/>
      <c r="V2899" s="39"/>
      <c r="W2899"/>
      <c r="X2899"/>
      <c r="Y2899"/>
      <c r="Z2899"/>
      <c r="AA2899"/>
    </row>
    <row r="2900" spans="1:27" x14ac:dyDescent="0.25">
      <c r="A2900"/>
      <c r="B2900" s="36"/>
      <c r="C2900" s="36"/>
      <c r="D2900"/>
      <c r="E2900"/>
      <c r="F2900"/>
      <c r="G2900"/>
      <c r="H2900"/>
      <c r="I2900"/>
      <c r="J2900"/>
      <c r="K2900"/>
      <c r="L2900"/>
      <c r="M2900"/>
      <c r="N2900"/>
      <c r="O2900"/>
      <c r="P2900" s="36"/>
      <c r="Q2900" s="37"/>
      <c r="R2900"/>
      <c r="S2900"/>
      <c r="T2900"/>
      <c r="U2900"/>
      <c r="V2900" s="39"/>
      <c r="W2900"/>
      <c r="X2900"/>
      <c r="Y2900"/>
      <c r="Z2900"/>
      <c r="AA2900"/>
    </row>
    <row r="2901" spans="1:27" x14ac:dyDescent="0.25">
      <c r="A2901"/>
      <c r="B2901" s="36"/>
      <c r="C2901" s="36"/>
      <c r="D2901"/>
      <c r="E2901"/>
      <c r="F2901"/>
      <c r="G2901"/>
      <c r="H2901"/>
      <c r="I2901"/>
      <c r="J2901"/>
      <c r="K2901"/>
      <c r="L2901"/>
      <c r="M2901"/>
      <c r="N2901"/>
      <c r="O2901"/>
      <c r="P2901" s="36"/>
      <c r="Q2901" s="37"/>
      <c r="R2901"/>
      <c r="S2901"/>
      <c r="T2901"/>
      <c r="U2901"/>
      <c r="V2901" s="39"/>
      <c r="W2901"/>
      <c r="X2901"/>
      <c r="Y2901"/>
      <c r="Z2901"/>
      <c r="AA2901"/>
    </row>
    <row r="2902" spans="1:27" x14ac:dyDescent="0.25">
      <c r="A2902"/>
      <c r="B2902" s="36"/>
      <c r="C2902" s="36"/>
      <c r="D2902"/>
      <c r="E2902"/>
      <c r="F2902"/>
      <c r="G2902"/>
      <c r="H2902"/>
      <c r="I2902"/>
      <c r="J2902"/>
      <c r="K2902"/>
      <c r="L2902"/>
      <c r="M2902"/>
      <c r="N2902"/>
      <c r="O2902"/>
      <c r="P2902" s="36"/>
      <c r="Q2902" s="37"/>
      <c r="R2902"/>
      <c r="S2902"/>
      <c r="T2902"/>
      <c r="U2902"/>
      <c r="V2902" s="39"/>
      <c r="W2902"/>
      <c r="X2902"/>
      <c r="Y2902"/>
      <c r="Z2902"/>
      <c r="AA2902"/>
    </row>
    <row r="2903" spans="1:27" x14ac:dyDescent="0.25">
      <c r="A2903"/>
      <c r="B2903" s="36"/>
      <c r="C2903" s="36"/>
      <c r="D2903"/>
      <c r="E2903"/>
      <c r="F2903"/>
      <c r="G2903"/>
      <c r="H2903"/>
      <c r="I2903"/>
      <c r="J2903"/>
      <c r="K2903"/>
      <c r="L2903"/>
      <c r="M2903"/>
      <c r="N2903"/>
      <c r="O2903"/>
      <c r="P2903" s="36"/>
      <c r="Q2903" s="37"/>
      <c r="R2903"/>
      <c r="S2903"/>
      <c r="T2903"/>
      <c r="U2903"/>
      <c r="V2903" s="39"/>
      <c r="W2903"/>
      <c r="X2903"/>
      <c r="Y2903"/>
      <c r="Z2903"/>
      <c r="AA2903"/>
    </row>
    <row r="2904" spans="1:27" x14ac:dyDescent="0.25">
      <c r="A2904"/>
      <c r="B2904" s="36"/>
      <c r="C2904" s="36"/>
      <c r="D2904"/>
      <c r="E2904"/>
      <c r="F2904"/>
      <c r="G2904"/>
      <c r="H2904"/>
      <c r="I2904"/>
      <c r="J2904"/>
      <c r="K2904"/>
      <c r="L2904"/>
      <c r="M2904"/>
      <c r="N2904"/>
      <c r="O2904"/>
      <c r="P2904" s="36"/>
      <c r="Q2904" s="37"/>
      <c r="R2904"/>
      <c r="S2904"/>
      <c r="T2904"/>
      <c r="U2904"/>
      <c r="V2904" s="39"/>
      <c r="W2904"/>
      <c r="X2904"/>
      <c r="Y2904"/>
      <c r="Z2904"/>
      <c r="AA2904"/>
    </row>
    <row r="2905" spans="1:27" x14ac:dyDescent="0.25">
      <c r="A2905"/>
      <c r="B2905" s="36"/>
      <c r="C2905" s="36"/>
      <c r="D2905"/>
      <c r="E2905"/>
      <c r="F2905"/>
      <c r="G2905"/>
      <c r="H2905"/>
      <c r="I2905"/>
      <c r="J2905"/>
      <c r="K2905"/>
      <c r="L2905"/>
      <c r="M2905"/>
      <c r="N2905"/>
      <c r="O2905"/>
      <c r="P2905" s="36"/>
      <c r="Q2905" s="37"/>
      <c r="R2905"/>
      <c r="S2905"/>
      <c r="T2905"/>
      <c r="U2905"/>
      <c r="V2905" s="39"/>
      <c r="W2905"/>
      <c r="X2905"/>
      <c r="Y2905"/>
      <c r="Z2905"/>
      <c r="AA2905"/>
    </row>
    <row r="2906" spans="1:27" x14ac:dyDescent="0.25">
      <c r="A2906"/>
      <c r="B2906" s="36"/>
      <c r="C2906" s="36"/>
      <c r="D2906"/>
      <c r="E2906"/>
      <c r="F2906"/>
      <c r="G2906"/>
      <c r="H2906"/>
      <c r="I2906"/>
      <c r="J2906"/>
      <c r="K2906"/>
      <c r="L2906"/>
      <c r="M2906"/>
      <c r="N2906"/>
      <c r="O2906"/>
      <c r="P2906" s="36"/>
      <c r="Q2906" s="37"/>
      <c r="R2906"/>
      <c r="S2906"/>
      <c r="T2906"/>
      <c r="U2906"/>
      <c r="V2906" s="39"/>
      <c r="W2906"/>
      <c r="X2906"/>
      <c r="Y2906"/>
      <c r="Z2906"/>
      <c r="AA2906"/>
    </row>
    <row r="2907" spans="1:27" x14ac:dyDescent="0.25">
      <c r="A2907"/>
      <c r="B2907" s="36"/>
      <c r="C2907" s="36"/>
      <c r="D2907"/>
      <c r="E2907"/>
      <c r="F2907"/>
      <c r="G2907"/>
      <c r="H2907"/>
      <c r="I2907"/>
      <c r="J2907"/>
      <c r="K2907"/>
      <c r="L2907"/>
      <c r="M2907"/>
      <c r="N2907"/>
      <c r="O2907"/>
      <c r="P2907" s="36"/>
      <c r="Q2907" s="37"/>
      <c r="R2907"/>
      <c r="S2907"/>
      <c r="T2907"/>
      <c r="U2907"/>
      <c r="V2907" s="39"/>
      <c r="W2907"/>
      <c r="X2907"/>
      <c r="Y2907"/>
      <c r="Z2907"/>
      <c r="AA2907"/>
    </row>
    <row r="2908" spans="1:27" x14ac:dyDescent="0.25">
      <c r="A2908"/>
      <c r="B2908" s="36"/>
      <c r="C2908" s="36"/>
      <c r="D2908"/>
      <c r="E2908"/>
      <c r="F2908"/>
      <c r="G2908"/>
      <c r="H2908"/>
      <c r="I2908"/>
      <c r="J2908"/>
      <c r="K2908"/>
      <c r="L2908"/>
      <c r="M2908"/>
      <c r="N2908"/>
      <c r="O2908"/>
      <c r="P2908" s="36"/>
      <c r="Q2908" s="37"/>
      <c r="R2908"/>
      <c r="S2908"/>
      <c r="T2908"/>
      <c r="U2908"/>
      <c r="V2908" s="39"/>
      <c r="W2908"/>
      <c r="X2908"/>
      <c r="Y2908"/>
      <c r="Z2908"/>
      <c r="AA2908"/>
    </row>
    <row r="2909" spans="1:27" x14ac:dyDescent="0.25">
      <c r="A2909"/>
      <c r="B2909" s="36"/>
      <c r="C2909" s="36"/>
      <c r="D2909"/>
      <c r="E2909"/>
      <c r="F2909"/>
      <c r="G2909"/>
      <c r="H2909"/>
      <c r="I2909"/>
      <c r="J2909"/>
      <c r="K2909"/>
      <c r="L2909"/>
      <c r="M2909"/>
      <c r="N2909"/>
      <c r="O2909"/>
      <c r="P2909" s="36"/>
      <c r="Q2909" s="37"/>
      <c r="R2909"/>
      <c r="S2909"/>
      <c r="T2909"/>
      <c r="U2909"/>
      <c r="V2909" s="39"/>
      <c r="W2909"/>
      <c r="X2909"/>
      <c r="Y2909"/>
      <c r="Z2909"/>
      <c r="AA2909"/>
    </row>
    <row r="2910" spans="1:27" x14ac:dyDescent="0.25">
      <c r="A2910"/>
      <c r="B2910" s="36"/>
      <c r="C2910" s="36"/>
      <c r="D2910"/>
      <c r="E2910"/>
      <c r="F2910"/>
      <c r="G2910"/>
      <c r="H2910"/>
      <c r="I2910"/>
      <c r="J2910"/>
      <c r="K2910"/>
      <c r="L2910"/>
      <c r="M2910"/>
      <c r="N2910"/>
      <c r="O2910"/>
      <c r="P2910" s="36"/>
      <c r="Q2910" s="37"/>
      <c r="R2910"/>
      <c r="S2910"/>
      <c r="T2910"/>
      <c r="U2910"/>
      <c r="V2910" s="39"/>
      <c r="W2910"/>
      <c r="X2910"/>
      <c r="Y2910"/>
      <c r="Z2910"/>
      <c r="AA2910"/>
    </row>
    <row r="2911" spans="1:27" x14ac:dyDescent="0.25">
      <c r="A2911"/>
      <c r="B2911" s="36"/>
      <c r="C2911" s="36"/>
      <c r="D2911"/>
      <c r="E2911"/>
      <c r="F2911"/>
      <c r="G2911"/>
      <c r="H2911"/>
      <c r="I2911"/>
      <c r="J2911"/>
      <c r="K2911"/>
      <c r="L2911"/>
      <c r="M2911"/>
      <c r="N2911"/>
      <c r="O2911"/>
      <c r="P2911" s="36"/>
      <c r="Q2911" s="37"/>
      <c r="R2911"/>
      <c r="S2911"/>
      <c r="T2911"/>
      <c r="U2911"/>
      <c r="V2911" s="39"/>
      <c r="W2911"/>
      <c r="X2911"/>
      <c r="Y2911"/>
      <c r="Z2911"/>
      <c r="AA2911"/>
    </row>
    <row r="2912" spans="1:27" x14ac:dyDescent="0.25">
      <c r="A2912"/>
      <c r="B2912" s="36"/>
      <c r="C2912" s="36"/>
      <c r="D2912"/>
      <c r="E2912"/>
      <c r="F2912"/>
      <c r="G2912"/>
      <c r="H2912"/>
      <c r="I2912"/>
      <c r="J2912"/>
      <c r="K2912"/>
      <c r="L2912"/>
      <c r="M2912"/>
      <c r="N2912"/>
      <c r="O2912"/>
      <c r="P2912" s="36"/>
      <c r="Q2912" s="37"/>
      <c r="R2912"/>
      <c r="S2912"/>
      <c r="T2912"/>
      <c r="U2912"/>
      <c r="V2912" s="39"/>
      <c r="W2912"/>
      <c r="X2912"/>
      <c r="Y2912"/>
      <c r="Z2912"/>
      <c r="AA2912"/>
    </row>
  </sheetData>
  <autoFilter ref="A1:AE1" xr:uid="{00000000-0001-0000-0000-000000000000}"/>
  <phoneticPr fontId="9" type="noConversion"/>
  <pageMargins left="0.75" right="0.75" top="1" bottom="1" header="0.5" footer="0.5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BB848C-3FB3-420C-AADD-74D82041F4F2}">
  <dimension ref="A1:F674"/>
  <sheetViews>
    <sheetView workbookViewId="0">
      <selection activeCell="B8" sqref="B8"/>
    </sheetView>
  </sheetViews>
  <sheetFormatPr defaultRowHeight="14.25" x14ac:dyDescent="0.2"/>
  <cols>
    <col min="1" max="1" width="43.5" bestFit="1" customWidth="1"/>
    <col min="2" max="2" width="11" bestFit="1" customWidth="1"/>
    <col min="3" max="3" width="6.75" bestFit="1" customWidth="1"/>
    <col min="4" max="4" width="12" bestFit="1" customWidth="1"/>
    <col min="5" max="5" width="8" bestFit="1" customWidth="1"/>
    <col min="6" max="6" width="24.5" bestFit="1" customWidth="1"/>
  </cols>
  <sheetData>
    <row r="1" spans="1:6" ht="15" x14ac:dyDescent="0.25">
      <c r="A1" s="3"/>
      <c r="B1" s="3"/>
      <c r="C1" s="3"/>
      <c r="D1" s="3"/>
      <c r="E1" s="3"/>
      <c r="F1" s="4"/>
    </row>
    <row r="2" spans="1:6" ht="15" x14ac:dyDescent="0.25">
      <c r="A2" s="31" t="s">
        <v>214</v>
      </c>
      <c r="B2" s="31" t="s">
        <v>215</v>
      </c>
      <c r="C2" s="31" t="s">
        <v>27</v>
      </c>
      <c r="D2" s="31" t="s">
        <v>216</v>
      </c>
      <c r="E2" s="31" t="s">
        <v>217</v>
      </c>
      <c r="F2" s="32" t="s">
        <v>218</v>
      </c>
    </row>
    <row r="3" spans="1:6" ht="15" x14ac:dyDescent="0.25">
      <c r="A3" s="5" t="s">
        <v>219</v>
      </c>
      <c r="B3" s="6" t="s">
        <v>220</v>
      </c>
      <c r="C3" s="6" t="s">
        <v>61</v>
      </c>
      <c r="D3" s="6" t="s">
        <v>197</v>
      </c>
      <c r="E3" s="7">
        <v>184.5</v>
      </c>
      <c r="F3" s="8">
        <v>45658</v>
      </c>
    </row>
    <row r="4" spans="1:6" ht="15" x14ac:dyDescent="0.25">
      <c r="A4" s="9" t="s">
        <v>219</v>
      </c>
      <c r="B4" s="10" t="s">
        <v>220</v>
      </c>
      <c r="C4" s="10" t="s">
        <v>61</v>
      </c>
      <c r="D4" s="10" t="s">
        <v>174</v>
      </c>
      <c r="E4" s="11">
        <v>357.38</v>
      </c>
      <c r="F4" s="12">
        <v>45658</v>
      </c>
    </row>
    <row r="5" spans="1:6" ht="15" x14ac:dyDescent="0.25">
      <c r="A5" s="9" t="s">
        <v>219</v>
      </c>
      <c r="B5" s="10" t="s">
        <v>220</v>
      </c>
      <c r="C5" s="10" t="s">
        <v>61</v>
      </c>
      <c r="D5" s="10" t="s">
        <v>35</v>
      </c>
      <c r="E5" s="11">
        <v>543.38</v>
      </c>
      <c r="F5" s="12">
        <v>45658</v>
      </c>
    </row>
    <row r="6" spans="1:6" ht="15" x14ac:dyDescent="0.25">
      <c r="A6" s="9" t="s">
        <v>219</v>
      </c>
      <c r="B6" s="10" t="s">
        <v>220</v>
      </c>
      <c r="C6" s="10" t="s">
        <v>61</v>
      </c>
      <c r="D6" s="10" t="s">
        <v>30</v>
      </c>
      <c r="E6" s="11">
        <v>727.88</v>
      </c>
      <c r="F6" s="12">
        <v>45658</v>
      </c>
    </row>
    <row r="7" spans="1:6" ht="15" x14ac:dyDescent="0.25">
      <c r="A7" s="9" t="s">
        <v>219</v>
      </c>
      <c r="B7" s="10" t="s">
        <v>220</v>
      </c>
      <c r="C7" s="10" t="s">
        <v>61</v>
      </c>
      <c r="D7" s="10" t="s">
        <v>221</v>
      </c>
      <c r="E7" s="11">
        <v>147</v>
      </c>
      <c r="F7" s="12">
        <v>45658</v>
      </c>
    </row>
    <row r="8" spans="1:6" ht="15" x14ac:dyDescent="0.25">
      <c r="A8" s="9" t="s">
        <v>219</v>
      </c>
      <c r="B8" s="10" t="s">
        <v>220</v>
      </c>
      <c r="C8" s="10" t="s">
        <v>61</v>
      </c>
      <c r="D8" s="10" t="s">
        <v>43</v>
      </c>
      <c r="E8" s="11">
        <v>112</v>
      </c>
      <c r="F8" s="12">
        <v>45658</v>
      </c>
    </row>
    <row r="9" spans="1:6" ht="15" x14ac:dyDescent="0.25">
      <c r="A9" s="13" t="s">
        <v>222</v>
      </c>
      <c r="B9" s="10" t="s">
        <v>220</v>
      </c>
      <c r="C9" s="10" t="s">
        <v>400</v>
      </c>
      <c r="D9" s="10" t="s">
        <v>35</v>
      </c>
      <c r="E9" s="11">
        <v>493</v>
      </c>
      <c r="F9" s="12">
        <v>45657</v>
      </c>
    </row>
    <row r="10" spans="1:6" ht="15" x14ac:dyDescent="0.25">
      <c r="A10" s="13" t="s">
        <v>222</v>
      </c>
      <c r="B10" s="10" t="s">
        <v>220</v>
      </c>
      <c r="C10" s="10" t="s">
        <v>400</v>
      </c>
      <c r="D10" s="10" t="s">
        <v>30</v>
      </c>
      <c r="E10" s="11">
        <v>660</v>
      </c>
      <c r="F10" s="12">
        <v>45657</v>
      </c>
    </row>
    <row r="11" spans="1:6" ht="15" x14ac:dyDescent="0.25">
      <c r="A11" s="13" t="s">
        <v>222</v>
      </c>
      <c r="B11" s="10" t="s">
        <v>220</v>
      </c>
      <c r="C11" s="10" t="s">
        <v>400</v>
      </c>
      <c r="D11" s="10" t="s">
        <v>221</v>
      </c>
      <c r="E11" s="11">
        <v>128</v>
      </c>
      <c r="F11" s="12">
        <v>45657</v>
      </c>
    </row>
    <row r="12" spans="1:6" ht="15" x14ac:dyDescent="0.25">
      <c r="A12" s="13" t="s">
        <v>222</v>
      </c>
      <c r="B12" s="10" t="s">
        <v>220</v>
      </c>
      <c r="C12" s="10" t="s">
        <v>400</v>
      </c>
      <c r="D12" s="10" t="s">
        <v>43</v>
      </c>
      <c r="E12" s="11">
        <v>98</v>
      </c>
      <c r="F12" s="12">
        <v>45657</v>
      </c>
    </row>
    <row r="13" spans="1:6" ht="15" x14ac:dyDescent="0.25">
      <c r="A13" s="13" t="s">
        <v>223</v>
      </c>
      <c r="B13" s="10" t="s">
        <v>224</v>
      </c>
      <c r="C13" s="14" t="s">
        <v>192</v>
      </c>
      <c r="D13" s="10" t="s">
        <v>174</v>
      </c>
      <c r="E13" s="11">
        <v>324</v>
      </c>
      <c r="F13" s="12">
        <v>45139</v>
      </c>
    </row>
    <row r="14" spans="1:6" ht="15" x14ac:dyDescent="0.25">
      <c r="A14" s="13" t="s">
        <v>223</v>
      </c>
      <c r="B14" s="10" t="s">
        <v>224</v>
      </c>
      <c r="C14" s="14" t="s">
        <v>192</v>
      </c>
      <c r="D14" s="10" t="s">
        <v>221</v>
      </c>
      <c r="E14" s="11">
        <v>128</v>
      </c>
      <c r="F14" s="12">
        <v>45139</v>
      </c>
    </row>
    <row r="15" spans="1:6" ht="15" x14ac:dyDescent="0.25">
      <c r="A15" s="13" t="s">
        <v>223</v>
      </c>
      <c r="B15" s="10" t="s">
        <v>224</v>
      </c>
      <c r="C15" s="14" t="s">
        <v>192</v>
      </c>
      <c r="D15" s="10" t="s">
        <v>43</v>
      </c>
      <c r="E15" s="11">
        <v>98</v>
      </c>
      <c r="F15" s="12">
        <v>45139</v>
      </c>
    </row>
    <row r="16" spans="1:6" ht="15" x14ac:dyDescent="0.25">
      <c r="A16" s="13" t="s">
        <v>225</v>
      </c>
      <c r="B16" s="10" t="s">
        <v>224</v>
      </c>
      <c r="C16" s="14" t="s">
        <v>194</v>
      </c>
      <c r="D16" s="10" t="s">
        <v>174</v>
      </c>
      <c r="E16" s="11">
        <v>324</v>
      </c>
      <c r="F16" s="12">
        <v>45139</v>
      </c>
    </row>
    <row r="17" spans="1:6" ht="15" x14ac:dyDescent="0.25">
      <c r="A17" s="13" t="s">
        <v>225</v>
      </c>
      <c r="B17" s="10" t="s">
        <v>224</v>
      </c>
      <c r="C17" s="14" t="s">
        <v>194</v>
      </c>
      <c r="D17" s="10" t="s">
        <v>221</v>
      </c>
      <c r="E17" s="11">
        <v>128</v>
      </c>
      <c r="F17" s="12">
        <v>45139</v>
      </c>
    </row>
    <row r="18" spans="1:6" ht="15" x14ac:dyDescent="0.25">
      <c r="A18" s="13" t="s">
        <v>225</v>
      </c>
      <c r="B18" s="10" t="s">
        <v>224</v>
      </c>
      <c r="C18" s="14" t="s">
        <v>194</v>
      </c>
      <c r="D18" s="10" t="s">
        <v>43</v>
      </c>
      <c r="E18" s="11">
        <v>98</v>
      </c>
      <c r="F18" s="12">
        <v>45139</v>
      </c>
    </row>
    <row r="19" spans="1:6" ht="15" x14ac:dyDescent="0.25">
      <c r="A19" s="13" t="s">
        <v>226</v>
      </c>
      <c r="B19" s="10" t="s">
        <v>224</v>
      </c>
      <c r="C19" s="10" t="s">
        <v>40</v>
      </c>
      <c r="D19" s="10" t="s">
        <v>35</v>
      </c>
      <c r="E19" s="11">
        <v>586.5</v>
      </c>
      <c r="F19" s="12">
        <v>45748</v>
      </c>
    </row>
    <row r="20" spans="1:6" ht="15" x14ac:dyDescent="0.25">
      <c r="A20" s="13" t="s">
        <v>226</v>
      </c>
      <c r="B20" s="10" t="s">
        <v>224</v>
      </c>
      <c r="C20" s="10" t="s">
        <v>40</v>
      </c>
      <c r="D20" s="10" t="s">
        <v>30</v>
      </c>
      <c r="E20" s="11">
        <v>786</v>
      </c>
      <c r="F20" s="12">
        <v>45748</v>
      </c>
    </row>
    <row r="21" spans="1:6" ht="15" x14ac:dyDescent="0.25">
      <c r="A21" s="13" t="s">
        <v>226</v>
      </c>
      <c r="B21" s="10" t="s">
        <v>224</v>
      </c>
      <c r="C21" s="10" t="s">
        <v>40</v>
      </c>
      <c r="D21" s="10" t="s">
        <v>221</v>
      </c>
      <c r="E21" s="11">
        <v>140</v>
      </c>
      <c r="F21" s="12">
        <v>45748</v>
      </c>
    </row>
    <row r="22" spans="1:6" ht="15" x14ac:dyDescent="0.25">
      <c r="A22" s="13" t="s">
        <v>227</v>
      </c>
      <c r="B22" s="10" t="s">
        <v>224</v>
      </c>
      <c r="C22" s="10" t="s">
        <v>144</v>
      </c>
      <c r="D22" s="10" t="s">
        <v>35</v>
      </c>
      <c r="E22" s="11">
        <v>400.5</v>
      </c>
      <c r="F22" s="12">
        <v>42996</v>
      </c>
    </row>
    <row r="23" spans="1:6" ht="15" x14ac:dyDescent="0.25">
      <c r="A23" s="13" t="s">
        <v>227</v>
      </c>
      <c r="B23" s="10" t="s">
        <v>224</v>
      </c>
      <c r="C23" s="10" t="s">
        <v>144</v>
      </c>
      <c r="D23" s="10" t="s">
        <v>30</v>
      </c>
      <c r="E23" s="11">
        <v>536.25</v>
      </c>
      <c r="F23" s="12">
        <v>42996</v>
      </c>
    </row>
    <row r="24" spans="1:6" ht="15" x14ac:dyDescent="0.25">
      <c r="A24" s="13" t="s">
        <v>227</v>
      </c>
      <c r="B24" s="10" t="s">
        <v>224</v>
      </c>
      <c r="C24" s="10" t="s">
        <v>144</v>
      </c>
      <c r="D24" s="10" t="s">
        <v>221</v>
      </c>
      <c r="E24" s="11">
        <v>95</v>
      </c>
      <c r="F24" s="12">
        <v>42996</v>
      </c>
    </row>
    <row r="25" spans="1:6" ht="15" x14ac:dyDescent="0.25">
      <c r="A25" s="13" t="s">
        <v>228</v>
      </c>
      <c r="B25" s="14" t="s">
        <v>224</v>
      </c>
      <c r="C25" s="14" t="s">
        <v>120</v>
      </c>
      <c r="D25" s="10" t="s">
        <v>197</v>
      </c>
      <c r="E25" s="11">
        <v>141.75</v>
      </c>
      <c r="F25" s="12">
        <v>45566</v>
      </c>
    </row>
    <row r="26" spans="1:6" ht="15" x14ac:dyDescent="0.25">
      <c r="A26" s="13" t="s">
        <v>228</v>
      </c>
      <c r="B26" s="14" t="s">
        <v>224</v>
      </c>
      <c r="C26" s="14" t="s">
        <v>120</v>
      </c>
      <c r="D26" s="10" t="s">
        <v>174</v>
      </c>
      <c r="E26" s="11">
        <v>24.5</v>
      </c>
      <c r="F26" s="12">
        <v>45566</v>
      </c>
    </row>
    <row r="27" spans="1:6" ht="15" x14ac:dyDescent="0.25">
      <c r="A27" s="13" t="s">
        <v>228</v>
      </c>
      <c r="B27" s="14" t="s">
        <v>224</v>
      </c>
      <c r="C27" s="14" t="s">
        <v>120</v>
      </c>
      <c r="D27" s="10" t="s">
        <v>35</v>
      </c>
      <c r="E27" s="11">
        <v>417</v>
      </c>
      <c r="F27" s="12">
        <v>45566</v>
      </c>
    </row>
    <row r="28" spans="1:6" ht="15" x14ac:dyDescent="0.25">
      <c r="A28" s="13" t="s">
        <v>228</v>
      </c>
      <c r="B28" s="14" t="s">
        <v>224</v>
      </c>
      <c r="C28" s="14" t="s">
        <v>120</v>
      </c>
      <c r="D28" s="10" t="s">
        <v>30</v>
      </c>
      <c r="E28" s="11">
        <v>558.75</v>
      </c>
      <c r="F28" s="12">
        <v>45566</v>
      </c>
    </row>
    <row r="29" spans="1:6" ht="15" x14ac:dyDescent="0.25">
      <c r="A29" s="13" t="s">
        <v>228</v>
      </c>
      <c r="B29" s="14" t="s">
        <v>224</v>
      </c>
      <c r="C29" s="14" t="s">
        <v>120</v>
      </c>
      <c r="D29" s="10" t="s">
        <v>221</v>
      </c>
      <c r="E29" s="11">
        <v>109</v>
      </c>
      <c r="F29" s="12">
        <v>45566</v>
      </c>
    </row>
    <row r="30" spans="1:6" ht="15" x14ac:dyDescent="0.25">
      <c r="A30" s="13" t="s">
        <v>228</v>
      </c>
      <c r="B30" s="14" t="s">
        <v>224</v>
      </c>
      <c r="C30" s="14" t="s">
        <v>120</v>
      </c>
      <c r="D30" s="10" t="s">
        <v>43</v>
      </c>
      <c r="E30" s="11">
        <v>83</v>
      </c>
      <c r="F30" s="12">
        <v>45566</v>
      </c>
    </row>
    <row r="31" spans="1:6" ht="15" x14ac:dyDescent="0.25">
      <c r="A31" s="13" t="s">
        <v>229</v>
      </c>
      <c r="B31" s="14" t="s">
        <v>224</v>
      </c>
      <c r="C31" s="14" t="s">
        <v>633</v>
      </c>
      <c r="D31" s="10" t="s">
        <v>174</v>
      </c>
      <c r="E31" s="11">
        <v>357</v>
      </c>
      <c r="F31" s="12">
        <v>45536</v>
      </c>
    </row>
    <row r="32" spans="1:6" ht="15" x14ac:dyDescent="0.25">
      <c r="A32" s="13" t="s">
        <v>229</v>
      </c>
      <c r="B32" s="14" t="s">
        <v>224</v>
      </c>
      <c r="C32" s="14" t="s">
        <v>633</v>
      </c>
      <c r="D32" s="10" t="s">
        <v>35</v>
      </c>
      <c r="E32" s="11">
        <v>542</v>
      </c>
      <c r="F32" s="12">
        <v>45536</v>
      </c>
    </row>
    <row r="33" spans="1:6" ht="15" x14ac:dyDescent="0.25">
      <c r="A33" s="13" t="s">
        <v>229</v>
      </c>
      <c r="B33" s="14" t="s">
        <v>224</v>
      </c>
      <c r="C33" s="14" t="s">
        <v>633</v>
      </c>
      <c r="D33" s="10" t="s">
        <v>221</v>
      </c>
      <c r="E33" s="11">
        <v>140</v>
      </c>
      <c r="F33" s="12">
        <v>45536</v>
      </c>
    </row>
    <row r="34" spans="1:6" ht="15" x14ac:dyDescent="0.25">
      <c r="A34" s="9" t="s">
        <v>230</v>
      </c>
      <c r="B34" s="10" t="s">
        <v>220</v>
      </c>
      <c r="C34" s="10" t="s">
        <v>60</v>
      </c>
      <c r="D34" s="10" t="s">
        <v>197</v>
      </c>
      <c r="E34" s="11">
        <v>184.5</v>
      </c>
      <c r="F34" s="12">
        <v>45658</v>
      </c>
    </row>
    <row r="35" spans="1:6" ht="15" x14ac:dyDescent="0.25">
      <c r="A35" s="9" t="s">
        <v>230</v>
      </c>
      <c r="B35" s="10" t="s">
        <v>220</v>
      </c>
      <c r="C35" s="10" t="s">
        <v>60</v>
      </c>
      <c r="D35" s="10" t="s">
        <v>174</v>
      </c>
      <c r="E35" s="11">
        <v>357.38</v>
      </c>
      <c r="F35" s="12">
        <v>45658</v>
      </c>
    </row>
    <row r="36" spans="1:6" ht="15" x14ac:dyDescent="0.25">
      <c r="A36" s="9" t="s">
        <v>230</v>
      </c>
      <c r="B36" s="10" t="s">
        <v>220</v>
      </c>
      <c r="C36" s="10" t="s">
        <v>60</v>
      </c>
      <c r="D36" s="10" t="s">
        <v>35</v>
      </c>
      <c r="E36" s="11">
        <v>543.38</v>
      </c>
      <c r="F36" s="12">
        <v>45658</v>
      </c>
    </row>
    <row r="37" spans="1:6" ht="15" x14ac:dyDescent="0.25">
      <c r="A37" s="9" t="s">
        <v>230</v>
      </c>
      <c r="B37" s="10" t="s">
        <v>220</v>
      </c>
      <c r="C37" s="10" t="s">
        <v>60</v>
      </c>
      <c r="D37" s="10" t="s">
        <v>30</v>
      </c>
      <c r="E37" s="11">
        <v>727.88</v>
      </c>
      <c r="F37" s="12">
        <v>45658</v>
      </c>
    </row>
    <row r="38" spans="1:6" ht="15" x14ac:dyDescent="0.25">
      <c r="A38" s="9" t="s">
        <v>230</v>
      </c>
      <c r="B38" s="10" t="s">
        <v>220</v>
      </c>
      <c r="C38" s="10" t="s">
        <v>60</v>
      </c>
      <c r="D38" s="10" t="s">
        <v>221</v>
      </c>
      <c r="E38" s="11">
        <v>147</v>
      </c>
      <c r="F38" s="12">
        <v>45658</v>
      </c>
    </row>
    <row r="39" spans="1:6" ht="15" x14ac:dyDescent="0.25">
      <c r="A39" s="9" t="s">
        <v>230</v>
      </c>
      <c r="B39" s="10" t="s">
        <v>220</v>
      </c>
      <c r="C39" s="10" t="s">
        <v>60</v>
      </c>
      <c r="D39" s="10" t="s">
        <v>43</v>
      </c>
      <c r="E39" s="11">
        <v>112</v>
      </c>
      <c r="F39" s="12">
        <v>45658</v>
      </c>
    </row>
    <row r="40" spans="1:6" ht="15" x14ac:dyDescent="0.25">
      <c r="A40" s="13" t="s">
        <v>231</v>
      </c>
      <c r="B40" s="14" t="s">
        <v>224</v>
      </c>
      <c r="C40" s="14" t="s">
        <v>78</v>
      </c>
      <c r="D40" s="10" t="s">
        <v>35</v>
      </c>
      <c r="E40" s="11">
        <v>517.5</v>
      </c>
      <c r="F40" s="12">
        <v>45444</v>
      </c>
    </row>
    <row r="41" spans="1:6" ht="15" x14ac:dyDescent="0.25">
      <c r="A41" s="13" t="s">
        <v>231</v>
      </c>
      <c r="B41" s="14" t="s">
        <v>224</v>
      </c>
      <c r="C41" s="14" t="s">
        <v>78</v>
      </c>
      <c r="D41" s="10" t="s">
        <v>30</v>
      </c>
      <c r="E41" s="11">
        <v>693</v>
      </c>
      <c r="F41" s="12">
        <v>45444</v>
      </c>
    </row>
    <row r="42" spans="1:6" ht="15" x14ac:dyDescent="0.25">
      <c r="A42" s="13" t="s">
        <v>231</v>
      </c>
      <c r="B42" s="14" t="s">
        <v>224</v>
      </c>
      <c r="C42" s="14" t="s">
        <v>78</v>
      </c>
      <c r="D42" s="10" t="s">
        <v>221</v>
      </c>
      <c r="E42" s="11">
        <v>140</v>
      </c>
      <c r="F42" s="12">
        <v>45444</v>
      </c>
    </row>
    <row r="43" spans="1:6" ht="15" x14ac:dyDescent="0.25">
      <c r="A43" s="13" t="s">
        <v>232</v>
      </c>
      <c r="B43" s="14" t="s">
        <v>224</v>
      </c>
      <c r="C43" s="14" t="s">
        <v>626</v>
      </c>
      <c r="D43" s="10" t="s">
        <v>199</v>
      </c>
      <c r="E43" s="40">
        <v>220</v>
      </c>
      <c r="F43" s="12">
        <v>45078</v>
      </c>
    </row>
    <row r="44" spans="1:6" ht="15" x14ac:dyDescent="0.25">
      <c r="A44" s="9" t="s">
        <v>233</v>
      </c>
      <c r="B44" s="10" t="s">
        <v>220</v>
      </c>
      <c r="C44" s="10" t="s">
        <v>138</v>
      </c>
      <c r="D44" s="10" t="s">
        <v>197</v>
      </c>
      <c r="E44" s="11">
        <v>185</v>
      </c>
      <c r="F44" s="12">
        <v>45658</v>
      </c>
    </row>
    <row r="45" spans="1:6" ht="15" x14ac:dyDescent="0.25">
      <c r="A45" s="9" t="s">
        <v>233</v>
      </c>
      <c r="B45" s="10" t="s">
        <v>220</v>
      </c>
      <c r="C45" s="10" t="s">
        <v>138</v>
      </c>
      <c r="D45" s="10" t="s">
        <v>174</v>
      </c>
      <c r="E45" s="11">
        <v>357</v>
      </c>
      <c r="F45" s="12">
        <v>45658</v>
      </c>
    </row>
    <row r="46" spans="1:6" ht="15" x14ac:dyDescent="0.25">
      <c r="A46" s="9" t="s">
        <v>233</v>
      </c>
      <c r="B46" s="10" t="s">
        <v>220</v>
      </c>
      <c r="C46" s="10" t="s">
        <v>138</v>
      </c>
      <c r="D46" s="10" t="s">
        <v>35</v>
      </c>
      <c r="E46" s="11">
        <v>543</v>
      </c>
      <c r="F46" s="12">
        <v>45658</v>
      </c>
    </row>
    <row r="47" spans="1:6" ht="15" x14ac:dyDescent="0.25">
      <c r="A47" s="9" t="s">
        <v>233</v>
      </c>
      <c r="B47" s="10" t="s">
        <v>220</v>
      </c>
      <c r="C47" s="10" t="s">
        <v>138</v>
      </c>
      <c r="D47" s="10" t="s">
        <v>30</v>
      </c>
      <c r="E47" s="11">
        <v>728</v>
      </c>
      <c r="F47" s="12">
        <v>45658</v>
      </c>
    </row>
    <row r="48" spans="1:6" ht="15" x14ac:dyDescent="0.25">
      <c r="A48" s="9" t="s">
        <v>233</v>
      </c>
      <c r="B48" s="10" t="s">
        <v>220</v>
      </c>
      <c r="C48" s="10" t="s">
        <v>138</v>
      </c>
      <c r="D48" s="10" t="s">
        <v>221</v>
      </c>
      <c r="E48" s="11">
        <v>147</v>
      </c>
      <c r="F48" s="12">
        <v>45658</v>
      </c>
    </row>
    <row r="49" spans="1:6" ht="15" x14ac:dyDescent="0.25">
      <c r="A49" s="9" t="s">
        <v>233</v>
      </c>
      <c r="B49" s="10" t="s">
        <v>220</v>
      </c>
      <c r="C49" s="10" t="s">
        <v>138</v>
      </c>
      <c r="D49" s="10" t="s">
        <v>43</v>
      </c>
      <c r="E49" s="11">
        <v>112</v>
      </c>
      <c r="F49" s="12">
        <v>45658</v>
      </c>
    </row>
    <row r="50" spans="1:6" ht="15" x14ac:dyDescent="0.25">
      <c r="A50" s="13" t="s">
        <v>234</v>
      </c>
      <c r="B50" s="14" t="s">
        <v>224</v>
      </c>
      <c r="C50" s="14" t="s">
        <v>82</v>
      </c>
      <c r="D50" s="10" t="s">
        <v>35</v>
      </c>
      <c r="E50" s="11">
        <v>517.5</v>
      </c>
      <c r="F50" s="12">
        <v>45566</v>
      </c>
    </row>
    <row r="51" spans="1:6" ht="15" x14ac:dyDescent="0.25">
      <c r="A51" s="13" t="s">
        <v>234</v>
      </c>
      <c r="B51" s="14" t="s">
        <v>224</v>
      </c>
      <c r="C51" s="14" t="s">
        <v>82</v>
      </c>
      <c r="D51" s="10" t="s">
        <v>30</v>
      </c>
      <c r="E51" s="11">
        <v>693</v>
      </c>
      <c r="F51" s="12">
        <v>45566</v>
      </c>
    </row>
    <row r="52" spans="1:6" ht="15" x14ac:dyDescent="0.25">
      <c r="A52" s="13" t="s">
        <v>234</v>
      </c>
      <c r="B52" s="14" t="s">
        <v>224</v>
      </c>
      <c r="C52" s="14" t="s">
        <v>82</v>
      </c>
      <c r="D52" s="10" t="s">
        <v>221</v>
      </c>
      <c r="E52" s="11">
        <v>140</v>
      </c>
      <c r="F52" s="12">
        <v>45566</v>
      </c>
    </row>
    <row r="53" spans="1:6" ht="15" x14ac:dyDescent="0.25">
      <c r="A53" s="9" t="s">
        <v>235</v>
      </c>
      <c r="B53" s="10" t="s">
        <v>220</v>
      </c>
      <c r="C53" s="10" t="s">
        <v>187</v>
      </c>
      <c r="D53" s="10" t="s">
        <v>197</v>
      </c>
      <c r="E53" s="11">
        <v>127</v>
      </c>
      <c r="F53" s="12">
        <v>41730</v>
      </c>
    </row>
    <row r="54" spans="1:6" ht="15" x14ac:dyDescent="0.25">
      <c r="A54" s="9" t="s">
        <v>235</v>
      </c>
      <c r="B54" s="10" t="s">
        <v>220</v>
      </c>
      <c r="C54" s="10" t="s">
        <v>187</v>
      </c>
      <c r="D54" s="10" t="s">
        <v>174</v>
      </c>
      <c r="E54" s="11">
        <v>250</v>
      </c>
      <c r="F54" s="12">
        <v>41730</v>
      </c>
    </row>
    <row r="55" spans="1:6" ht="15" x14ac:dyDescent="0.25">
      <c r="A55" s="9" t="s">
        <v>235</v>
      </c>
      <c r="B55" s="10" t="s">
        <v>220</v>
      </c>
      <c r="C55" s="10" t="s">
        <v>187</v>
      </c>
      <c r="D55" s="10" t="s">
        <v>35</v>
      </c>
      <c r="E55" s="11">
        <v>390</v>
      </c>
      <c r="F55" s="12">
        <v>41730</v>
      </c>
    </row>
    <row r="56" spans="1:6" ht="15" x14ac:dyDescent="0.25">
      <c r="A56" s="9" t="s">
        <v>235</v>
      </c>
      <c r="B56" s="10" t="s">
        <v>220</v>
      </c>
      <c r="C56" s="10" t="s">
        <v>187</v>
      </c>
      <c r="D56" s="10" t="s">
        <v>30</v>
      </c>
      <c r="E56" s="11">
        <v>523</v>
      </c>
      <c r="F56" s="12">
        <v>41730</v>
      </c>
    </row>
    <row r="57" spans="1:6" ht="15" x14ac:dyDescent="0.25">
      <c r="A57" s="9" t="s">
        <v>235</v>
      </c>
      <c r="B57" s="10" t="s">
        <v>220</v>
      </c>
      <c r="C57" s="10" t="s">
        <v>187</v>
      </c>
      <c r="D57" s="10" t="s">
        <v>221</v>
      </c>
      <c r="E57" s="11">
        <v>75</v>
      </c>
      <c r="F57" s="12">
        <v>41730</v>
      </c>
    </row>
    <row r="58" spans="1:6" ht="15" x14ac:dyDescent="0.25">
      <c r="A58" s="9" t="s">
        <v>235</v>
      </c>
      <c r="B58" s="10" t="s">
        <v>220</v>
      </c>
      <c r="C58" s="10" t="s">
        <v>187</v>
      </c>
      <c r="D58" s="10" t="s">
        <v>43</v>
      </c>
      <c r="E58" s="11">
        <v>45</v>
      </c>
      <c r="F58" s="12">
        <v>41730</v>
      </c>
    </row>
    <row r="59" spans="1:6" ht="15" x14ac:dyDescent="0.25">
      <c r="A59" s="13" t="s">
        <v>236</v>
      </c>
      <c r="B59" s="14" t="s">
        <v>224</v>
      </c>
      <c r="C59" s="14" t="s">
        <v>172</v>
      </c>
      <c r="D59" s="10" t="s">
        <v>197</v>
      </c>
      <c r="E59" s="11">
        <v>120</v>
      </c>
      <c r="F59" s="12">
        <v>41730</v>
      </c>
    </row>
    <row r="60" spans="1:6" ht="15" x14ac:dyDescent="0.25">
      <c r="A60" s="13" t="s">
        <v>236</v>
      </c>
      <c r="B60" s="14" t="s">
        <v>224</v>
      </c>
      <c r="C60" s="14" t="s">
        <v>172</v>
      </c>
      <c r="D60" s="10" t="s">
        <v>174</v>
      </c>
      <c r="E60" s="11">
        <v>236</v>
      </c>
      <c r="F60" s="12">
        <v>41730</v>
      </c>
    </row>
    <row r="61" spans="1:6" ht="15" x14ac:dyDescent="0.25">
      <c r="A61" s="13" t="s">
        <v>236</v>
      </c>
      <c r="B61" s="14" t="s">
        <v>224</v>
      </c>
      <c r="C61" s="14" t="s">
        <v>172</v>
      </c>
      <c r="D61" s="10" t="s">
        <v>35</v>
      </c>
      <c r="E61" s="11">
        <v>368</v>
      </c>
      <c r="F61" s="12">
        <v>41730</v>
      </c>
    </row>
    <row r="62" spans="1:6" ht="15" x14ac:dyDescent="0.25">
      <c r="A62" s="13" t="s">
        <v>236</v>
      </c>
      <c r="B62" s="14" t="s">
        <v>224</v>
      </c>
      <c r="C62" s="14" t="s">
        <v>172</v>
      </c>
      <c r="D62" s="10" t="s">
        <v>30</v>
      </c>
      <c r="E62" s="11">
        <v>492</v>
      </c>
      <c r="F62" s="12">
        <v>41730</v>
      </c>
    </row>
    <row r="63" spans="1:6" ht="15" x14ac:dyDescent="0.25">
      <c r="A63" s="13" t="s">
        <v>236</v>
      </c>
      <c r="B63" s="14" t="s">
        <v>224</v>
      </c>
      <c r="C63" s="14" t="s">
        <v>172</v>
      </c>
      <c r="D63" s="10" t="s">
        <v>221</v>
      </c>
      <c r="E63" s="11">
        <v>75</v>
      </c>
      <c r="F63" s="12">
        <v>41730</v>
      </c>
    </row>
    <row r="64" spans="1:6" ht="15" x14ac:dyDescent="0.25">
      <c r="A64" s="13" t="s">
        <v>236</v>
      </c>
      <c r="B64" s="14" t="s">
        <v>224</v>
      </c>
      <c r="C64" s="14" t="s">
        <v>172</v>
      </c>
      <c r="D64" s="10" t="s">
        <v>43</v>
      </c>
      <c r="E64" s="11">
        <v>45</v>
      </c>
      <c r="F64" s="12">
        <v>41730</v>
      </c>
    </row>
    <row r="65" spans="1:6" ht="15" x14ac:dyDescent="0.25">
      <c r="A65" s="13" t="s">
        <v>237</v>
      </c>
      <c r="B65" s="14" t="s">
        <v>224</v>
      </c>
      <c r="C65" s="14" t="s">
        <v>113</v>
      </c>
      <c r="D65" s="10" t="s">
        <v>35</v>
      </c>
      <c r="E65" s="11">
        <v>438</v>
      </c>
      <c r="F65" s="12">
        <v>44927</v>
      </c>
    </row>
    <row r="66" spans="1:6" ht="15" x14ac:dyDescent="0.25">
      <c r="A66" s="13" t="s">
        <v>237</v>
      </c>
      <c r="B66" s="14" t="s">
        <v>224</v>
      </c>
      <c r="C66" s="14" t="s">
        <v>113</v>
      </c>
      <c r="D66" s="10" t="s">
        <v>30</v>
      </c>
      <c r="E66" s="11">
        <v>586.5</v>
      </c>
      <c r="F66" s="12">
        <v>44927</v>
      </c>
    </row>
    <row r="67" spans="1:6" ht="15" x14ac:dyDescent="0.25">
      <c r="A67" s="13" t="s">
        <v>237</v>
      </c>
      <c r="B67" s="14" t="s">
        <v>224</v>
      </c>
      <c r="C67" s="14" t="s">
        <v>113</v>
      </c>
      <c r="D67" s="10" t="s">
        <v>221</v>
      </c>
      <c r="E67" s="11">
        <v>114</v>
      </c>
      <c r="F67" s="12">
        <v>44927</v>
      </c>
    </row>
    <row r="68" spans="1:6" ht="15" x14ac:dyDescent="0.25">
      <c r="A68" s="13" t="s">
        <v>238</v>
      </c>
      <c r="B68" s="14" t="s">
        <v>224</v>
      </c>
      <c r="C68" s="14" t="s">
        <v>128</v>
      </c>
      <c r="D68" s="10" t="s">
        <v>197</v>
      </c>
      <c r="E68" s="11">
        <v>139</v>
      </c>
      <c r="F68" s="12">
        <v>42370</v>
      </c>
    </row>
    <row r="69" spans="1:6" ht="15" x14ac:dyDescent="0.25">
      <c r="A69" s="13" t="s">
        <v>238</v>
      </c>
      <c r="B69" s="14" t="s">
        <v>224</v>
      </c>
      <c r="C69" s="14" t="s">
        <v>128</v>
      </c>
      <c r="D69" s="10" t="s">
        <v>174</v>
      </c>
      <c r="E69" s="11">
        <v>271</v>
      </c>
      <c r="F69" s="12">
        <v>42370</v>
      </c>
    </row>
    <row r="70" spans="1:6" ht="15" x14ac:dyDescent="0.25">
      <c r="A70" s="13" t="s">
        <v>238</v>
      </c>
      <c r="B70" s="14" t="s">
        <v>224</v>
      </c>
      <c r="C70" s="14" t="s">
        <v>128</v>
      </c>
      <c r="D70" s="10" t="s">
        <v>35</v>
      </c>
      <c r="E70" s="11">
        <v>410</v>
      </c>
      <c r="F70" s="12">
        <v>42370</v>
      </c>
    </row>
    <row r="71" spans="1:6" ht="15" x14ac:dyDescent="0.25">
      <c r="A71" s="13" t="s">
        <v>238</v>
      </c>
      <c r="B71" s="14" t="s">
        <v>224</v>
      </c>
      <c r="C71" s="14" t="s">
        <v>128</v>
      </c>
      <c r="D71" s="10" t="s">
        <v>30</v>
      </c>
      <c r="E71" s="11">
        <v>549</v>
      </c>
      <c r="F71" s="12">
        <v>42370</v>
      </c>
    </row>
    <row r="72" spans="1:6" ht="15" x14ac:dyDescent="0.25">
      <c r="A72" s="13" t="s">
        <v>238</v>
      </c>
      <c r="B72" s="14" t="s">
        <v>224</v>
      </c>
      <c r="C72" s="14" t="s">
        <v>128</v>
      </c>
      <c r="D72" s="10" t="s">
        <v>221</v>
      </c>
      <c r="E72" s="11">
        <v>92</v>
      </c>
      <c r="F72" s="12">
        <v>42370</v>
      </c>
    </row>
    <row r="73" spans="1:6" ht="15" x14ac:dyDescent="0.25">
      <c r="A73" s="13" t="s">
        <v>238</v>
      </c>
      <c r="B73" s="14" t="s">
        <v>224</v>
      </c>
      <c r="C73" s="14" t="s">
        <v>128</v>
      </c>
      <c r="D73" s="10" t="s">
        <v>43</v>
      </c>
      <c r="E73" s="11">
        <v>70</v>
      </c>
      <c r="F73" s="12">
        <v>42370</v>
      </c>
    </row>
    <row r="74" spans="1:6" ht="15" x14ac:dyDescent="0.25">
      <c r="A74" s="9" t="s">
        <v>239</v>
      </c>
      <c r="B74" s="10" t="s">
        <v>220</v>
      </c>
      <c r="C74" s="10" t="s">
        <v>47</v>
      </c>
      <c r="D74" s="10" t="s">
        <v>197</v>
      </c>
      <c r="E74" s="11">
        <v>196.8</v>
      </c>
      <c r="F74" s="12">
        <v>45657</v>
      </c>
    </row>
    <row r="75" spans="1:6" ht="15" x14ac:dyDescent="0.25">
      <c r="A75" s="9" t="s">
        <v>239</v>
      </c>
      <c r="B75" s="10" t="s">
        <v>220</v>
      </c>
      <c r="C75" s="10" t="s">
        <v>47</v>
      </c>
      <c r="D75" s="10" t="s">
        <v>174</v>
      </c>
      <c r="E75" s="11">
        <v>381.2</v>
      </c>
      <c r="F75" s="12">
        <v>45657</v>
      </c>
    </row>
    <row r="76" spans="1:6" ht="15" x14ac:dyDescent="0.25">
      <c r="A76" s="9" t="s">
        <v>239</v>
      </c>
      <c r="B76" s="10" t="s">
        <v>220</v>
      </c>
      <c r="C76" s="10" t="s">
        <v>47</v>
      </c>
      <c r="D76" s="10" t="s">
        <v>35</v>
      </c>
      <c r="E76" s="11">
        <v>579.6</v>
      </c>
      <c r="F76" s="12">
        <v>45657</v>
      </c>
    </row>
    <row r="77" spans="1:6" ht="15" x14ac:dyDescent="0.25">
      <c r="A77" s="9" t="s">
        <v>239</v>
      </c>
      <c r="B77" s="10" t="s">
        <v>220</v>
      </c>
      <c r="C77" s="10" t="s">
        <v>47</v>
      </c>
      <c r="D77" s="10" t="s">
        <v>30</v>
      </c>
      <c r="E77" s="11">
        <v>776.4</v>
      </c>
      <c r="F77" s="12">
        <v>45657</v>
      </c>
    </row>
    <row r="78" spans="1:6" ht="15" x14ac:dyDescent="0.25">
      <c r="A78" s="9" t="s">
        <v>239</v>
      </c>
      <c r="B78" s="10" t="s">
        <v>220</v>
      </c>
      <c r="C78" s="10" t="s">
        <v>47</v>
      </c>
      <c r="D78" s="10" t="s">
        <v>221</v>
      </c>
      <c r="E78" s="11">
        <v>147</v>
      </c>
      <c r="F78" s="12">
        <v>45657</v>
      </c>
    </row>
    <row r="79" spans="1:6" ht="15" x14ac:dyDescent="0.25">
      <c r="A79" s="9" t="s">
        <v>239</v>
      </c>
      <c r="B79" s="10" t="s">
        <v>220</v>
      </c>
      <c r="C79" s="10" t="s">
        <v>47</v>
      </c>
      <c r="D79" s="10" t="s">
        <v>43</v>
      </c>
      <c r="E79" s="11">
        <v>112</v>
      </c>
      <c r="F79" s="12">
        <v>45657</v>
      </c>
    </row>
    <row r="80" spans="1:6" ht="15" x14ac:dyDescent="0.25">
      <c r="A80" s="13" t="s">
        <v>240</v>
      </c>
      <c r="B80" s="14" t="s">
        <v>224</v>
      </c>
      <c r="C80" s="14" t="s">
        <v>89</v>
      </c>
      <c r="D80" s="10" t="s">
        <v>30</v>
      </c>
      <c r="E80" s="15">
        <v>689.58</v>
      </c>
      <c r="F80" s="12">
        <v>44562</v>
      </c>
    </row>
    <row r="81" spans="1:6" ht="15" x14ac:dyDescent="0.25">
      <c r="A81" s="13" t="s">
        <v>240</v>
      </c>
      <c r="B81" s="14" t="s">
        <v>224</v>
      </c>
      <c r="C81" s="14" t="s">
        <v>89</v>
      </c>
      <c r="D81" s="10" t="s">
        <v>221</v>
      </c>
      <c r="E81" s="11">
        <v>98</v>
      </c>
      <c r="F81" s="12">
        <v>44562</v>
      </c>
    </row>
    <row r="82" spans="1:6" ht="15" x14ac:dyDescent="0.25">
      <c r="A82" s="13" t="s">
        <v>241</v>
      </c>
      <c r="B82" s="14" t="s">
        <v>224</v>
      </c>
      <c r="C82" s="14" t="s">
        <v>48</v>
      </c>
      <c r="D82" s="10" t="s">
        <v>35</v>
      </c>
      <c r="E82" s="11">
        <v>558.45000000000005</v>
      </c>
      <c r="F82" s="12">
        <v>45474</v>
      </c>
    </row>
    <row r="83" spans="1:6" ht="15" x14ac:dyDescent="0.25">
      <c r="A83" s="13" t="s">
        <v>241</v>
      </c>
      <c r="B83" s="14" t="s">
        <v>224</v>
      </c>
      <c r="C83" s="14" t="s">
        <v>48</v>
      </c>
      <c r="D83" s="10" t="s">
        <v>30</v>
      </c>
      <c r="E83" s="11">
        <v>748.43</v>
      </c>
      <c r="F83" s="12">
        <v>45474</v>
      </c>
    </row>
    <row r="84" spans="1:6" ht="15" x14ac:dyDescent="0.25">
      <c r="A84" s="13" t="s">
        <v>241</v>
      </c>
      <c r="B84" s="14" t="s">
        <v>224</v>
      </c>
      <c r="C84" s="14" t="s">
        <v>48</v>
      </c>
      <c r="D84" s="10" t="s">
        <v>221</v>
      </c>
      <c r="E84" s="11">
        <v>128</v>
      </c>
      <c r="F84" s="12">
        <v>45474</v>
      </c>
    </row>
    <row r="85" spans="1:6" ht="15" x14ac:dyDescent="0.25">
      <c r="A85" s="13" t="s">
        <v>242</v>
      </c>
      <c r="B85" s="14" t="s">
        <v>224</v>
      </c>
      <c r="C85" s="14" t="s">
        <v>100</v>
      </c>
      <c r="D85" s="10" t="s">
        <v>35</v>
      </c>
      <c r="E85" s="11">
        <v>621</v>
      </c>
      <c r="F85" s="12">
        <v>45323</v>
      </c>
    </row>
    <row r="86" spans="1:6" ht="15" x14ac:dyDescent="0.25">
      <c r="A86" s="13" t="s">
        <v>242</v>
      </c>
      <c r="B86" s="14" t="s">
        <v>224</v>
      </c>
      <c r="C86" s="14" t="s">
        <v>100</v>
      </c>
      <c r="D86" s="10" t="s">
        <v>30</v>
      </c>
      <c r="E86" s="11">
        <v>832</v>
      </c>
      <c r="F86" s="12">
        <v>45323</v>
      </c>
    </row>
    <row r="87" spans="1:6" ht="15" x14ac:dyDescent="0.25">
      <c r="A87" s="13" t="s">
        <v>242</v>
      </c>
      <c r="B87" s="14" t="s">
        <v>224</v>
      </c>
      <c r="C87" s="14" t="s">
        <v>100</v>
      </c>
      <c r="D87" s="10" t="s">
        <v>221</v>
      </c>
      <c r="E87" s="11">
        <v>140</v>
      </c>
      <c r="F87" s="12">
        <v>45323</v>
      </c>
    </row>
    <row r="88" spans="1:6" ht="15" x14ac:dyDescent="0.25">
      <c r="A88" s="13" t="s">
        <v>242</v>
      </c>
      <c r="B88" s="14" t="s">
        <v>224</v>
      </c>
      <c r="C88" s="14" t="s">
        <v>100</v>
      </c>
      <c r="D88" s="10" t="s">
        <v>43</v>
      </c>
      <c r="E88" s="11">
        <v>107</v>
      </c>
      <c r="F88" s="12">
        <v>45323</v>
      </c>
    </row>
    <row r="89" spans="1:6" ht="15" x14ac:dyDescent="0.25">
      <c r="A89" s="13" t="s">
        <v>243</v>
      </c>
      <c r="B89" s="14" t="s">
        <v>224</v>
      </c>
      <c r="C89" s="14" t="s">
        <v>114</v>
      </c>
      <c r="D89" s="10" t="s">
        <v>35</v>
      </c>
      <c r="E89" s="11">
        <v>586</v>
      </c>
      <c r="F89" s="12">
        <v>40238</v>
      </c>
    </row>
    <row r="90" spans="1:6" ht="15" x14ac:dyDescent="0.25">
      <c r="A90" s="13" t="s">
        <v>243</v>
      </c>
      <c r="B90" s="14" t="s">
        <v>224</v>
      </c>
      <c r="C90" s="14" t="s">
        <v>114</v>
      </c>
      <c r="D90" s="10" t="s">
        <v>30</v>
      </c>
      <c r="E90" s="11">
        <v>786</v>
      </c>
      <c r="F90" s="12">
        <v>40238</v>
      </c>
    </row>
    <row r="91" spans="1:6" ht="15" x14ac:dyDescent="0.25">
      <c r="A91" s="13" t="s">
        <v>243</v>
      </c>
      <c r="B91" s="14" t="s">
        <v>224</v>
      </c>
      <c r="C91" s="14" t="s">
        <v>114</v>
      </c>
      <c r="D91" s="10" t="s">
        <v>221</v>
      </c>
      <c r="E91" s="11">
        <v>140</v>
      </c>
      <c r="F91" s="12">
        <v>40238</v>
      </c>
    </row>
    <row r="92" spans="1:6" ht="15" x14ac:dyDescent="0.25">
      <c r="A92" s="13" t="s">
        <v>244</v>
      </c>
      <c r="B92" s="14" t="s">
        <v>224</v>
      </c>
      <c r="C92" s="14" t="s">
        <v>171</v>
      </c>
      <c r="D92" s="10" t="s">
        <v>35</v>
      </c>
      <c r="E92" s="11">
        <v>492.75</v>
      </c>
      <c r="F92" s="12">
        <v>45505</v>
      </c>
    </row>
    <row r="93" spans="1:6" ht="15" x14ac:dyDescent="0.25">
      <c r="A93" s="13" t="s">
        <v>244</v>
      </c>
      <c r="B93" s="14" t="s">
        <v>224</v>
      </c>
      <c r="C93" s="14" t="s">
        <v>171</v>
      </c>
      <c r="D93" s="10" t="s">
        <v>30</v>
      </c>
      <c r="E93" s="11">
        <v>660.38</v>
      </c>
      <c r="F93" s="12">
        <v>45505</v>
      </c>
    </row>
    <row r="94" spans="1:6" ht="15" x14ac:dyDescent="0.25">
      <c r="A94" s="13" t="s">
        <v>244</v>
      </c>
      <c r="B94" s="14" t="s">
        <v>224</v>
      </c>
      <c r="C94" s="14" t="s">
        <v>171</v>
      </c>
      <c r="D94" s="10" t="s">
        <v>221</v>
      </c>
      <c r="E94" s="11">
        <v>128</v>
      </c>
      <c r="F94" s="12">
        <v>45505</v>
      </c>
    </row>
    <row r="95" spans="1:6" ht="15" x14ac:dyDescent="0.25">
      <c r="A95" s="13" t="s">
        <v>244</v>
      </c>
      <c r="B95" s="14" t="s">
        <v>224</v>
      </c>
      <c r="C95" s="14" t="s">
        <v>171</v>
      </c>
      <c r="D95" s="10" t="s">
        <v>43</v>
      </c>
      <c r="E95" s="11">
        <v>98</v>
      </c>
      <c r="F95" s="12">
        <v>45505</v>
      </c>
    </row>
    <row r="96" spans="1:6" ht="15" x14ac:dyDescent="0.25">
      <c r="A96" s="13" t="s">
        <v>245</v>
      </c>
      <c r="B96" s="14" t="s">
        <v>224</v>
      </c>
      <c r="C96" s="14" t="s">
        <v>166</v>
      </c>
      <c r="D96" s="10" t="s">
        <v>35</v>
      </c>
      <c r="E96" s="11">
        <v>492.75</v>
      </c>
      <c r="F96" s="12">
        <v>44927</v>
      </c>
    </row>
    <row r="97" spans="1:6" ht="15" x14ac:dyDescent="0.25">
      <c r="A97" s="13" t="s">
        <v>245</v>
      </c>
      <c r="B97" s="14" t="s">
        <v>224</v>
      </c>
      <c r="C97" s="14" t="s">
        <v>166</v>
      </c>
      <c r="D97" s="10" t="s">
        <v>43</v>
      </c>
      <c r="E97" s="11">
        <v>128</v>
      </c>
      <c r="F97" s="12">
        <v>44927</v>
      </c>
    </row>
    <row r="98" spans="1:6" ht="15" x14ac:dyDescent="0.25">
      <c r="A98" s="13" t="s">
        <v>246</v>
      </c>
      <c r="B98" s="14" t="s">
        <v>224</v>
      </c>
      <c r="C98" s="14" t="s">
        <v>51</v>
      </c>
      <c r="D98" s="10" t="s">
        <v>35</v>
      </c>
      <c r="E98" s="11">
        <v>552</v>
      </c>
      <c r="F98" s="12">
        <v>45413</v>
      </c>
    </row>
    <row r="99" spans="1:6" ht="15" x14ac:dyDescent="0.25">
      <c r="A99" s="13" t="s">
        <v>246</v>
      </c>
      <c r="B99" s="14" t="s">
        <v>224</v>
      </c>
      <c r="C99" s="14" t="s">
        <v>51</v>
      </c>
      <c r="D99" s="10" t="s">
        <v>30</v>
      </c>
      <c r="E99" s="11">
        <v>740</v>
      </c>
      <c r="F99" s="12">
        <v>45413</v>
      </c>
    </row>
    <row r="100" spans="1:6" ht="15" x14ac:dyDescent="0.25">
      <c r="A100" s="13" t="s">
        <v>246</v>
      </c>
      <c r="B100" s="14" t="s">
        <v>224</v>
      </c>
      <c r="C100" s="14" t="s">
        <v>51</v>
      </c>
      <c r="D100" s="10" t="s">
        <v>221</v>
      </c>
      <c r="E100" s="11">
        <v>140</v>
      </c>
      <c r="F100" s="12">
        <v>45413</v>
      </c>
    </row>
    <row r="101" spans="1:6" ht="15" x14ac:dyDescent="0.25">
      <c r="A101" s="13" t="s">
        <v>247</v>
      </c>
      <c r="B101" s="14" t="s">
        <v>224</v>
      </c>
      <c r="C101" s="14" t="s">
        <v>627</v>
      </c>
      <c r="D101" s="10" t="s">
        <v>197</v>
      </c>
      <c r="E101" s="11">
        <v>185</v>
      </c>
      <c r="F101" s="12">
        <v>45658</v>
      </c>
    </row>
    <row r="102" spans="1:6" ht="15" x14ac:dyDescent="0.25">
      <c r="A102" s="13" t="s">
        <v>247</v>
      </c>
      <c r="B102" s="14" t="s">
        <v>224</v>
      </c>
      <c r="C102" s="14" t="s">
        <v>627</v>
      </c>
      <c r="D102" s="10" t="s">
        <v>174</v>
      </c>
      <c r="E102" s="11">
        <v>357</v>
      </c>
      <c r="F102" s="12">
        <v>45658</v>
      </c>
    </row>
    <row r="103" spans="1:6" ht="15" x14ac:dyDescent="0.25">
      <c r="A103" s="13" t="s">
        <v>247</v>
      </c>
      <c r="B103" s="14" t="s">
        <v>224</v>
      </c>
      <c r="C103" s="14" t="s">
        <v>627</v>
      </c>
      <c r="D103" s="10" t="s">
        <v>35</v>
      </c>
      <c r="E103" s="11">
        <v>543</v>
      </c>
      <c r="F103" s="12">
        <v>45658</v>
      </c>
    </row>
    <row r="104" spans="1:6" ht="15" x14ac:dyDescent="0.25">
      <c r="A104" s="13" t="s">
        <v>247</v>
      </c>
      <c r="B104" s="14" t="s">
        <v>224</v>
      </c>
      <c r="C104" s="14" t="s">
        <v>627</v>
      </c>
      <c r="D104" s="10" t="s">
        <v>30</v>
      </c>
      <c r="E104" s="11">
        <v>728</v>
      </c>
      <c r="F104" s="12">
        <v>45658</v>
      </c>
    </row>
    <row r="105" spans="1:6" ht="15" x14ac:dyDescent="0.25">
      <c r="A105" s="13" t="s">
        <v>247</v>
      </c>
      <c r="B105" s="14" t="s">
        <v>224</v>
      </c>
      <c r="C105" s="14" t="s">
        <v>627</v>
      </c>
      <c r="D105" s="10" t="s">
        <v>221</v>
      </c>
      <c r="E105" s="11">
        <v>147</v>
      </c>
      <c r="F105" s="12">
        <v>45658</v>
      </c>
    </row>
    <row r="106" spans="1:6" ht="15" x14ac:dyDescent="0.25">
      <c r="A106" s="13" t="s">
        <v>247</v>
      </c>
      <c r="B106" s="14" t="s">
        <v>224</v>
      </c>
      <c r="C106" s="14" t="s">
        <v>627</v>
      </c>
      <c r="D106" s="10" t="s">
        <v>43</v>
      </c>
      <c r="E106" s="11">
        <v>112</v>
      </c>
      <c r="F106" s="12">
        <v>45658</v>
      </c>
    </row>
    <row r="107" spans="1:6" ht="15" x14ac:dyDescent="0.25">
      <c r="A107" s="13" t="s">
        <v>248</v>
      </c>
      <c r="B107" s="14" t="s">
        <v>224</v>
      </c>
      <c r="C107" s="14" t="s">
        <v>177</v>
      </c>
      <c r="D107" s="10" t="s">
        <v>197</v>
      </c>
      <c r="E107" s="11">
        <v>117.25</v>
      </c>
      <c r="F107" s="12">
        <v>45658</v>
      </c>
    </row>
    <row r="108" spans="1:6" ht="15" x14ac:dyDescent="0.25">
      <c r="A108" s="13" t="s">
        <v>248</v>
      </c>
      <c r="B108" s="14" t="s">
        <v>224</v>
      </c>
      <c r="C108" s="14" t="s">
        <v>177</v>
      </c>
      <c r="D108" s="10" t="s">
        <v>174</v>
      </c>
      <c r="E108" s="11">
        <v>221.5</v>
      </c>
      <c r="F108" s="12">
        <v>45658</v>
      </c>
    </row>
    <row r="109" spans="1:6" ht="15" x14ac:dyDescent="0.25">
      <c r="A109" s="13" t="s">
        <v>248</v>
      </c>
      <c r="B109" s="14" t="s">
        <v>224</v>
      </c>
      <c r="C109" s="14" t="s">
        <v>177</v>
      </c>
      <c r="D109" s="10" t="s">
        <v>35</v>
      </c>
      <c r="E109" s="11">
        <v>345</v>
      </c>
      <c r="F109" s="12">
        <v>45658</v>
      </c>
    </row>
    <row r="110" spans="1:6" ht="15" x14ac:dyDescent="0.25">
      <c r="A110" s="13" t="s">
        <v>248</v>
      </c>
      <c r="B110" s="14" t="s">
        <v>224</v>
      </c>
      <c r="C110" s="14" t="s">
        <v>177</v>
      </c>
      <c r="D110" s="10" t="s">
        <v>30</v>
      </c>
      <c r="E110" s="11">
        <v>462.25</v>
      </c>
      <c r="F110" s="12">
        <v>45658</v>
      </c>
    </row>
    <row r="111" spans="1:6" ht="15" x14ac:dyDescent="0.25">
      <c r="A111" s="13" t="s">
        <v>248</v>
      </c>
      <c r="B111" s="14" t="s">
        <v>224</v>
      </c>
      <c r="C111" s="14" t="s">
        <v>177</v>
      </c>
      <c r="D111" s="10" t="s">
        <v>221</v>
      </c>
      <c r="E111" s="11">
        <v>140</v>
      </c>
      <c r="F111" s="12">
        <v>45658</v>
      </c>
    </row>
    <row r="112" spans="1:6" ht="15" x14ac:dyDescent="0.25">
      <c r="A112" s="13" t="s">
        <v>248</v>
      </c>
      <c r="B112" s="14" t="s">
        <v>224</v>
      </c>
      <c r="C112" s="14" t="s">
        <v>177</v>
      </c>
      <c r="D112" s="10" t="s">
        <v>43</v>
      </c>
      <c r="E112" s="11">
        <v>107</v>
      </c>
      <c r="F112" s="12">
        <v>45658</v>
      </c>
    </row>
    <row r="113" spans="1:6" ht="15" x14ac:dyDescent="0.25">
      <c r="A113" s="13" t="s">
        <v>249</v>
      </c>
      <c r="B113" s="14" t="s">
        <v>224</v>
      </c>
      <c r="C113" s="14" t="s">
        <v>195</v>
      </c>
      <c r="D113" s="10" t="s">
        <v>174</v>
      </c>
      <c r="E113" s="11">
        <v>283.2</v>
      </c>
      <c r="F113" s="12">
        <v>43152</v>
      </c>
    </row>
    <row r="114" spans="1:6" ht="15" x14ac:dyDescent="0.25">
      <c r="A114" s="13" t="s">
        <v>249</v>
      </c>
      <c r="B114" s="14" t="s">
        <v>224</v>
      </c>
      <c r="C114" s="14" t="s">
        <v>195</v>
      </c>
      <c r="D114" s="10" t="s">
        <v>221</v>
      </c>
      <c r="E114" s="11">
        <v>98</v>
      </c>
      <c r="F114" s="12">
        <v>43152</v>
      </c>
    </row>
    <row r="115" spans="1:6" ht="15" x14ac:dyDescent="0.25">
      <c r="A115" s="13" t="s">
        <v>249</v>
      </c>
      <c r="B115" s="14" t="s">
        <v>224</v>
      </c>
      <c r="C115" s="14" t="s">
        <v>195</v>
      </c>
      <c r="D115" s="10" t="s">
        <v>43</v>
      </c>
      <c r="E115" s="11">
        <v>74</v>
      </c>
      <c r="F115" s="12">
        <v>43152</v>
      </c>
    </row>
    <row r="116" spans="1:6" ht="15" x14ac:dyDescent="0.25">
      <c r="A116" s="9" t="s">
        <v>250</v>
      </c>
      <c r="B116" s="10" t="s">
        <v>220</v>
      </c>
      <c r="C116" s="10" t="s">
        <v>110</v>
      </c>
      <c r="D116" s="10" t="s">
        <v>35</v>
      </c>
      <c r="E116" s="11">
        <v>586.5</v>
      </c>
      <c r="F116" s="12">
        <v>45536</v>
      </c>
    </row>
    <row r="117" spans="1:6" ht="15" x14ac:dyDescent="0.25">
      <c r="A117" s="9" t="s">
        <v>250</v>
      </c>
      <c r="B117" s="10" t="s">
        <v>220</v>
      </c>
      <c r="C117" s="10" t="s">
        <v>110</v>
      </c>
      <c r="D117" s="10" t="s">
        <v>30</v>
      </c>
      <c r="E117" s="11">
        <v>786</v>
      </c>
      <c r="F117" s="12">
        <v>45536</v>
      </c>
    </row>
    <row r="118" spans="1:6" ht="15" x14ac:dyDescent="0.25">
      <c r="A118" s="9" t="s">
        <v>250</v>
      </c>
      <c r="B118" s="10" t="s">
        <v>220</v>
      </c>
      <c r="C118" s="10" t="s">
        <v>110</v>
      </c>
      <c r="D118" s="10" t="s">
        <v>221</v>
      </c>
      <c r="E118" s="11">
        <v>140</v>
      </c>
      <c r="F118" s="12">
        <v>45536</v>
      </c>
    </row>
    <row r="119" spans="1:6" ht="15" x14ac:dyDescent="0.25">
      <c r="A119" s="9" t="s">
        <v>250</v>
      </c>
      <c r="B119" s="10" t="s">
        <v>220</v>
      </c>
      <c r="C119" s="10" t="s">
        <v>110</v>
      </c>
      <c r="D119" s="10" t="s">
        <v>43</v>
      </c>
      <c r="E119" s="11">
        <v>107</v>
      </c>
      <c r="F119" s="12">
        <v>45536</v>
      </c>
    </row>
    <row r="120" spans="1:6" ht="15" x14ac:dyDescent="0.25">
      <c r="A120" s="13" t="s">
        <v>251</v>
      </c>
      <c r="B120" s="14" t="s">
        <v>224</v>
      </c>
      <c r="C120" s="14" t="s">
        <v>165</v>
      </c>
      <c r="D120" s="10" t="s">
        <v>35</v>
      </c>
      <c r="E120" s="11">
        <v>492.75</v>
      </c>
      <c r="F120" s="12">
        <v>45536</v>
      </c>
    </row>
    <row r="121" spans="1:6" ht="15" x14ac:dyDescent="0.25">
      <c r="A121" s="13" t="s">
        <v>251</v>
      </c>
      <c r="B121" s="14" t="s">
        <v>224</v>
      </c>
      <c r="C121" s="14" t="s">
        <v>165</v>
      </c>
      <c r="D121" s="10" t="s">
        <v>30</v>
      </c>
      <c r="E121" s="11">
        <v>660.38</v>
      </c>
      <c r="F121" s="12">
        <v>45536</v>
      </c>
    </row>
    <row r="122" spans="1:6" ht="15" x14ac:dyDescent="0.25">
      <c r="A122" s="13" t="s">
        <v>251</v>
      </c>
      <c r="B122" s="14" t="s">
        <v>224</v>
      </c>
      <c r="C122" s="14" t="s">
        <v>165</v>
      </c>
      <c r="D122" s="10" t="s">
        <v>221</v>
      </c>
      <c r="E122" s="11">
        <v>128</v>
      </c>
      <c r="F122" s="12">
        <v>45536</v>
      </c>
    </row>
    <row r="123" spans="1:6" ht="15" x14ac:dyDescent="0.25">
      <c r="A123" s="13" t="s">
        <v>252</v>
      </c>
      <c r="B123" s="14" t="s">
        <v>224</v>
      </c>
      <c r="C123" s="14" t="s">
        <v>121</v>
      </c>
      <c r="D123" s="10" t="s">
        <v>35</v>
      </c>
      <c r="E123" s="11">
        <v>417</v>
      </c>
      <c r="F123" s="12">
        <v>44255</v>
      </c>
    </row>
    <row r="124" spans="1:6" ht="15" x14ac:dyDescent="0.25">
      <c r="A124" s="13" t="s">
        <v>252</v>
      </c>
      <c r="B124" s="14" t="s">
        <v>224</v>
      </c>
      <c r="C124" s="14" t="s">
        <v>121</v>
      </c>
      <c r="D124" s="10" t="s">
        <v>30</v>
      </c>
      <c r="E124" s="11">
        <v>558.75</v>
      </c>
      <c r="F124" s="12">
        <v>44255</v>
      </c>
    </row>
    <row r="125" spans="1:6" ht="15" x14ac:dyDescent="0.25">
      <c r="A125" s="13" t="s">
        <v>252</v>
      </c>
      <c r="B125" s="14" t="s">
        <v>224</v>
      </c>
      <c r="C125" s="14" t="s">
        <v>121</v>
      </c>
      <c r="D125" s="10" t="s">
        <v>221</v>
      </c>
      <c r="E125" s="11">
        <v>109</v>
      </c>
      <c r="F125" s="12">
        <v>44255</v>
      </c>
    </row>
    <row r="126" spans="1:6" ht="15" x14ac:dyDescent="0.25">
      <c r="A126" s="13" t="s">
        <v>253</v>
      </c>
      <c r="B126" s="14" t="s">
        <v>224</v>
      </c>
      <c r="C126" s="14" t="s">
        <v>76</v>
      </c>
      <c r="D126" s="10" t="s">
        <v>35</v>
      </c>
      <c r="E126" s="11">
        <v>518</v>
      </c>
      <c r="F126" s="12">
        <v>45809</v>
      </c>
    </row>
    <row r="127" spans="1:6" ht="15" x14ac:dyDescent="0.25">
      <c r="A127" s="13" t="s">
        <v>253</v>
      </c>
      <c r="B127" s="14" t="s">
        <v>224</v>
      </c>
      <c r="C127" s="14" t="s">
        <v>76</v>
      </c>
      <c r="D127" s="10" t="s">
        <v>30</v>
      </c>
      <c r="E127" s="11">
        <v>693</v>
      </c>
      <c r="F127" s="12">
        <v>45809</v>
      </c>
    </row>
    <row r="128" spans="1:6" ht="15" x14ac:dyDescent="0.25">
      <c r="A128" s="13" t="s">
        <v>253</v>
      </c>
      <c r="B128" s="14" t="s">
        <v>224</v>
      </c>
      <c r="C128" s="14" t="s">
        <v>76</v>
      </c>
      <c r="D128" s="10" t="s">
        <v>221</v>
      </c>
      <c r="E128" s="11">
        <v>140</v>
      </c>
      <c r="F128" s="12">
        <v>45809</v>
      </c>
    </row>
    <row r="129" spans="1:6" ht="15" x14ac:dyDescent="0.25">
      <c r="A129" s="13" t="s">
        <v>253</v>
      </c>
      <c r="B129" s="14" t="s">
        <v>224</v>
      </c>
      <c r="C129" s="14" t="s">
        <v>76</v>
      </c>
      <c r="D129" s="10" t="s">
        <v>43</v>
      </c>
      <c r="E129" s="11">
        <v>107</v>
      </c>
      <c r="F129" s="12">
        <v>45809</v>
      </c>
    </row>
    <row r="130" spans="1:6" ht="15" x14ac:dyDescent="0.25">
      <c r="A130" s="9" t="s">
        <v>254</v>
      </c>
      <c r="B130" s="10" t="s">
        <v>220</v>
      </c>
      <c r="C130" s="10" t="s">
        <v>70</v>
      </c>
      <c r="D130" s="10" t="s">
        <v>197</v>
      </c>
      <c r="E130" s="11">
        <v>175.88</v>
      </c>
      <c r="F130" s="12">
        <v>45444</v>
      </c>
    </row>
    <row r="131" spans="1:6" ht="15" x14ac:dyDescent="0.25">
      <c r="A131" s="9" t="s">
        <v>254</v>
      </c>
      <c r="B131" s="10" t="s">
        <v>220</v>
      </c>
      <c r="C131" s="10" t="s">
        <v>70</v>
      </c>
      <c r="D131" s="10" t="s">
        <v>174</v>
      </c>
      <c r="E131" s="11">
        <v>332.25</v>
      </c>
      <c r="F131" s="12">
        <v>45444</v>
      </c>
    </row>
    <row r="132" spans="1:6" ht="15" x14ac:dyDescent="0.25">
      <c r="A132" s="9" t="s">
        <v>254</v>
      </c>
      <c r="B132" s="10" t="s">
        <v>220</v>
      </c>
      <c r="C132" s="10" t="s">
        <v>70</v>
      </c>
      <c r="D132" s="10" t="s">
        <v>35</v>
      </c>
      <c r="E132" s="11">
        <v>517.5</v>
      </c>
      <c r="F132" s="12">
        <v>45444</v>
      </c>
    </row>
    <row r="133" spans="1:6" ht="15" x14ac:dyDescent="0.25">
      <c r="A133" s="9" t="s">
        <v>254</v>
      </c>
      <c r="B133" s="10" t="s">
        <v>220</v>
      </c>
      <c r="C133" s="10" t="s">
        <v>70</v>
      </c>
      <c r="D133" s="10" t="s">
        <v>30</v>
      </c>
      <c r="E133" s="11">
        <v>693.38</v>
      </c>
      <c r="F133" s="12">
        <v>45444</v>
      </c>
    </row>
    <row r="134" spans="1:6" ht="15" x14ac:dyDescent="0.25">
      <c r="A134" s="9" t="s">
        <v>254</v>
      </c>
      <c r="B134" s="10" t="s">
        <v>220</v>
      </c>
      <c r="C134" s="10" t="s">
        <v>70</v>
      </c>
      <c r="D134" s="10" t="s">
        <v>221</v>
      </c>
      <c r="E134" s="11">
        <v>140</v>
      </c>
      <c r="F134" s="12">
        <v>45444</v>
      </c>
    </row>
    <row r="135" spans="1:6" ht="15" x14ac:dyDescent="0.25">
      <c r="A135" s="9" t="s">
        <v>254</v>
      </c>
      <c r="B135" s="10" t="s">
        <v>220</v>
      </c>
      <c r="C135" s="10" t="s">
        <v>70</v>
      </c>
      <c r="D135" s="10" t="s">
        <v>43</v>
      </c>
      <c r="E135" s="11">
        <v>107</v>
      </c>
      <c r="F135" s="12">
        <v>45444</v>
      </c>
    </row>
    <row r="136" spans="1:6" ht="15" x14ac:dyDescent="0.25">
      <c r="A136" s="13" t="s">
        <v>255</v>
      </c>
      <c r="B136" s="14" t="s">
        <v>224</v>
      </c>
      <c r="C136" s="14" t="s">
        <v>157</v>
      </c>
      <c r="D136" s="10" t="s">
        <v>35</v>
      </c>
      <c r="E136" s="11">
        <v>517.5</v>
      </c>
      <c r="F136" s="12">
        <v>45809</v>
      </c>
    </row>
    <row r="137" spans="1:6" ht="15" x14ac:dyDescent="0.25">
      <c r="A137" s="13" t="s">
        <v>255</v>
      </c>
      <c r="B137" s="14" t="s">
        <v>224</v>
      </c>
      <c r="C137" s="14" t="s">
        <v>157</v>
      </c>
      <c r="D137" s="10" t="s">
        <v>30</v>
      </c>
      <c r="E137" s="11">
        <v>693.38</v>
      </c>
      <c r="F137" s="12">
        <v>45809</v>
      </c>
    </row>
    <row r="138" spans="1:6" ht="15" x14ac:dyDescent="0.25">
      <c r="A138" s="13" t="s">
        <v>255</v>
      </c>
      <c r="B138" s="14" t="s">
        <v>224</v>
      </c>
      <c r="C138" s="14" t="s">
        <v>157</v>
      </c>
      <c r="D138" s="10" t="s">
        <v>221</v>
      </c>
      <c r="E138" s="11">
        <v>140</v>
      </c>
      <c r="F138" s="12">
        <v>45809</v>
      </c>
    </row>
    <row r="139" spans="1:6" ht="15" x14ac:dyDescent="0.25">
      <c r="A139" s="13" t="s">
        <v>255</v>
      </c>
      <c r="B139" s="14" t="s">
        <v>224</v>
      </c>
      <c r="C139" s="14" t="s">
        <v>157</v>
      </c>
      <c r="D139" s="10" t="s">
        <v>43</v>
      </c>
      <c r="E139" s="11">
        <v>107</v>
      </c>
      <c r="F139" s="12">
        <v>45809</v>
      </c>
    </row>
    <row r="140" spans="1:6" ht="15" x14ac:dyDescent="0.25">
      <c r="A140" s="13" t="s">
        <v>256</v>
      </c>
      <c r="B140" s="14" t="s">
        <v>224</v>
      </c>
      <c r="C140" s="14" t="s">
        <v>161</v>
      </c>
      <c r="D140" s="10" t="s">
        <v>35</v>
      </c>
      <c r="E140" s="11">
        <v>499</v>
      </c>
      <c r="F140" s="12">
        <v>43831</v>
      </c>
    </row>
    <row r="141" spans="1:6" ht="15" x14ac:dyDescent="0.25">
      <c r="A141" s="13" t="s">
        <v>257</v>
      </c>
      <c r="B141" s="14" t="s">
        <v>224</v>
      </c>
      <c r="C141" s="14" t="s">
        <v>96</v>
      </c>
      <c r="D141" s="10" t="s">
        <v>174</v>
      </c>
      <c r="E141" s="11">
        <v>324</v>
      </c>
      <c r="F141" s="12">
        <v>45383</v>
      </c>
    </row>
    <row r="142" spans="1:6" ht="15" x14ac:dyDescent="0.25">
      <c r="A142" s="13" t="s">
        <v>257</v>
      </c>
      <c r="B142" s="14" t="s">
        <v>224</v>
      </c>
      <c r="C142" s="14" t="s">
        <v>96</v>
      </c>
      <c r="D142" s="10" t="s">
        <v>35</v>
      </c>
      <c r="E142" s="11">
        <v>493</v>
      </c>
      <c r="F142" s="12">
        <v>45383</v>
      </c>
    </row>
    <row r="143" spans="1:6" ht="15" x14ac:dyDescent="0.25">
      <c r="A143" s="13" t="s">
        <v>257</v>
      </c>
      <c r="B143" s="14" t="s">
        <v>224</v>
      </c>
      <c r="C143" s="14" t="s">
        <v>96</v>
      </c>
      <c r="D143" s="10" t="s">
        <v>30</v>
      </c>
      <c r="E143" s="11">
        <v>660</v>
      </c>
      <c r="F143" s="12">
        <v>45383</v>
      </c>
    </row>
    <row r="144" spans="1:6" ht="15" x14ac:dyDescent="0.25">
      <c r="A144" s="13" t="s">
        <v>257</v>
      </c>
      <c r="B144" s="14" t="s">
        <v>224</v>
      </c>
      <c r="C144" s="14" t="s">
        <v>96</v>
      </c>
      <c r="D144" s="10" t="s">
        <v>221</v>
      </c>
      <c r="E144" s="11">
        <v>128</v>
      </c>
      <c r="F144" s="12">
        <v>45383</v>
      </c>
    </row>
    <row r="145" spans="1:6" ht="15" x14ac:dyDescent="0.25">
      <c r="A145" s="13" t="s">
        <v>257</v>
      </c>
      <c r="B145" s="14" t="s">
        <v>224</v>
      </c>
      <c r="C145" s="14" t="s">
        <v>96</v>
      </c>
      <c r="D145" s="10" t="s">
        <v>43</v>
      </c>
      <c r="E145" s="11">
        <v>98</v>
      </c>
      <c r="F145" s="12">
        <v>45383</v>
      </c>
    </row>
    <row r="146" spans="1:6" ht="15" x14ac:dyDescent="0.25">
      <c r="A146" s="13" t="s">
        <v>258</v>
      </c>
      <c r="B146" s="14" t="s">
        <v>224</v>
      </c>
      <c r="C146" s="14" t="s">
        <v>154</v>
      </c>
      <c r="D146" s="10" t="s">
        <v>35</v>
      </c>
      <c r="E146" s="11">
        <v>518</v>
      </c>
      <c r="F146" s="12">
        <v>45597</v>
      </c>
    </row>
    <row r="147" spans="1:6" ht="15" x14ac:dyDescent="0.25">
      <c r="A147" s="13" t="s">
        <v>258</v>
      </c>
      <c r="B147" s="14" t="s">
        <v>224</v>
      </c>
      <c r="C147" s="14" t="s">
        <v>154</v>
      </c>
      <c r="D147" s="10" t="s">
        <v>30</v>
      </c>
      <c r="E147" s="11">
        <v>693</v>
      </c>
      <c r="F147" s="12">
        <v>45597</v>
      </c>
    </row>
    <row r="148" spans="1:6" ht="15" x14ac:dyDescent="0.25">
      <c r="A148" s="13" t="s">
        <v>258</v>
      </c>
      <c r="B148" s="14" t="s">
        <v>224</v>
      </c>
      <c r="C148" s="14" t="s">
        <v>154</v>
      </c>
      <c r="D148" s="10" t="s">
        <v>221</v>
      </c>
      <c r="E148" s="11">
        <v>140</v>
      </c>
      <c r="F148" s="12">
        <v>45597</v>
      </c>
    </row>
    <row r="149" spans="1:6" ht="15" x14ac:dyDescent="0.25">
      <c r="A149" s="13" t="s">
        <v>258</v>
      </c>
      <c r="B149" s="14" t="s">
        <v>224</v>
      </c>
      <c r="C149" s="14" t="s">
        <v>154</v>
      </c>
      <c r="D149" s="10" t="s">
        <v>43</v>
      </c>
      <c r="E149" s="11">
        <v>107</v>
      </c>
      <c r="F149" s="12">
        <v>45597</v>
      </c>
    </row>
    <row r="150" spans="1:6" ht="15" x14ac:dyDescent="0.25">
      <c r="A150" s="9" t="s">
        <v>258</v>
      </c>
      <c r="B150" s="10" t="s">
        <v>220</v>
      </c>
      <c r="C150" s="10" t="s">
        <v>83</v>
      </c>
      <c r="D150" s="10" t="s">
        <v>197</v>
      </c>
      <c r="E150" s="11">
        <v>176</v>
      </c>
      <c r="F150" s="12">
        <v>45597</v>
      </c>
    </row>
    <row r="151" spans="1:6" ht="15" x14ac:dyDescent="0.25">
      <c r="A151" s="9" t="s">
        <v>258</v>
      </c>
      <c r="B151" s="10" t="s">
        <v>220</v>
      </c>
      <c r="C151" s="10" t="s">
        <v>83</v>
      </c>
      <c r="D151" s="10" t="s">
        <v>174</v>
      </c>
      <c r="E151" s="11">
        <v>322</v>
      </c>
      <c r="F151" s="12">
        <v>45597</v>
      </c>
    </row>
    <row r="152" spans="1:6" ht="15" x14ac:dyDescent="0.25">
      <c r="A152" s="9" t="s">
        <v>258</v>
      </c>
      <c r="B152" s="10" t="s">
        <v>220</v>
      </c>
      <c r="C152" s="10" t="s">
        <v>83</v>
      </c>
      <c r="D152" s="10" t="s">
        <v>35</v>
      </c>
      <c r="E152" s="11">
        <v>518</v>
      </c>
      <c r="F152" s="12">
        <v>45597</v>
      </c>
    </row>
    <row r="153" spans="1:6" ht="15" x14ac:dyDescent="0.25">
      <c r="A153" s="9" t="s">
        <v>258</v>
      </c>
      <c r="B153" s="10" t="s">
        <v>220</v>
      </c>
      <c r="C153" s="10" t="s">
        <v>83</v>
      </c>
      <c r="D153" s="10" t="s">
        <v>30</v>
      </c>
      <c r="E153" s="11">
        <v>693</v>
      </c>
      <c r="F153" s="12">
        <v>45597</v>
      </c>
    </row>
    <row r="154" spans="1:6" ht="15" x14ac:dyDescent="0.25">
      <c r="A154" s="9" t="s">
        <v>258</v>
      </c>
      <c r="B154" s="10" t="s">
        <v>220</v>
      </c>
      <c r="C154" s="10" t="s">
        <v>83</v>
      </c>
      <c r="D154" s="10" t="s">
        <v>221</v>
      </c>
      <c r="E154" s="11">
        <v>140</v>
      </c>
      <c r="F154" s="12">
        <v>45597</v>
      </c>
    </row>
    <row r="155" spans="1:6" ht="15" x14ac:dyDescent="0.25">
      <c r="A155" s="9" t="s">
        <v>258</v>
      </c>
      <c r="B155" s="10" t="s">
        <v>220</v>
      </c>
      <c r="C155" s="10" t="s">
        <v>83</v>
      </c>
      <c r="D155" s="10" t="s">
        <v>43</v>
      </c>
      <c r="E155" s="11">
        <v>107</v>
      </c>
      <c r="F155" s="12">
        <v>45597</v>
      </c>
    </row>
    <row r="156" spans="1:6" ht="15" x14ac:dyDescent="0.25">
      <c r="A156" s="13" t="s">
        <v>259</v>
      </c>
      <c r="B156" s="14" t="s">
        <v>224</v>
      </c>
      <c r="C156" s="14" t="s">
        <v>147</v>
      </c>
      <c r="D156" s="10" t="s">
        <v>174</v>
      </c>
      <c r="E156" s="11">
        <v>346</v>
      </c>
      <c r="F156" s="12">
        <v>45658</v>
      </c>
    </row>
    <row r="157" spans="1:6" ht="15" x14ac:dyDescent="0.25">
      <c r="A157" s="13" t="s">
        <v>259</v>
      </c>
      <c r="B157" s="14" t="s">
        <v>224</v>
      </c>
      <c r="C157" s="14" t="s">
        <v>147</v>
      </c>
      <c r="D157" s="10" t="s">
        <v>35</v>
      </c>
      <c r="E157" s="11">
        <v>525.6</v>
      </c>
      <c r="F157" s="12">
        <v>45658</v>
      </c>
    </row>
    <row r="158" spans="1:6" ht="15" x14ac:dyDescent="0.25">
      <c r="A158" s="13" t="s">
        <v>259</v>
      </c>
      <c r="B158" s="14" t="s">
        <v>224</v>
      </c>
      <c r="C158" s="14" t="s">
        <v>147</v>
      </c>
      <c r="D158" s="10" t="s">
        <v>30</v>
      </c>
      <c r="E158" s="11">
        <v>704.4</v>
      </c>
      <c r="F158" s="12">
        <v>45658</v>
      </c>
    </row>
    <row r="159" spans="1:6" ht="15" x14ac:dyDescent="0.25">
      <c r="A159" s="13" t="s">
        <v>259</v>
      </c>
      <c r="B159" s="14" t="s">
        <v>224</v>
      </c>
      <c r="C159" s="14" t="s">
        <v>147</v>
      </c>
      <c r="D159" s="10" t="s">
        <v>221</v>
      </c>
      <c r="E159" s="11">
        <v>128</v>
      </c>
      <c r="F159" s="12">
        <v>45658</v>
      </c>
    </row>
    <row r="160" spans="1:6" ht="15" x14ac:dyDescent="0.25">
      <c r="A160" s="13" t="s">
        <v>259</v>
      </c>
      <c r="B160" s="14" t="s">
        <v>224</v>
      </c>
      <c r="C160" s="14" t="s">
        <v>147</v>
      </c>
      <c r="D160" s="10" t="s">
        <v>43</v>
      </c>
      <c r="E160" s="11">
        <v>98</v>
      </c>
      <c r="F160" s="12">
        <v>45658</v>
      </c>
    </row>
    <row r="161" spans="1:6" ht="15" x14ac:dyDescent="0.25">
      <c r="A161" s="13" t="s">
        <v>260</v>
      </c>
      <c r="B161" s="14" t="s">
        <v>224</v>
      </c>
      <c r="C161" s="14" t="s">
        <v>200</v>
      </c>
      <c r="D161" s="10" t="s">
        <v>35</v>
      </c>
      <c r="E161" s="11">
        <v>396</v>
      </c>
      <c r="F161" s="12">
        <v>42408</v>
      </c>
    </row>
    <row r="162" spans="1:6" ht="15" x14ac:dyDescent="0.25">
      <c r="A162" s="13" t="s">
        <v>260</v>
      </c>
      <c r="B162" s="14" t="s">
        <v>224</v>
      </c>
      <c r="C162" s="14" t="s">
        <v>200</v>
      </c>
      <c r="D162" s="10" t="s">
        <v>30</v>
      </c>
      <c r="E162" s="11">
        <v>512</v>
      </c>
      <c r="F162" s="12">
        <v>42408</v>
      </c>
    </row>
    <row r="163" spans="1:6" ht="15" x14ac:dyDescent="0.25">
      <c r="A163" s="13" t="s">
        <v>260</v>
      </c>
      <c r="B163" s="14" t="s">
        <v>224</v>
      </c>
      <c r="C163" s="14" t="s">
        <v>200</v>
      </c>
      <c r="D163" s="10" t="s">
        <v>221</v>
      </c>
      <c r="E163" s="11">
        <v>92</v>
      </c>
      <c r="F163" s="12">
        <v>42408</v>
      </c>
    </row>
    <row r="164" spans="1:6" ht="15" x14ac:dyDescent="0.25">
      <c r="A164" s="13" t="s">
        <v>261</v>
      </c>
      <c r="B164" s="14" t="s">
        <v>224</v>
      </c>
      <c r="C164" s="14" t="s">
        <v>190</v>
      </c>
      <c r="D164" s="10" t="s">
        <v>197</v>
      </c>
      <c r="E164" s="11">
        <v>178.8</v>
      </c>
      <c r="F164" s="12">
        <v>45566</v>
      </c>
    </row>
    <row r="165" spans="1:6" ht="15" x14ac:dyDescent="0.25">
      <c r="A165" s="13" t="s">
        <v>261</v>
      </c>
      <c r="B165" s="14" t="s">
        <v>224</v>
      </c>
      <c r="C165" s="14" t="s">
        <v>190</v>
      </c>
      <c r="D165" s="10" t="s">
        <v>174</v>
      </c>
      <c r="E165" s="11">
        <v>346</v>
      </c>
      <c r="F165" s="12">
        <v>45566</v>
      </c>
    </row>
    <row r="166" spans="1:6" ht="15" x14ac:dyDescent="0.25">
      <c r="A166" s="13" t="s">
        <v>261</v>
      </c>
      <c r="B166" s="14" t="s">
        <v>224</v>
      </c>
      <c r="C166" s="14" t="s">
        <v>190</v>
      </c>
      <c r="D166" s="10" t="s">
        <v>35</v>
      </c>
      <c r="E166" s="11">
        <v>525</v>
      </c>
      <c r="F166" s="12">
        <v>45566</v>
      </c>
    </row>
    <row r="167" spans="1:6" ht="15" x14ac:dyDescent="0.25">
      <c r="A167" s="13" t="s">
        <v>261</v>
      </c>
      <c r="B167" s="14" t="s">
        <v>224</v>
      </c>
      <c r="C167" s="14" t="s">
        <v>190</v>
      </c>
      <c r="D167" s="10" t="s">
        <v>30</v>
      </c>
      <c r="E167" s="11">
        <v>704.4</v>
      </c>
      <c r="F167" s="12">
        <v>45566</v>
      </c>
    </row>
    <row r="168" spans="1:6" ht="15" x14ac:dyDescent="0.25">
      <c r="A168" s="13" t="s">
        <v>261</v>
      </c>
      <c r="B168" s="14" t="s">
        <v>224</v>
      </c>
      <c r="C168" s="14" t="s">
        <v>190</v>
      </c>
      <c r="D168" s="10" t="s">
        <v>221</v>
      </c>
      <c r="E168" s="11">
        <v>128</v>
      </c>
      <c r="F168" s="12">
        <v>45566</v>
      </c>
    </row>
    <row r="169" spans="1:6" ht="15" x14ac:dyDescent="0.25">
      <c r="A169" s="13" t="s">
        <v>261</v>
      </c>
      <c r="B169" s="14" t="s">
        <v>224</v>
      </c>
      <c r="C169" s="14" t="s">
        <v>190</v>
      </c>
      <c r="D169" s="10" t="s">
        <v>43</v>
      </c>
      <c r="E169" s="11">
        <v>98</v>
      </c>
      <c r="F169" s="12">
        <v>45566</v>
      </c>
    </row>
    <row r="170" spans="1:6" ht="15" x14ac:dyDescent="0.25">
      <c r="A170" s="13" t="s">
        <v>262</v>
      </c>
      <c r="B170" s="14" t="s">
        <v>263</v>
      </c>
      <c r="C170" s="14" t="s">
        <v>149</v>
      </c>
      <c r="D170" s="10" t="s">
        <v>197</v>
      </c>
      <c r="E170" s="16">
        <v>178.8</v>
      </c>
      <c r="F170" s="12">
        <v>45566</v>
      </c>
    </row>
    <row r="171" spans="1:6" ht="15" x14ac:dyDescent="0.25">
      <c r="A171" s="13" t="s">
        <v>262</v>
      </c>
      <c r="B171" s="14" t="s">
        <v>263</v>
      </c>
      <c r="C171" s="14" t="s">
        <v>149</v>
      </c>
      <c r="D171" s="10" t="s">
        <v>174</v>
      </c>
      <c r="E171" s="16">
        <v>346</v>
      </c>
      <c r="F171" s="12">
        <v>45566</v>
      </c>
    </row>
    <row r="172" spans="1:6" ht="15" x14ac:dyDescent="0.25">
      <c r="A172" s="13" t="s">
        <v>262</v>
      </c>
      <c r="B172" s="14" t="s">
        <v>263</v>
      </c>
      <c r="C172" s="14" t="s">
        <v>149</v>
      </c>
      <c r="D172" s="10" t="s">
        <v>35</v>
      </c>
      <c r="E172" s="16">
        <v>525</v>
      </c>
      <c r="F172" s="12">
        <v>45566</v>
      </c>
    </row>
    <row r="173" spans="1:6" ht="15" x14ac:dyDescent="0.25">
      <c r="A173" s="13" t="s">
        <v>262</v>
      </c>
      <c r="B173" s="14" t="s">
        <v>263</v>
      </c>
      <c r="C173" s="14" t="s">
        <v>149</v>
      </c>
      <c r="D173" s="10" t="s">
        <v>30</v>
      </c>
      <c r="E173" s="16">
        <v>704.4</v>
      </c>
      <c r="F173" s="12">
        <v>45566</v>
      </c>
    </row>
    <row r="174" spans="1:6" ht="15" x14ac:dyDescent="0.25">
      <c r="A174" s="13" t="s">
        <v>262</v>
      </c>
      <c r="B174" s="14" t="s">
        <v>263</v>
      </c>
      <c r="C174" s="14" t="s">
        <v>149</v>
      </c>
      <c r="D174" s="10" t="s">
        <v>221</v>
      </c>
      <c r="E174" s="11">
        <v>128</v>
      </c>
      <c r="F174" s="12">
        <v>45566</v>
      </c>
    </row>
    <row r="175" spans="1:6" ht="15" x14ac:dyDescent="0.25">
      <c r="A175" s="13" t="s">
        <v>262</v>
      </c>
      <c r="B175" s="14" t="s">
        <v>263</v>
      </c>
      <c r="C175" s="14" t="s">
        <v>149</v>
      </c>
      <c r="D175" s="10" t="s">
        <v>43</v>
      </c>
      <c r="E175" s="11">
        <v>98</v>
      </c>
      <c r="F175" s="12">
        <v>45566</v>
      </c>
    </row>
    <row r="176" spans="1:6" ht="15" x14ac:dyDescent="0.25">
      <c r="A176" s="13" t="s">
        <v>264</v>
      </c>
      <c r="B176" s="14" t="s">
        <v>224</v>
      </c>
      <c r="C176" s="14" t="s">
        <v>146</v>
      </c>
      <c r="D176" s="10" t="s">
        <v>35</v>
      </c>
      <c r="E176" s="11">
        <v>533</v>
      </c>
      <c r="F176" s="12">
        <v>45292</v>
      </c>
    </row>
    <row r="177" spans="1:6" ht="15" x14ac:dyDescent="0.25">
      <c r="A177" s="13" t="s">
        <v>264</v>
      </c>
      <c r="B177" s="14" t="s">
        <v>224</v>
      </c>
      <c r="C177" s="14" t="s">
        <v>146</v>
      </c>
      <c r="D177" s="10" t="s">
        <v>221</v>
      </c>
      <c r="E177" s="11">
        <v>144</v>
      </c>
      <c r="F177" s="12">
        <v>45292</v>
      </c>
    </row>
    <row r="178" spans="1:6" ht="15" x14ac:dyDescent="0.25">
      <c r="A178" s="13" t="s">
        <v>265</v>
      </c>
      <c r="B178" s="14" t="s">
        <v>224</v>
      </c>
      <c r="C178" s="14" t="s">
        <v>163</v>
      </c>
      <c r="D178" s="10" t="s">
        <v>35</v>
      </c>
      <c r="E178" s="11">
        <v>493</v>
      </c>
      <c r="F178" s="12">
        <v>45292</v>
      </c>
    </row>
    <row r="179" spans="1:6" ht="15" x14ac:dyDescent="0.25">
      <c r="A179" s="13" t="s">
        <v>265</v>
      </c>
      <c r="B179" s="14" t="s">
        <v>224</v>
      </c>
      <c r="C179" s="14" t="s">
        <v>163</v>
      </c>
      <c r="D179" s="10" t="s">
        <v>221</v>
      </c>
      <c r="E179" s="11">
        <v>128</v>
      </c>
      <c r="F179" s="12">
        <v>45292</v>
      </c>
    </row>
    <row r="180" spans="1:6" ht="15" x14ac:dyDescent="0.25">
      <c r="A180" s="13" t="s">
        <v>266</v>
      </c>
      <c r="B180" s="14" t="s">
        <v>224</v>
      </c>
      <c r="C180" s="14" t="s">
        <v>88</v>
      </c>
      <c r="D180" s="10" t="s">
        <v>35</v>
      </c>
      <c r="E180" s="11">
        <v>552</v>
      </c>
      <c r="F180" s="12">
        <v>45323</v>
      </c>
    </row>
    <row r="181" spans="1:6" ht="15" x14ac:dyDescent="0.25">
      <c r="A181" s="13" t="s">
        <v>266</v>
      </c>
      <c r="B181" s="14" t="s">
        <v>224</v>
      </c>
      <c r="C181" s="14" t="s">
        <v>88</v>
      </c>
      <c r="D181" s="10" t="s">
        <v>30</v>
      </c>
      <c r="E181" s="11">
        <v>690</v>
      </c>
      <c r="F181" s="12">
        <v>45323</v>
      </c>
    </row>
    <row r="182" spans="1:6" ht="15" x14ac:dyDescent="0.25">
      <c r="A182" s="13" t="s">
        <v>266</v>
      </c>
      <c r="B182" s="14" t="s">
        <v>224</v>
      </c>
      <c r="C182" s="14" t="s">
        <v>88</v>
      </c>
      <c r="D182" s="10" t="s">
        <v>221</v>
      </c>
      <c r="E182" s="11">
        <v>128</v>
      </c>
      <c r="F182" s="12">
        <v>45323</v>
      </c>
    </row>
    <row r="183" spans="1:6" ht="15" x14ac:dyDescent="0.25">
      <c r="A183" s="13" t="s">
        <v>267</v>
      </c>
      <c r="B183" s="14" t="s">
        <v>224</v>
      </c>
      <c r="C183" s="14" t="s">
        <v>112</v>
      </c>
      <c r="D183" s="10" t="s">
        <v>197</v>
      </c>
      <c r="E183" s="11">
        <v>199</v>
      </c>
      <c r="F183" s="12">
        <v>45658</v>
      </c>
    </row>
    <row r="184" spans="1:6" ht="15" x14ac:dyDescent="0.25">
      <c r="A184" s="13" t="s">
        <v>267</v>
      </c>
      <c r="B184" s="14" t="s">
        <v>224</v>
      </c>
      <c r="C184" s="14" t="s">
        <v>112</v>
      </c>
      <c r="D184" s="10" t="s">
        <v>174</v>
      </c>
      <c r="E184" s="11">
        <v>386</v>
      </c>
      <c r="F184" s="12">
        <v>45658</v>
      </c>
    </row>
    <row r="185" spans="1:6" ht="15" x14ac:dyDescent="0.25">
      <c r="A185" s="13" t="s">
        <v>267</v>
      </c>
      <c r="B185" s="14" t="s">
        <v>224</v>
      </c>
      <c r="C185" s="14" t="s">
        <v>112</v>
      </c>
      <c r="D185" s="10" t="s">
        <v>35</v>
      </c>
      <c r="E185" s="11">
        <v>586.5</v>
      </c>
      <c r="F185" s="12">
        <v>45658</v>
      </c>
    </row>
    <row r="186" spans="1:6" ht="15" x14ac:dyDescent="0.25">
      <c r="A186" s="13" t="s">
        <v>267</v>
      </c>
      <c r="B186" s="14" t="s">
        <v>224</v>
      </c>
      <c r="C186" s="14" t="s">
        <v>112</v>
      </c>
      <c r="D186" s="10" t="s">
        <v>30</v>
      </c>
      <c r="E186" s="11">
        <v>786</v>
      </c>
      <c r="F186" s="12">
        <v>45658</v>
      </c>
    </row>
    <row r="187" spans="1:6" ht="15" x14ac:dyDescent="0.25">
      <c r="A187" s="13" t="s">
        <v>267</v>
      </c>
      <c r="B187" s="14" t="s">
        <v>224</v>
      </c>
      <c r="C187" s="14" t="s">
        <v>112</v>
      </c>
      <c r="D187" s="10" t="s">
        <v>221</v>
      </c>
      <c r="E187" s="11">
        <v>140</v>
      </c>
      <c r="F187" s="12">
        <v>45658</v>
      </c>
    </row>
    <row r="188" spans="1:6" ht="15" x14ac:dyDescent="0.25">
      <c r="A188" s="13" t="s">
        <v>267</v>
      </c>
      <c r="B188" s="14" t="s">
        <v>224</v>
      </c>
      <c r="C188" s="14" t="s">
        <v>112</v>
      </c>
      <c r="D188" s="10" t="s">
        <v>43</v>
      </c>
      <c r="E188" s="11">
        <v>107</v>
      </c>
      <c r="F188" s="12">
        <v>45658</v>
      </c>
    </row>
    <row r="189" spans="1:6" ht="15" x14ac:dyDescent="0.25">
      <c r="A189" s="9" t="s">
        <v>268</v>
      </c>
      <c r="B189" s="10" t="s">
        <v>220</v>
      </c>
      <c r="C189" s="10" t="s">
        <v>162</v>
      </c>
      <c r="D189" s="10" t="s">
        <v>35</v>
      </c>
      <c r="E189" s="11">
        <v>378</v>
      </c>
      <c r="F189" s="12">
        <v>43374</v>
      </c>
    </row>
    <row r="190" spans="1:6" ht="15" x14ac:dyDescent="0.25">
      <c r="A190" s="9" t="s">
        <v>268</v>
      </c>
      <c r="B190" s="10" t="s">
        <v>220</v>
      </c>
      <c r="C190" s="10" t="s">
        <v>162</v>
      </c>
      <c r="D190" s="10" t="s">
        <v>30</v>
      </c>
      <c r="E190" s="11">
        <v>499</v>
      </c>
      <c r="F190" s="12">
        <v>43374</v>
      </c>
    </row>
    <row r="191" spans="1:6" ht="15" x14ac:dyDescent="0.25">
      <c r="A191" s="9" t="s">
        <v>268</v>
      </c>
      <c r="B191" s="10" t="s">
        <v>220</v>
      </c>
      <c r="C191" s="10" t="s">
        <v>162</v>
      </c>
      <c r="D191" s="10" t="s">
        <v>221</v>
      </c>
      <c r="E191" s="11">
        <v>92</v>
      </c>
      <c r="F191" s="12">
        <v>43374</v>
      </c>
    </row>
    <row r="192" spans="1:6" ht="15" x14ac:dyDescent="0.25">
      <c r="A192" s="13" t="s">
        <v>269</v>
      </c>
      <c r="B192" s="14" t="s">
        <v>224</v>
      </c>
      <c r="C192" s="14" t="s">
        <v>180</v>
      </c>
      <c r="D192" s="10" t="s">
        <v>35</v>
      </c>
      <c r="E192" s="11">
        <v>417</v>
      </c>
      <c r="F192" s="12">
        <v>44197</v>
      </c>
    </row>
    <row r="193" spans="1:6" ht="15" x14ac:dyDescent="0.25">
      <c r="A193" s="13" t="s">
        <v>269</v>
      </c>
      <c r="B193" s="14" t="s">
        <v>224</v>
      </c>
      <c r="C193" s="14" t="s">
        <v>180</v>
      </c>
      <c r="D193" s="10" t="s">
        <v>221</v>
      </c>
      <c r="E193" s="11">
        <v>102</v>
      </c>
      <c r="F193" s="12">
        <v>44197</v>
      </c>
    </row>
    <row r="194" spans="1:6" ht="15" x14ac:dyDescent="0.25">
      <c r="A194" s="13" t="s">
        <v>270</v>
      </c>
      <c r="B194" s="14" t="s">
        <v>224</v>
      </c>
      <c r="C194" s="14" t="s">
        <v>52</v>
      </c>
      <c r="D194" s="10" t="s">
        <v>174</v>
      </c>
      <c r="E194" s="11">
        <v>357</v>
      </c>
      <c r="F194" s="12" t="s">
        <v>271</v>
      </c>
    </row>
    <row r="195" spans="1:6" ht="15" x14ac:dyDescent="0.25">
      <c r="A195" s="13" t="s">
        <v>270</v>
      </c>
      <c r="B195" s="14" t="s">
        <v>224</v>
      </c>
      <c r="C195" s="14" t="s">
        <v>52</v>
      </c>
      <c r="D195" s="10" t="s">
        <v>35</v>
      </c>
      <c r="E195" s="11">
        <v>543</v>
      </c>
      <c r="F195" s="12" t="s">
        <v>271</v>
      </c>
    </row>
    <row r="196" spans="1:6" ht="15" x14ac:dyDescent="0.25">
      <c r="A196" s="13" t="s">
        <v>270</v>
      </c>
      <c r="B196" s="14" t="s">
        <v>224</v>
      </c>
      <c r="C196" s="14" t="s">
        <v>52</v>
      </c>
      <c r="D196" s="10" t="s">
        <v>30</v>
      </c>
      <c r="E196" s="11">
        <v>728</v>
      </c>
      <c r="F196" s="12" t="s">
        <v>271</v>
      </c>
    </row>
    <row r="197" spans="1:6" ht="15" x14ac:dyDescent="0.25">
      <c r="A197" s="13" t="s">
        <v>270</v>
      </c>
      <c r="B197" s="14" t="s">
        <v>224</v>
      </c>
      <c r="C197" s="14" t="s">
        <v>52</v>
      </c>
      <c r="D197" s="10" t="s">
        <v>221</v>
      </c>
      <c r="E197" s="11">
        <v>147</v>
      </c>
      <c r="F197" s="12" t="s">
        <v>271</v>
      </c>
    </row>
    <row r="198" spans="1:6" ht="15" x14ac:dyDescent="0.25">
      <c r="A198" s="13" t="s">
        <v>270</v>
      </c>
      <c r="B198" s="14" t="s">
        <v>224</v>
      </c>
      <c r="C198" s="14" t="s">
        <v>52</v>
      </c>
      <c r="D198" s="10" t="s">
        <v>43</v>
      </c>
      <c r="E198" s="11">
        <v>112</v>
      </c>
      <c r="F198" s="12" t="s">
        <v>271</v>
      </c>
    </row>
    <row r="199" spans="1:6" ht="15" x14ac:dyDescent="0.25">
      <c r="A199" s="13" t="s">
        <v>272</v>
      </c>
      <c r="B199" s="14" t="s">
        <v>224</v>
      </c>
      <c r="C199" s="14" t="s">
        <v>44</v>
      </c>
      <c r="D199" s="10" t="s">
        <v>35</v>
      </c>
      <c r="E199" s="11">
        <v>586.5</v>
      </c>
      <c r="F199" s="12">
        <v>45444</v>
      </c>
    </row>
    <row r="200" spans="1:6" ht="15" x14ac:dyDescent="0.25">
      <c r="A200" s="13" t="s">
        <v>272</v>
      </c>
      <c r="B200" s="14" t="s">
        <v>224</v>
      </c>
      <c r="C200" s="14" t="s">
        <v>44</v>
      </c>
      <c r="D200" s="10" t="s">
        <v>30</v>
      </c>
      <c r="E200" s="11">
        <v>786</v>
      </c>
      <c r="F200" s="12">
        <v>45444</v>
      </c>
    </row>
    <row r="201" spans="1:6" ht="15" x14ac:dyDescent="0.25">
      <c r="A201" s="13" t="s">
        <v>272</v>
      </c>
      <c r="B201" s="14" t="s">
        <v>224</v>
      </c>
      <c r="C201" s="14" t="s">
        <v>44</v>
      </c>
      <c r="D201" s="10" t="s">
        <v>221</v>
      </c>
      <c r="E201" s="11">
        <v>140</v>
      </c>
      <c r="F201" s="12">
        <v>45444</v>
      </c>
    </row>
    <row r="202" spans="1:6" ht="15" x14ac:dyDescent="0.25">
      <c r="A202" s="13" t="s">
        <v>273</v>
      </c>
      <c r="B202" s="14" t="s">
        <v>224</v>
      </c>
      <c r="C202" s="14" t="s">
        <v>94</v>
      </c>
      <c r="D202" s="10" t="s">
        <v>35</v>
      </c>
      <c r="E202" s="11">
        <v>493</v>
      </c>
      <c r="F202" s="12">
        <v>45292</v>
      </c>
    </row>
    <row r="203" spans="1:6" ht="15" x14ac:dyDescent="0.25">
      <c r="A203" s="13" t="s">
        <v>273</v>
      </c>
      <c r="B203" s="14" t="s">
        <v>224</v>
      </c>
      <c r="C203" s="14" t="s">
        <v>94</v>
      </c>
      <c r="D203" s="10" t="s">
        <v>30</v>
      </c>
      <c r="E203" s="11">
        <v>660</v>
      </c>
      <c r="F203" s="12">
        <v>45292</v>
      </c>
    </row>
    <row r="204" spans="1:6" ht="15" x14ac:dyDescent="0.25">
      <c r="A204" s="13" t="s">
        <v>273</v>
      </c>
      <c r="B204" s="14" t="s">
        <v>224</v>
      </c>
      <c r="C204" s="14" t="s">
        <v>94</v>
      </c>
      <c r="D204" s="10" t="s">
        <v>221</v>
      </c>
      <c r="E204" s="11">
        <v>128</v>
      </c>
      <c r="F204" s="12">
        <v>45292</v>
      </c>
    </row>
    <row r="205" spans="1:6" ht="15" x14ac:dyDescent="0.25">
      <c r="A205" s="13" t="s">
        <v>274</v>
      </c>
      <c r="B205" s="14" t="s">
        <v>224</v>
      </c>
      <c r="C205" s="14" t="s">
        <v>117</v>
      </c>
      <c r="D205" s="10" t="s">
        <v>35</v>
      </c>
      <c r="E205" s="11">
        <v>430</v>
      </c>
      <c r="F205" s="12">
        <v>43007</v>
      </c>
    </row>
    <row r="206" spans="1:6" ht="15" x14ac:dyDescent="0.25">
      <c r="A206" s="13" t="s">
        <v>274</v>
      </c>
      <c r="B206" s="14" t="s">
        <v>224</v>
      </c>
      <c r="C206" s="14" t="s">
        <v>117</v>
      </c>
      <c r="D206" s="10" t="s">
        <v>30</v>
      </c>
      <c r="E206" s="11">
        <v>575</v>
      </c>
      <c r="F206" s="12">
        <v>43007</v>
      </c>
    </row>
    <row r="207" spans="1:6" ht="15" x14ac:dyDescent="0.25">
      <c r="A207" s="13" t="s">
        <v>274</v>
      </c>
      <c r="B207" s="14" t="s">
        <v>224</v>
      </c>
      <c r="C207" s="14" t="s">
        <v>117</v>
      </c>
      <c r="D207" s="10" t="s">
        <v>221</v>
      </c>
      <c r="E207" s="11">
        <v>98</v>
      </c>
      <c r="F207" s="12">
        <v>43007</v>
      </c>
    </row>
    <row r="208" spans="1:6" ht="15" x14ac:dyDescent="0.25">
      <c r="A208" s="13" t="s">
        <v>275</v>
      </c>
      <c r="B208" s="14" t="s">
        <v>224</v>
      </c>
      <c r="C208" s="14" t="s">
        <v>81</v>
      </c>
      <c r="D208" s="10" t="s">
        <v>35</v>
      </c>
      <c r="E208" s="11">
        <v>517.5</v>
      </c>
      <c r="F208" s="12">
        <v>45566</v>
      </c>
    </row>
    <row r="209" spans="1:6" ht="15" x14ac:dyDescent="0.25">
      <c r="A209" s="13" t="s">
        <v>275</v>
      </c>
      <c r="B209" s="14" t="s">
        <v>224</v>
      </c>
      <c r="C209" s="14" t="s">
        <v>81</v>
      </c>
      <c r="D209" s="10" t="s">
        <v>30</v>
      </c>
      <c r="E209" s="11">
        <v>693</v>
      </c>
      <c r="F209" s="12">
        <v>45566</v>
      </c>
    </row>
    <row r="210" spans="1:6" ht="15" x14ac:dyDescent="0.25">
      <c r="A210" s="13" t="s">
        <v>275</v>
      </c>
      <c r="B210" s="14" t="s">
        <v>224</v>
      </c>
      <c r="C210" s="14" t="s">
        <v>81</v>
      </c>
      <c r="D210" s="10" t="s">
        <v>221</v>
      </c>
      <c r="E210" s="11">
        <v>140</v>
      </c>
      <c r="F210" s="12">
        <v>45566</v>
      </c>
    </row>
    <row r="211" spans="1:6" ht="15" x14ac:dyDescent="0.25">
      <c r="A211" s="13" t="s">
        <v>275</v>
      </c>
      <c r="B211" s="14" t="s">
        <v>224</v>
      </c>
      <c r="C211" s="14" t="s">
        <v>81</v>
      </c>
      <c r="D211" s="10" t="s">
        <v>43</v>
      </c>
      <c r="E211" s="11">
        <v>107</v>
      </c>
      <c r="F211" s="12">
        <v>45566</v>
      </c>
    </row>
    <row r="212" spans="1:6" ht="15" x14ac:dyDescent="0.25">
      <c r="A212" s="13" t="s">
        <v>276</v>
      </c>
      <c r="B212" s="14" t="s">
        <v>224</v>
      </c>
      <c r="C212" s="14" t="s">
        <v>148</v>
      </c>
      <c r="D212" s="10" t="s">
        <v>35</v>
      </c>
      <c r="E212" s="16">
        <v>525</v>
      </c>
      <c r="F212" s="12">
        <v>44279</v>
      </c>
    </row>
    <row r="213" spans="1:6" ht="15" x14ac:dyDescent="0.25">
      <c r="A213" s="13" t="s">
        <v>276</v>
      </c>
      <c r="B213" s="14" t="s">
        <v>224</v>
      </c>
      <c r="C213" s="14" t="s">
        <v>148</v>
      </c>
      <c r="D213" s="10" t="s">
        <v>221</v>
      </c>
      <c r="E213" s="11">
        <v>109</v>
      </c>
      <c r="F213" s="12">
        <v>44279</v>
      </c>
    </row>
    <row r="214" spans="1:6" ht="15" x14ac:dyDescent="0.25">
      <c r="A214" s="13" t="s">
        <v>277</v>
      </c>
      <c r="B214" s="14" t="s">
        <v>224</v>
      </c>
      <c r="C214" s="14" t="s">
        <v>85</v>
      </c>
      <c r="D214" s="10" t="s">
        <v>35</v>
      </c>
      <c r="E214" s="16">
        <v>518</v>
      </c>
      <c r="F214" s="12">
        <v>45597</v>
      </c>
    </row>
    <row r="215" spans="1:6" ht="15" x14ac:dyDescent="0.25">
      <c r="A215" s="13" t="s">
        <v>277</v>
      </c>
      <c r="B215" s="14" t="s">
        <v>224</v>
      </c>
      <c r="C215" s="14" t="s">
        <v>85</v>
      </c>
      <c r="D215" s="10" t="s">
        <v>30</v>
      </c>
      <c r="E215" s="16">
        <v>693</v>
      </c>
      <c r="F215" s="12">
        <v>45597</v>
      </c>
    </row>
    <row r="216" spans="1:6" ht="15" x14ac:dyDescent="0.25">
      <c r="A216" s="13" t="s">
        <v>277</v>
      </c>
      <c r="B216" s="14" t="s">
        <v>224</v>
      </c>
      <c r="C216" s="14" t="s">
        <v>85</v>
      </c>
      <c r="D216" s="10" t="s">
        <v>221</v>
      </c>
      <c r="E216" s="11">
        <v>140</v>
      </c>
      <c r="F216" s="12">
        <v>45597</v>
      </c>
    </row>
    <row r="217" spans="1:6" ht="15" x14ac:dyDescent="0.25">
      <c r="A217" s="13" t="s">
        <v>277</v>
      </c>
      <c r="B217" s="14" t="s">
        <v>224</v>
      </c>
      <c r="C217" s="14" t="s">
        <v>85</v>
      </c>
      <c r="D217" s="10" t="s">
        <v>43</v>
      </c>
      <c r="E217" s="11">
        <v>107</v>
      </c>
      <c r="F217" s="12">
        <v>45597</v>
      </c>
    </row>
    <row r="218" spans="1:6" ht="15" x14ac:dyDescent="0.25">
      <c r="A218" s="13" t="s">
        <v>278</v>
      </c>
      <c r="B218" s="14" t="s">
        <v>224</v>
      </c>
      <c r="C218" s="14" t="s">
        <v>189</v>
      </c>
      <c r="D218" s="10" t="s">
        <v>174</v>
      </c>
      <c r="E218" s="16">
        <v>377</v>
      </c>
      <c r="F218" s="12">
        <v>45748</v>
      </c>
    </row>
    <row r="219" spans="1:6" ht="15" x14ac:dyDescent="0.25">
      <c r="A219" s="13" t="s">
        <v>278</v>
      </c>
      <c r="B219" s="14" t="s">
        <v>224</v>
      </c>
      <c r="C219" s="14" t="s">
        <v>189</v>
      </c>
      <c r="D219" s="10" t="s">
        <v>221</v>
      </c>
      <c r="E219" s="11">
        <v>140</v>
      </c>
      <c r="F219" s="12">
        <v>45748</v>
      </c>
    </row>
    <row r="220" spans="1:6" ht="15" x14ac:dyDescent="0.25">
      <c r="A220" s="13" t="s">
        <v>278</v>
      </c>
      <c r="B220" s="14" t="s">
        <v>224</v>
      </c>
      <c r="C220" s="14" t="s">
        <v>189</v>
      </c>
      <c r="D220" s="10" t="s">
        <v>43</v>
      </c>
      <c r="E220" s="11">
        <v>107</v>
      </c>
      <c r="F220" s="12">
        <v>45748</v>
      </c>
    </row>
    <row r="221" spans="1:6" ht="15" x14ac:dyDescent="0.25">
      <c r="A221" s="13" t="s">
        <v>279</v>
      </c>
      <c r="B221" s="14" t="s">
        <v>224</v>
      </c>
      <c r="C221" s="14" t="s">
        <v>90</v>
      </c>
      <c r="D221" s="10" t="s">
        <v>35</v>
      </c>
      <c r="E221" s="16">
        <v>492.75</v>
      </c>
      <c r="F221" s="12">
        <v>45505</v>
      </c>
    </row>
    <row r="222" spans="1:6" ht="15" x14ac:dyDescent="0.25">
      <c r="A222" s="13" t="s">
        <v>279</v>
      </c>
      <c r="B222" s="14" t="s">
        <v>224</v>
      </c>
      <c r="C222" s="14" t="s">
        <v>90</v>
      </c>
      <c r="D222" s="10" t="s">
        <v>30</v>
      </c>
      <c r="E222" s="16">
        <v>660.38</v>
      </c>
      <c r="F222" s="12">
        <v>45505</v>
      </c>
    </row>
    <row r="223" spans="1:6" ht="15" x14ac:dyDescent="0.25">
      <c r="A223" s="13" t="s">
        <v>279</v>
      </c>
      <c r="B223" s="14" t="s">
        <v>224</v>
      </c>
      <c r="C223" s="14" t="s">
        <v>90</v>
      </c>
      <c r="D223" s="10" t="s">
        <v>221</v>
      </c>
      <c r="E223" s="11">
        <v>128</v>
      </c>
      <c r="F223" s="12">
        <v>45505</v>
      </c>
    </row>
    <row r="224" spans="1:6" ht="15" x14ac:dyDescent="0.25">
      <c r="A224" s="13" t="s">
        <v>279</v>
      </c>
      <c r="B224" s="14" t="s">
        <v>224</v>
      </c>
      <c r="C224" s="14" t="s">
        <v>90</v>
      </c>
      <c r="D224" s="10" t="s">
        <v>43</v>
      </c>
      <c r="E224" s="11">
        <v>98</v>
      </c>
      <c r="F224" s="12">
        <v>45505</v>
      </c>
    </row>
    <row r="225" spans="1:6" ht="15" x14ac:dyDescent="0.25">
      <c r="A225" s="13" t="s">
        <v>280</v>
      </c>
      <c r="B225" s="14" t="s">
        <v>224</v>
      </c>
      <c r="C225" s="14" t="s">
        <v>126</v>
      </c>
      <c r="D225" s="10" t="s">
        <v>35</v>
      </c>
      <c r="E225" s="16">
        <v>552</v>
      </c>
      <c r="F225" s="12">
        <v>45352</v>
      </c>
    </row>
    <row r="226" spans="1:6" ht="15" x14ac:dyDescent="0.25">
      <c r="A226" s="13" t="s">
        <v>280</v>
      </c>
      <c r="B226" s="14" t="s">
        <v>224</v>
      </c>
      <c r="C226" s="14" t="s">
        <v>126</v>
      </c>
      <c r="D226" s="10" t="s">
        <v>221</v>
      </c>
      <c r="E226" s="11">
        <v>140</v>
      </c>
      <c r="F226" s="12">
        <v>45352</v>
      </c>
    </row>
    <row r="227" spans="1:6" ht="15" x14ac:dyDescent="0.25">
      <c r="A227" s="13" t="s">
        <v>281</v>
      </c>
      <c r="B227" s="14" t="s">
        <v>224</v>
      </c>
      <c r="C227" s="14" t="s">
        <v>39</v>
      </c>
      <c r="D227" s="10" t="s">
        <v>197</v>
      </c>
      <c r="E227" s="16">
        <v>199</v>
      </c>
      <c r="F227" s="12">
        <v>45839</v>
      </c>
    </row>
    <row r="228" spans="1:6" ht="15" x14ac:dyDescent="0.25">
      <c r="A228" s="13" t="s">
        <v>281</v>
      </c>
      <c r="B228" s="14" t="s">
        <v>224</v>
      </c>
      <c r="C228" s="14" t="s">
        <v>39</v>
      </c>
      <c r="D228" s="10" t="s">
        <v>174</v>
      </c>
      <c r="E228" s="16">
        <v>386</v>
      </c>
      <c r="F228" s="12">
        <v>45839</v>
      </c>
    </row>
    <row r="229" spans="1:6" ht="15" x14ac:dyDescent="0.25">
      <c r="A229" s="13" t="s">
        <v>281</v>
      </c>
      <c r="B229" s="14" t="s">
        <v>224</v>
      </c>
      <c r="C229" s="14" t="s">
        <v>39</v>
      </c>
      <c r="D229" s="10" t="s">
        <v>35</v>
      </c>
      <c r="E229" s="16">
        <v>586.5</v>
      </c>
      <c r="F229" s="12">
        <v>45839</v>
      </c>
    </row>
    <row r="230" spans="1:6" ht="15" x14ac:dyDescent="0.25">
      <c r="A230" s="13" t="s">
        <v>281</v>
      </c>
      <c r="B230" s="14" t="s">
        <v>224</v>
      </c>
      <c r="C230" s="14" t="s">
        <v>39</v>
      </c>
      <c r="D230" s="10" t="s">
        <v>30</v>
      </c>
      <c r="E230" s="16">
        <v>786</v>
      </c>
      <c r="F230" s="12">
        <v>45839</v>
      </c>
    </row>
    <row r="231" spans="1:6" ht="15" x14ac:dyDescent="0.25">
      <c r="A231" s="13" t="s">
        <v>281</v>
      </c>
      <c r="B231" s="14" t="s">
        <v>224</v>
      </c>
      <c r="C231" s="14" t="s">
        <v>39</v>
      </c>
      <c r="D231" s="10" t="s">
        <v>221</v>
      </c>
      <c r="E231" s="11">
        <v>140</v>
      </c>
      <c r="F231" s="12">
        <v>45839</v>
      </c>
    </row>
    <row r="232" spans="1:6" ht="15" x14ac:dyDescent="0.25">
      <c r="A232" s="13" t="s">
        <v>281</v>
      </c>
      <c r="B232" s="14" t="s">
        <v>224</v>
      </c>
      <c r="C232" s="14" t="s">
        <v>39</v>
      </c>
      <c r="D232" s="10" t="s">
        <v>43</v>
      </c>
      <c r="E232" s="11">
        <v>107</v>
      </c>
      <c r="F232" s="12">
        <v>45839</v>
      </c>
    </row>
    <row r="233" spans="1:6" ht="15" x14ac:dyDescent="0.25">
      <c r="A233" s="13" t="s">
        <v>282</v>
      </c>
      <c r="B233" s="14" t="s">
        <v>224</v>
      </c>
      <c r="C233" s="14" t="s">
        <v>86</v>
      </c>
      <c r="D233" s="10" t="s">
        <v>35</v>
      </c>
      <c r="E233" s="16">
        <v>517</v>
      </c>
      <c r="F233" s="12">
        <v>45352</v>
      </c>
    </row>
    <row r="234" spans="1:6" ht="15" x14ac:dyDescent="0.25">
      <c r="A234" s="13" t="s">
        <v>282</v>
      </c>
      <c r="B234" s="14" t="s">
        <v>224</v>
      </c>
      <c r="C234" s="14" t="s">
        <v>86</v>
      </c>
      <c r="D234" s="10" t="s">
        <v>30</v>
      </c>
      <c r="E234" s="16">
        <v>693</v>
      </c>
      <c r="F234" s="12">
        <v>45352</v>
      </c>
    </row>
    <row r="235" spans="1:6" ht="15" x14ac:dyDescent="0.25">
      <c r="A235" s="13" t="s">
        <v>282</v>
      </c>
      <c r="B235" s="14" t="s">
        <v>224</v>
      </c>
      <c r="C235" s="14" t="s">
        <v>86</v>
      </c>
      <c r="D235" s="10" t="s">
        <v>221</v>
      </c>
      <c r="E235" s="11">
        <v>140</v>
      </c>
      <c r="F235" s="12">
        <v>45352</v>
      </c>
    </row>
    <row r="236" spans="1:6" ht="15" x14ac:dyDescent="0.25">
      <c r="A236" s="13" t="s">
        <v>283</v>
      </c>
      <c r="B236" s="14" t="s">
        <v>224</v>
      </c>
      <c r="C236" s="14" t="s">
        <v>168</v>
      </c>
      <c r="D236" s="10" t="s">
        <v>35</v>
      </c>
      <c r="E236" s="16">
        <v>492.75</v>
      </c>
      <c r="F236" s="12">
        <v>45047</v>
      </c>
    </row>
    <row r="237" spans="1:6" ht="15" x14ac:dyDescent="0.25">
      <c r="A237" s="13" t="s">
        <v>283</v>
      </c>
      <c r="B237" s="14" t="s">
        <v>224</v>
      </c>
      <c r="C237" s="14" t="s">
        <v>168</v>
      </c>
      <c r="D237" s="10" t="s">
        <v>221</v>
      </c>
      <c r="E237" s="11">
        <v>114</v>
      </c>
      <c r="F237" s="12">
        <v>45047</v>
      </c>
    </row>
    <row r="238" spans="1:6" ht="15" x14ac:dyDescent="0.25">
      <c r="A238" s="13" t="s">
        <v>283</v>
      </c>
      <c r="B238" s="14" t="s">
        <v>224</v>
      </c>
      <c r="C238" s="14" t="s">
        <v>168</v>
      </c>
      <c r="D238" s="10" t="s">
        <v>43</v>
      </c>
      <c r="E238" s="11">
        <v>128</v>
      </c>
      <c r="F238" s="12">
        <v>45047</v>
      </c>
    </row>
    <row r="239" spans="1:6" ht="15" x14ac:dyDescent="0.25">
      <c r="A239" s="13" t="s">
        <v>284</v>
      </c>
      <c r="B239" s="14" t="s">
        <v>224</v>
      </c>
      <c r="C239" s="14" t="s">
        <v>104</v>
      </c>
      <c r="D239" s="10" t="s">
        <v>35</v>
      </c>
      <c r="E239" s="16">
        <v>456.45</v>
      </c>
      <c r="F239" s="12">
        <v>43132</v>
      </c>
    </row>
    <row r="240" spans="1:6" ht="15" x14ac:dyDescent="0.25">
      <c r="A240" s="13" t="s">
        <v>284</v>
      </c>
      <c r="B240" s="14" t="s">
        <v>224</v>
      </c>
      <c r="C240" s="14" t="s">
        <v>104</v>
      </c>
      <c r="D240" s="10" t="s">
        <v>30</v>
      </c>
      <c r="E240" s="16">
        <v>611.15</v>
      </c>
      <c r="F240" s="12">
        <v>43132</v>
      </c>
    </row>
    <row r="241" spans="1:6" ht="15" x14ac:dyDescent="0.25">
      <c r="A241" s="13" t="s">
        <v>284</v>
      </c>
      <c r="B241" s="14" t="s">
        <v>224</v>
      </c>
      <c r="C241" s="14" t="s">
        <v>104</v>
      </c>
      <c r="D241" s="10" t="s">
        <v>221</v>
      </c>
      <c r="E241" s="11">
        <v>98</v>
      </c>
      <c r="F241" s="12">
        <v>43132</v>
      </c>
    </row>
    <row r="242" spans="1:6" ht="15" x14ac:dyDescent="0.25">
      <c r="A242" s="13" t="s">
        <v>285</v>
      </c>
      <c r="B242" s="14" t="s">
        <v>224</v>
      </c>
      <c r="C242" s="14" t="s">
        <v>141</v>
      </c>
      <c r="D242" s="10" t="s">
        <v>174</v>
      </c>
      <c r="E242" s="16">
        <v>357</v>
      </c>
      <c r="F242" s="12">
        <v>45839</v>
      </c>
    </row>
    <row r="243" spans="1:6" ht="15" x14ac:dyDescent="0.25">
      <c r="A243" s="13" t="s">
        <v>285</v>
      </c>
      <c r="B243" s="14" t="s">
        <v>224</v>
      </c>
      <c r="C243" s="14" t="s">
        <v>141</v>
      </c>
      <c r="D243" s="10" t="s">
        <v>35</v>
      </c>
      <c r="E243" s="16">
        <v>543</v>
      </c>
      <c r="F243" s="12">
        <v>45839</v>
      </c>
    </row>
    <row r="244" spans="1:6" ht="15" x14ac:dyDescent="0.25">
      <c r="A244" s="13" t="s">
        <v>285</v>
      </c>
      <c r="B244" s="14" t="s">
        <v>224</v>
      </c>
      <c r="C244" s="14" t="s">
        <v>141</v>
      </c>
      <c r="D244" s="10" t="s">
        <v>30</v>
      </c>
      <c r="E244" s="16">
        <v>728</v>
      </c>
      <c r="F244" s="12">
        <v>45839</v>
      </c>
    </row>
    <row r="245" spans="1:6" ht="15" x14ac:dyDescent="0.25">
      <c r="A245" s="13" t="s">
        <v>285</v>
      </c>
      <c r="B245" s="14" t="s">
        <v>224</v>
      </c>
      <c r="C245" s="14" t="s">
        <v>141</v>
      </c>
      <c r="D245" s="10" t="s">
        <v>221</v>
      </c>
      <c r="E245" s="11">
        <v>147</v>
      </c>
      <c r="F245" s="12">
        <v>45839</v>
      </c>
    </row>
    <row r="246" spans="1:6" ht="15" x14ac:dyDescent="0.25">
      <c r="A246" s="13" t="s">
        <v>285</v>
      </c>
      <c r="B246" s="14" t="s">
        <v>224</v>
      </c>
      <c r="C246" s="14" t="s">
        <v>141</v>
      </c>
      <c r="D246" s="10" t="s">
        <v>43</v>
      </c>
      <c r="E246" s="11">
        <v>112</v>
      </c>
      <c r="F246" s="12">
        <v>45839</v>
      </c>
    </row>
    <row r="247" spans="1:6" ht="15" x14ac:dyDescent="0.25">
      <c r="A247" s="13" t="s">
        <v>286</v>
      </c>
      <c r="B247" s="14" t="s">
        <v>224</v>
      </c>
      <c r="C247" s="14" t="s">
        <v>150</v>
      </c>
      <c r="D247" s="10" t="s">
        <v>174</v>
      </c>
      <c r="E247" s="16">
        <v>332</v>
      </c>
      <c r="F247" s="12">
        <v>45597</v>
      </c>
    </row>
    <row r="248" spans="1:6" ht="15" x14ac:dyDescent="0.25">
      <c r="A248" s="13" t="s">
        <v>286</v>
      </c>
      <c r="B248" s="14" t="s">
        <v>224</v>
      </c>
      <c r="C248" s="14" t="s">
        <v>150</v>
      </c>
      <c r="D248" s="10" t="s">
        <v>35</v>
      </c>
      <c r="E248" s="16">
        <v>518</v>
      </c>
      <c r="F248" s="12">
        <v>45597</v>
      </c>
    </row>
    <row r="249" spans="1:6" ht="15" x14ac:dyDescent="0.25">
      <c r="A249" s="13" t="s">
        <v>286</v>
      </c>
      <c r="B249" s="14" t="s">
        <v>224</v>
      </c>
      <c r="C249" s="14" t="s">
        <v>150</v>
      </c>
      <c r="D249" s="10" t="s">
        <v>221</v>
      </c>
      <c r="E249" s="11">
        <v>140</v>
      </c>
      <c r="F249" s="12">
        <v>45597</v>
      </c>
    </row>
    <row r="250" spans="1:6" ht="15" x14ac:dyDescent="0.25">
      <c r="A250" s="13" t="s">
        <v>286</v>
      </c>
      <c r="B250" s="14" t="s">
        <v>224</v>
      </c>
      <c r="C250" s="14" t="s">
        <v>150</v>
      </c>
      <c r="D250" s="10" t="s">
        <v>43</v>
      </c>
      <c r="E250" s="11">
        <v>107</v>
      </c>
      <c r="F250" s="12">
        <v>45597</v>
      </c>
    </row>
    <row r="251" spans="1:6" ht="15" x14ac:dyDescent="0.25">
      <c r="A251" s="13" t="s">
        <v>287</v>
      </c>
      <c r="B251" s="14" t="s">
        <v>224</v>
      </c>
      <c r="C251" s="14" t="s">
        <v>101</v>
      </c>
      <c r="D251" s="10" t="s">
        <v>30</v>
      </c>
      <c r="E251" s="16">
        <v>620</v>
      </c>
      <c r="F251" s="12">
        <v>44287</v>
      </c>
    </row>
    <row r="252" spans="1:6" ht="15" x14ac:dyDescent="0.25">
      <c r="A252" s="13" t="s">
        <v>287</v>
      </c>
      <c r="B252" s="14" t="s">
        <v>224</v>
      </c>
      <c r="C252" s="14" t="s">
        <v>101</v>
      </c>
      <c r="D252" s="10" t="s">
        <v>221</v>
      </c>
      <c r="E252" s="11">
        <v>105</v>
      </c>
      <c r="F252" s="12">
        <v>44287</v>
      </c>
    </row>
    <row r="253" spans="1:6" ht="15" x14ac:dyDescent="0.25">
      <c r="A253" s="13" t="s">
        <v>288</v>
      </c>
      <c r="B253" s="14" t="s">
        <v>224</v>
      </c>
      <c r="C253" s="14" t="s">
        <v>122</v>
      </c>
      <c r="D253" s="10" t="s">
        <v>197</v>
      </c>
      <c r="E253" s="16">
        <v>141.75</v>
      </c>
      <c r="F253" s="12">
        <v>43983</v>
      </c>
    </row>
    <row r="254" spans="1:6" ht="15" x14ac:dyDescent="0.25">
      <c r="A254" s="13" t="s">
        <v>288</v>
      </c>
      <c r="B254" s="14" t="s">
        <v>224</v>
      </c>
      <c r="C254" s="14" t="s">
        <v>122</v>
      </c>
      <c r="D254" s="10" t="s">
        <v>174</v>
      </c>
      <c r="E254" s="16">
        <v>274.5</v>
      </c>
      <c r="F254" s="12">
        <v>43983</v>
      </c>
    </row>
    <row r="255" spans="1:6" ht="15" x14ac:dyDescent="0.25">
      <c r="A255" s="13" t="s">
        <v>288</v>
      </c>
      <c r="B255" s="14" t="s">
        <v>224</v>
      </c>
      <c r="C255" s="14" t="s">
        <v>122</v>
      </c>
      <c r="D255" s="10" t="s">
        <v>35</v>
      </c>
      <c r="E255" s="16">
        <v>417</v>
      </c>
      <c r="F255" s="12">
        <v>43983</v>
      </c>
    </row>
    <row r="256" spans="1:6" ht="15" x14ac:dyDescent="0.25">
      <c r="A256" s="13" t="s">
        <v>288</v>
      </c>
      <c r="B256" s="14" t="s">
        <v>224</v>
      </c>
      <c r="C256" s="14" t="s">
        <v>122</v>
      </c>
      <c r="D256" s="10" t="s">
        <v>30</v>
      </c>
      <c r="E256" s="16">
        <v>558.75</v>
      </c>
      <c r="F256" s="12">
        <v>43983</v>
      </c>
    </row>
    <row r="257" spans="1:6" ht="15" x14ac:dyDescent="0.25">
      <c r="A257" s="13" t="s">
        <v>288</v>
      </c>
      <c r="B257" s="14" t="s">
        <v>224</v>
      </c>
      <c r="C257" s="14" t="s">
        <v>122</v>
      </c>
      <c r="D257" s="10" t="s">
        <v>221</v>
      </c>
      <c r="E257" s="11">
        <v>105</v>
      </c>
      <c r="F257" s="12">
        <v>43983</v>
      </c>
    </row>
    <row r="258" spans="1:6" ht="15" x14ac:dyDescent="0.25">
      <c r="A258" s="13" t="s">
        <v>288</v>
      </c>
      <c r="B258" s="14" t="s">
        <v>224</v>
      </c>
      <c r="C258" s="14" t="s">
        <v>122</v>
      </c>
      <c r="D258" s="10" t="s">
        <v>43</v>
      </c>
      <c r="E258" s="11">
        <v>81</v>
      </c>
      <c r="F258" s="12">
        <v>43983</v>
      </c>
    </row>
    <row r="259" spans="1:6" ht="15" x14ac:dyDescent="0.25">
      <c r="A259" s="13" t="s">
        <v>289</v>
      </c>
      <c r="B259" s="14" t="s">
        <v>224</v>
      </c>
      <c r="C259" s="14" t="s">
        <v>186</v>
      </c>
      <c r="D259" s="10" t="s">
        <v>197</v>
      </c>
      <c r="E259" s="16">
        <v>134.25</v>
      </c>
      <c r="F259" s="12">
        <v>43494</v>
      </c>
    </row>
    <row r="260" spans="1:6" ht="15" x14ac:dyDescent="0.25">
      <c r="A260" s="13" t="s">
        <v>289</v>
      </c>
      <c r="B260" s="14" t="s">
        <v>224</v>
      </c>
      <c r="C260" s="14" t="s">
        <v>186</v>
      </c>
      <c r="D260" s="10" t="s">
        <v>174</v>
      </c>
      <c r="E260" s="16">
        <v>265.5</v>
      </c>
      <c r="F260" s="12">
        <v>43494</v>
      </c>
    </row>
    <row r="261" spans="1:6" ht="15" x14ac:dyDescent="0.25">
      <c r="A261" s="13" t="s">
        <v>289</v>
      </c>
      <c r="B261" s="14" t="s">
        <v>224</v>
      </c>
      <c r="C261" s="14" t="s">
        <v>186</v>
      </c>
      <c r="D261" s="10" t="s">
        <v>35</v>
      </c>
      <c r="E261" s="16">
        <v>402</v>
      </c>
      <c r="F261" s="12">
        <v>43494</v>
      </c>
    </row>
    <row r="262" spans="1:6" ht="15" x14ac:dyDescent="0.25">
      <c r="A262" s="13" t="s">
        <v>289</v>
      </c>
      <c r="B262" s="14" t="s">
        <v>224</v>
      </c>
      <c r="C262" s="14" t="s">
        <v>186</v>
      </c>
      <c r="D262" s="10" t="s">
        <v>30</v>
      </c>
      <c r="E262" s="16">
        <v>539.25</v>
      </c>
      <c r="F262" s="12">
        <v>43494</v>
      </c>
    </row>
    <row r="263" spans="1:6" ht="15" x14ac:dyDescent="0.25">
      <c r="A263" s="13" t="s">
        <v>289</v>
      </c>
      <c r="B263" s="14" t="s">
        <v>224</v>
      </c>
      <c r="C263" s="14" t="s">
        <v>186</v>
      </c>
      <c r="D263" s="10" t="s">
        <v>221</v>
      </c>
      <c r="E263" s="11">
        <v>98</v>
      </c>
      <c r="F263" s="12">
        <v>43494</v>
      </c>
    </row>
    <row r="264" spans="1:6" ht="15" x14ac:dyDescent="0.25">
      <c r="A264" s="13" t="s">
        <v>289</v>
      </c>
      <c r="B264" s="14" t="s">
        <v>224</v>
      </c>
      <c r="C264" s="14" t="s">
        <v>186</v>
      </c>
      <c r="D264" s="10" t="s">
        <v>43</v>
      </c>
      <c r="E264" s="11">
        <v>74</v>
      </c>
      <c r="F264" s="12">
        <v>43494</v>
      </c>
    </row>
    <row r="265" spans="1:6" ht="15" x14ac:dyDescent="0.25">
      <c r="A265" s="13" t="s">
        <v>290</v>
      </c>
      <c r="B265" s="14" t="s">
        <v>224</v>
      </c>
      <c r="C265" s="14" t="s">
        <v>142</v>
      </c>
      <c r="D265" s="10" t="s">
        <v>197</v>
      </c>
      <c r="E265" s="16">
        <v>135</v>
      </c>
      <c r="F265" s="12">
        <v>43132</v>
      </c>
    </row>
    <row r="266" spans="1:6" ht="15" x14ac:dyDescent="0.25">
      <c r="A266" s="13" t="s">
        <v>290</v>
      </c>
      <c r="B266" s="14" t="s">
        <v>224</v>
      </c>
      <c r="C266" s="14" t="s">
        <v>142</v>
      </c>
      <c r="D266" s="10" t="s">
        <v>174</v>
      </c>
      <c r="E266" s="16">
        <v>267</v>
      </c>
      <c r="F266" s="12">
        <v>43132</v>
      </c>
    </row>
    <row r="267" spans="1:6" ht="15" x14ac:dyDescent="0.25">
      <c r="A267" s="13" t="s">
        <v>290</v>
      </c>
      <c r="B267" s="14" t="s">
        <v>224</v>
      </c>
      <c r="C267" s="14" t="s">
        <v>142</v>
      </c>
      <c r="D267" s="10" t="s">
        <v>35</v>
      </c>
      <c r="E267" s="16">
        <v>404</v>
      </c>
      <c r="F267" s="12">
        <v>43132</v>
      </c>
    </row>
    <row r="268" spans="1:6" ht="15" x14ac:dyDescent="0.25">
      <c r="A268" s="13" t="s">
        <v>290</v>
      </c>
      <c r="B268" s="14" t="s">
        <v>224</v>
      </c>
      <c r="C268" s="14" t="s">
        <v>142</v>
      </c>
      <c r="D268" s="10" t="s">
        <v>30</v>
      </c>
      <c r="E268" s="16">
        <v>540</v>
      </c>
      <c r="F268" s="12">
        <v>43132</v>
      </c>
    </row>
    <row r="269" spans="1:6" ht="15" x14ac:dyDescent="0.25">
      <c r="A269" s="13" t="s">
        <v>290</v>
      </c>
      <c r="B269" s="14" t="s">
        <v>224</v>
      </c>
      <c r="C269" s="14" t="s">
        <v>142</v>
      </c>
      <c r="D269" s="10" t="s">
        <v>221</v>
      </c>
      <c r="E269" s="11">
        <v>98</v>
      </c>
      <c r="F269" s="12">
        <v>43132</v>
      </c>
    </row>
    <row r="270" spans="1:6" ht="15" x14ac:dyDescent="0.25">
      <c r="A270" s="13" t="s">
        <v>290</v>
      </c>
      <c r="B270" s="14" t="s">
        <v>224</v>
      </c>
      <c r="C270" s="14" t="s">
        <v>142</v>
      </c>
      <c r="D270" s="10" t="s">
        <v>43</v>
      </c>
      <c r="E270" s="11">
        <v>74</v>
      </c>
      <c r="F270" s="12">
        <v>43132</v>
      </c>
    </row>
    <row r="271" spans="1:6" ht="15" x14ac:dyDescent="0.25">
      <c r="A271" s="13" t="s">
        <v>291</v>
      </c>
      <c r="B271" s="14" t="s">
        <v>224</v>
      </c>
      <c r="C271" s="14" t="s">
        <v>36</v>
      </c>
      <c r="D271" s="10" t="s">
        <v>35</v>
      </c>
      <c r="E271" s="16">
        <v>799</v>
      </c>
      <c r="F271" s="12">
        <v>44090</v>
      </c>
    </row>
    <row r="272" spans="1:6" ht="15" x14ac:dyDescent="0.25">
      <c r="A272" s="13" t="s">
        <v>291</v>
      </c>
      <c r="B272" s="14" t="s">
        <v>224</v>
      </c>
      <c r="C272" s="14" t="s">
        <v>36</v>
      </c>
      <c r="D272" s="10" t="s">
        <v>30</v>
      </c>
      <c r="E272" s="16">
        <v>799</v>
      </c>
      <c r="F272" s="12">
        <v>44090</v>
      </c>
    </row>
    <row r="273" spans="1:6" ht="15" x14ac:dyDescent="0.25">
      <c r="A273" s="13" t="s">
        <v>292</v>
      </c>
      <c r="B273" s="14" t="s">
        <v>224</v>
      </c>
      <c r="C273" s="14" t="s">
        <v>50</v>
      </c>
      <c r="D273" s="10" t="s">
        <v>35</v>
      </c>
      <c r="E273" s="16">
        <v>552</v>
      </c>
      <c r="F273" s="12">
        <v>44652</v>
      </c>
    </row>
    <row r="274" spans="1:6" ht="15" x14ac:dyDescent="0.25">
      <c r="A274" s="13" t="s">
        <v>292</v>
      </c>
      <c r="B274" s="14" t="s">
        <v>224</v>
      </c>
      <c r="C274" s="14" t="s">
        <v>50</v>
      </c>
      <c r="D274" s="10" t="s">
        <v>30</v>
      </c>
      <c r="E274" s="16">
        <v>740</v>
      </c>
      <c r="F274" s="12">
        <v>44652</v>
      </c>
    </row>
    <row r="275" spans="1:6" ht="15" x14ac:dyDescent="0.25">
      <c r="A275" s="13" t="s">
        <v>292</v>
      </c>
      <c r="B275" s="14" t="s">
        <v>224</v>
      </c>
      <c r="C275" s="14" t="s">
        <v>50</v>
      </c>
      <c r="D275" s="10" t="s">
        <v>221</v>
      </c>
      <c r="E275" s="11">
        <v>140</v>
      </c>
      <c r="F275" s="12">
        <v>44652</v>
      </c>
    </row>
    <row r="276" spans="1:6" ht="15" x14ac:dyDescent="0.25">
      <c r="A276" s="13" t="s">
        <v>292</v>
      </c>
      <c r="B276" s="14" t="s">
        <v>224</v>
      </c>
      <c r="C276" s="14" t="s">
        <v>50</v>
      </c>
      <c r="D276" s="10" t="s">
        <v>43</v>
      </c>
      <c r="E276" s="11">
        <v>107</v>
      </c>
      <c r="F276" s="12">
        <v>44652</v>
      </c>
    </row>
    <row r="277" spans="1:6" ht="15" x14ac:dyDescent="0.25">
      <c r="A277" s="13" t="s">
        <v>293</v>
      </c>
      <c r="B277" s="14" t="s">
        <v>224</v>
      </c>
      <c r="C277" s="14" t="s">
        <v>58</v>
      </c>
      <c r="D277" s="10" t="s">
        <v>197</v>
      </c>
      <c r="E277" s="11">
        <v>184.5</v>
      </c>
      <c r="F277" s="12">
        <v>45809</v>
      </c>
    </row>
    <row r="278" spans="1:6" ht="15" x14ac:dyDescent="0.25">
      <c r="A278" s="13" t="s">
        <v>293</v>
      </c>
      <c r="B278" s="14" t="s">
        <v>224</v>
      </c>
      <c r="C278" s="14" t="s">
        <v>58</v>
      </c>
      <c r="D278" s="10" t="s">
        <v>174</v>
      </c>
      <c r="E278" s="11">
        <v>357.38</v>
      </c>
      <c r="F278" s="12">
        <v>45809</v>
      </c>
    </row>
    <row r="279" spans="1:6" ht="15" x14ac:dyDescent="0.25">
      <c r="A279" s="13" t="s">
        <v>293</v>
      </c>
      <c r="B279" s="14" t="s">
        <v>224</v>
      </c>
      <c r="C279" s="14" t="s">
        <v>58</v>
      </c>
      <c r="D279" s="10" t="s">
        <v>35</v>
      </c>
      <c r="E279" s="11">
        <v>543.38</v>
      </c>
      <c r="F279" s="12">
        <v>45809</v>
      </c>
    </row>
    <row r="280" spans="1:6" ht="15" x14ac:dyDescent="0.25">
      <c r="A280" s="13" t="s">
        <v>293</v>
      </c>
      <c r="B280" s="14" t="s">
        <v>224</v>
      </c>
      <c r="C280" s="14" t="s">
        <v>58</v>
      </c>
      <c r="D280" s="10" t="s">
        <v>30</v>
      </c>
      <c r="E280" s="11">
        <v>727.88</v>
      </c>
      <c r="F280" s="12">
        <v>45809</v>
      </c>
    </row>
    <row r="281" spans="1:6" ht="15" x14ac:dyDescent="0.25">
      <c r="A281" s="13" t="s">
        <v>293</v>
      </c>
      <c r="B281" s="14" t="s">
        <v>224</v>
      </c>
      <c r="C281" s="14" t="s">
        <v>58</v>
      </c>
      <c r="D281" s="10" t="s">
        <v>221</v>
      </c>
      <c r="E281" s="11">
        <v>147</v>
      </c>
      <c r="F281" s="12">
        <v>45809</v>
      </c>
    </row>
    <row r="282" spans="1:6" ht="15" x14ac:dyDescent="0.25">
      <c r="A282" s="13" t="s">
        <v>293</v>
      </c>
      <c r="B282" s="14" t="s">
        <v>224</v>
      </c>
      <c r="C282" s="14" t="s">
        <v>58</v>
      </c>
      <c r="D282" s="10" t="s">
        <v>43</v>
      </c>
      <c r="E282" s="11">
        <v>112</v>
      </c>
      <c r="F282" s="12">
        <v>45809</v>
      </c>
    </row>
    <row r="283" spans="1:6" ht="15" x14ac:dyDescent="0.25">
      <c r="A283" s="13" t="s">
        <v>294</v>
      </c>
      <c r="B283" s="14" t="s">
        <v>263</v>
      </c>
      <c r="C283" s="14" t="s">
        <v>59</v>
      </c>
      <c r="D283" s="10" t="s">
        <v>197</v>
      </c>
      <c r="E283" s="11">
        <v>184.5</v>
      </c>
      <c r="F283" s="12">
        <v>45809</v>
      </c>
    </row>
    <row r="284" spans="1:6" ht="15" x14ac:dyDescent="0.25">
      <c r="A284" s="13" t="s">
        <v>294</v>
      </c>
      <c r="B284" s="14" t="s">
        <v>263</v>
      </c>
      <c r="C284" s="14" t="s">
        <v>59</v>
      </c>
      <c r="D284" s="10" t="s">
        <v>174</v>
      </c>
      <c r="E284" s="11">
        <v>357.38</v>
      </c>
      <c r="F284" s="12">
        <v>45809</v>
      </c>
    </row>
    <row r="285" spans="1:6" ht="15" x14ac:dyDescent="0.25">
      <c r="A285" s="13" t="s">
        <v>294</v>
      </c>
      <c r="B285" s="14" t="s">
        <v>263</v>
      </c>
      <c r="C285" s="14" t="s">
        <v>59</v>
      </c>
      <c r="D285" s="10" t="s">
        <v>35</v>
      </c>
      <c r="E285" s="11">
        <v>543.38</v>
      </c>
      <c r="F285" s="12">
        <v>45809</v>
      </c>
    </row>
    <row r="286" spans="1:6" ht="15" x14ac:dyDescent="0.25">
      <c r="A286" s="13" t="s">
        <v>294</v>
      </c>
      <c r="B286" s="14" t="s">
        <v>263</v>
      </c>
      <c r="C286" s="14" t="s">
        <v>59</v>
      </c>
      <c r="D286" s="10" t="s">
        <v>30</v>
      </c>
      <c r="E286" s="11">
        <v>727.88</v>
      </c>
      <c r="F286" s="12">
        <v>45809</v>
      </c>
    </row>
    <row r="287" spans="1:6" ht="15" x14ac:dyDescent="0.25">
      <c r="A287" s="13" t="s">
        <v>294</v>
      </c>
      <c r="B287" s="14" t="s">
        <v>263</v>
      </c>
      <c r="C287" s="14" t="s">
        <v>59</v>
      </c>
      <c r="D287" s="10" t="s">
        <v>221</v>
      </c>
      <c r="E287" s="11">
        <v>147</v>
      </c>
      <c r="F287" s="12">
        <v>45809</v>
      </c>
    </row>
    <row r="288" spans="1:6" ht="15" x14ac:dyDescent="0.25">
      <c r="A288" s="13" t="s">
        <v>294</v>
      </c>
      <c r="B288" s="14" t="s">
        <v>263</v>
      </c>
      <c r="C288" s="14" t="s">
        <v>59</v>
      </c>
      <c r="D288" s="10" t="s">
        <v>43</v>
      </c>
      <c r="E288" s="11">
        <v>112</v>
      </c>
      <c r="F288" s="12">
        <v>45809</v>
      </c>
    </row>
    <row r="289" spans="1:6" ht="15" x14ac:dyDescent="0.25">
      <c r="A289" s="13" t="s">
        <v>295</v>
      </c>
      <c r="B289" s="14" t="s">
        <v>263</v>
      </c>
      <c r="C289" s="14" t="s">
        <v>68</v>
      </c>
      <c r="D289" s="10" t="s">
        <v>197</v>
      </c>
      <c r="E289" s="11">
        <v>184.5</v>
      </c>
      <c r="F289" s="12">
        <v>45809</v>
      </c>
    </row>
    <row r="290" spans="1:6" ht="15" x14ac:dyDescent="0.25">
      <c r="A290" s="13" t="s">
        <v>295</v>
      </c>
      <c r="B290" s="14" t="s">
        <v>263</v>
      </c>
      <c r="C290" s="14" t="s">
        <v>68</v>
      </c>
      <c r="D290" s="10" t="s">
        <v>174</v>
      </c>
      <c r="E290" s="11">
        <v>357.38</v>
      </c>
      <c r="F290" s="12">
        <v>45809</v>
      </c>
    </row>
    <row r="291" spans="1:6" ht="15" x14ac:dyDescent="0.25">
      <c r="A291" s="13" t="s">
        <v>295</v>
      </c>
      <c r="B291" s="14" t="s">
        <v>263</v>
      </c>
      <c r="C291" s="14" t="s">
        <v>68</v>
      </c>
      <c r="D291" s="10" t="s">
        <v>35</v>
      </c>
      <c r="E291" s="11">
        <v>543.38</v>
      </c>
      <c r="F291" s="12">
        <v>45809</v>
      </c>
    </row>
    <row r="292" spans="1:6" ht="15" x14ac:dyDescent="0.25">
      <c r="A292" s="13" t="s">
        <v>295</v>
      </c>
      <c r="B292" s="14" t="s">
        <v>263</v>
      </c>
      <c r="C292" s="14" t="s">
        <v>68</v>
      </c>
      <c r="D292" s="10" t="s">
        <v>30</v>
      </c>
      <c r="E292" s="11">
        <v>727.88</v>
      </c>
      <c r="F292" s="12">
        <v>45809</v>
      </c>
    </row>
    <row r="293" spans="1:6" ht="15" x14ac:dyDescent="0.25">
      <c r="A293" s="13" t="s">
        <v>295</v>
      </c>
      <c r="B293" s="14" t="s">
        <v>263</v>
      </c>
      <c r="C293" s="14" t="s">
        <v>68</v>
      </c>
      <c r="D293" s="10" t="s">
        <v>221</v>
      </c>
      <c r="E293" s="11">
        <v>147</v>
      </c>
      <c r="F293" s="12">
        <v>45809</v>
      </c>
    </row>
    <row r="294" spans="1:6" ht="15" x14ac:dyDescent="0.25">
      <c r="A294" s="13" t="s">
        <v>295</v>
      </c>
      <c r="B294" s="14" t="s">
        <v>263</v>
      </c>
      <c r="C294" s="14" t="s">
        <v>68</v>
      </c>
      <c r="D294" s="10" t="s">
        <v>43</v>
      </c>
      <c r="E294" s="11">
        <v>112</v>
      </c>
      <c r="F294" s="12">
        <v>45809</v>
      </c>
    </row>
    <row r="295" spans="1:6" ht="15" x14ac:dyDescent="0.25">
      <c r="A295" s="13" t="s">
        <v>296</v>
      </c>
      <c r="B295" s="14" t="s">
        <v>263</v>
      </c>
      <c r="C295" s="14" t="s">
        <v>65</v>
      </c>
      <c r="D295" s="10" t="s">
        <v>197</v>
      </c>
      <c r="E295" s="11">
        <v>184.5</v>
      </c>
      <c r="F295" s="12">
        <v>45809</v>
      </c>
    </row>
    <row r="296" spans="1:6" ht="15" x14ac:dyDescent="0.25">
      <c r="A296" s="13" t="s">
        <v>296</v>
      </c>
      <c r="B296" s="14" t="s">
        <v>263</v>
      </c>
      <c r="C296" s="14" t="s">
        <v>65</v>
      </c>
      <c r="D296" s="10" t="s">
        <v>174</v>
      </c>
      <c r="E296" s="11">
        <v>357.38</v>
      </c>
      <c r="F296" s="12">
        <v>45809</v>
      </c>
    </row>
    <row r="297" spans="1:6" ht="15" x14ac:dyDescent="0.25">
      <c r="A297" s="13" t="s">
        <v>296</v>
      </c>
      <c r="B297" s="14" t="s">
        <v>263</v>
      </c>
      <c r="C297" s="14" t="s">
        <v>65</v>
      </c>
      <c r="D297" s="10" t="s">
        <v>35</v>
      </c>
      <c r="E297" s="11">
        <v>543.38</v>
      </c>
      <c r="F297" s="12">
        <v>45809</v>
      </c>
    </row>
    <row r="298" spans="1:6" ht="15" x14ac:dyDescent="0.25">
      <c r="A298" s="13" t="s">
        <v>296</v>
      </c>
      <c r="B298" s="14" t="s">
        <v>263</v>
      </c>
      <c r="C298" s="14" t="s">
        <v>65</v>
      </c>
      <c r="D298" s="10" t="s">
        <v>30</v>
      </c>
      <c r="E298" s="11">
        <v>727.88</v>
      </c>
      <c r="F298" s="12">
        <v>45809</v>
      </c>
    </row>
    <row r="299" spans="1:6" ht="15" x14ac:dyDescent="0.25">
      <c r="A299" s="13" t="s">
        <v>296</v>
      </c>
      <c r="B299" s="14" t="s">
        <v>263</v>
      </c>
      <c r="C299" s="14" t="s">
        <v>65</v>
      </c>
      <c r="D299" s="10" t="s">
        <v>221</v>
      </c>
      <c r="E299" s="11">
        <v>147</v>
      </c>
      <c r="F299" s="12">
        <v>45809</v>
      </c>
    </row>
    <row r="300" spans="1:6" ht="15" x14ac:dyDescent="0.25">
      <c r="A300" s="13" t="s">
        <v>296</v>
      </c>
      <c r="B300" s="14" t="s">
        <v>263</v>
      </c>
      <c r="C300" s="14" t="s">
        <v>65</v>
      </c>
      <c r="D300" s="10" t="s">
        <v>43</v>
      </c>
      <c r="E300" s="11">
        <v>112</v>
      </c>
      <c r="F300" s="12">
        <v>45809</v>
      </c>
    </row>
    <row r="301" spans="1:6" ht="15" x14ac:dyDescent="0.25">
      <c r="A301" s="13" t="s">
        <v>297</v>
      </c>
      <c r="B301" s="14" t="s">
        <v>263</v>
      </c>
      <c r="C301" s="14" t="s">
        <v>67</v>
      </c>
      <c r="D301" s="10" t="s">
        <v>197</v>
      </c>
      <c r="E301" s="11">
        <v>184.5</v>
      </c>
      <c r="F301" s="12">
        <v>45809</v>
      </c>
    </row>
    <row r="302" spans="1:6" ht="15" x14ac:dyDescent="0.25">
      <c r="A302" s="13" t="s">
        <v>297</v>
      </c>
      <c r="B302" s="14" t="s">
        <v>263</v>
      </c>
      <c r="C302" s="14" t="s">
        <v>67</v>
      </c>
      <c r="D302" s="10" t="s">
        <v>174</v>
      </c>
      <c r="E302" s="11">
        <v>357.38</v>
      </c>
      <c r="F302" s="12">
        <v>45809</v>
      </c>
    </row>
    <row r="303" spans="1:6" ht="15" x14ac:dyDescent="0.25">
      <c r="A303" s="13" t="s">
        <v>297</v>
      </c>
      <c r="B303" s="14" t="s">
        <v>263</v>
      </c>
      <c r="C303" s="14" t="s">
        <v>67</v>
      </c>
      <c r="D303" s="10" t="s">
        <v>35</v>
      </c>
      <c r="E303" s="11">
        <v>543.38</v>
      </c>
      <c r="F303" s="12">
        <v>45809</v>
      </c>
    </row>
    <row r="304" spans="1:6" ht="15" x14ac:dyDescent="0.25">
      <c r="A304" s="13" t="s">
        <v>297</v>
      </c>
      <c r="B304" s="14" t="s">
        <v>263</v>
      </c>
      <c r="C304" s="14" t="s">
        <v>67</v>
      </c>
      <c r="D304" s="10" t="s">
        <v>30</v>
      </c>
      <c r="E304" s="11">
        <v>727.88</v>
      </c>
      <c r="F304" s="12">
        <v>45809</v>
      </c>
    </row>
    <row r="305" spans="1:6" ht="15" x14ac:dyDescent="0.25">
      <c r="A305" s="13" t="s">
        <v>297</v>
      </c>
      <c r="B305" s="14" t="s">
        <v>263</v>
      </c>
      <c r="C305" s="14" t="s">
        <v>67</v>
      </c>
      <c r="D305" s="10" t="s">
        <v>221</v>
      </c>
      <c r="E305" s="11">
        <v>147</v>
      </c>
      <c r="F305" s="12">
        <v>45809</v>
      </c>
    </row>
    <row r="306" spans="1:6" ht="15" x14ac:dyDescent="0.25">
      <c r="A306" s="13" t="s">
        <v>297</v>
      </c>
      <c r="B306" s="14" t="s">
        <v>263</v>
      </c>
      <c r="C306" s="14" t="s">
        <v>67</v>
      </c>
      <c r="D306" s="10" t="s">
        <v>43</v>
      </c>
      <c r="E306" s="11">
        <v>112</v>
      </c>
      <c r="F306" s="12">
        <v>45809</v>
      </c>
    </row>
    <row r="307" spans="1:6" ht="15" x14ac:dyDescent="0.25">
      <c r="A307" s="13" t="s">
        <v>298</v>
      </c>
      <c r="B307" s="14" t="s">
        <v>263</v>
      </c>
      <c r="C307" s="14" t="s">
        <v>54</v>
      </c>
      <c r="D307" s="10" t="s">
        <v>197</v>
      </c>
      <c r="E307" s="11">
        <v>184.5</v>
      </c>
      <c r="F307" s="12">
        <v>45809</v>
      </c>
    </row>
    <row r="308" spans="1:6" ht="15" x14ac:dyDescent="0.25">
      <c r="A308" s="13" t="s">
        <v>298</v>
      </c>
      <c r="B308" s="14" t="s">
        <v>263</v>
      </c>
      <c r="C308" s="14" t="s">
        <v>54</v>
      </c>
      <c r="D308" s="10" t="s">
        <v>174</v>
      </c>
      <c r="E308" s="11">
        <v>357.38</v>
      </c>
      <c r="F308" s="12">
        <v>45809</v>
      </c>
    </row>
    <row r="309" spans="1:6" ht="15" x14ac:dyDescent="0.25">
      <c r="A309" s="13" t="s">
        <v>298</v>
      </c>
      <c r="B309" s="14" t="s">
        <v>263</v>
      </c>
      <c r="C309" s="14" t="s">
        <v>54</v>
      </c>
      <c r="D309" s="10" t="s">
        <v>35</v>
      </c>
      <c r="E309" s="11">
        <v>543.38</v>
      </c>
      <c r="F309" s="12">
        <v>45809</v>
      </c>
    </row>
    <row r="310" spans="1:6" ht="15" x14ac:dyDescent="0.25">
      <c r="A310" s="13" t="s">
        <v>298</v>
      </c>
      <c r="B310" s="14" t="s">
        <v>263</v>
      </c>
      <c r="C310" s="14" t="s">
        <v>54</v>
      </c>
      <c r="D310" s="10" t="s">
        <v>30</v>
      </c>
      <c r="E310" s="11">
        <v>727.88</v>
      </c>
      <c r="F310" s="12">
        <v>45809</v>
      </c>
    </row>
    <row r="311" spans="1:6" ht="15" x14ac:dyDescent="0.25">
      <c r="A311" s="13" t="s">
        <v>298</v>
      </c>
      <c r="B311" s="14" t="s">
        <v>263</v>
      </c>
      <c r="C311" s="14" t="s">
        <v>54</v>
      </c>
      <c r="D311" s="10" t="s">
        <v>221</v>
      </c>
      <c r="E311" s="11">
        <v>147</v>
      </c>
      <c r="F311" s="12">
        <v>45809</v>
      </c>
    </row>
    <row r="312" spans="1:6" ht="15" x14ac:dyDescent="0.25">
      <c r="A312" s="13" t="s">
        <v>298</v>
      </c>
      <c r="B312" s="14" t="s">
        <v>263</v>
      </c>
      <c r="C312" s="14" t="s">
        <v>54</v>
      </c>
      <c r="D312" s="10" t="s">
        <v>43</v>
      </c>
      <c r="E312" s="11">
        <v>112</v>
      </c>
      <c r="F312" s="12">
        <v>45809</v>
      </c>
    </row>
    <row r="313" spans="1:6" ht="15" x14ac:dyDescent="0.25">
      <c r="A313" s="13" t="s">
        <v>299</v>
      </c>
      <c r="B313" s="14" t="s">
        <v>263</v>
      </c>
      <c r="C313" s="14" t="s">
        <v>134</v>
      </c>
      <c r="D313" s="10" t="s">
        <v>197</v>
      </c>
      <c r="E313" s="11">
        <v>184.5</v>
      </c>
      <c r="F313" s="12">
        <v>45809</v>
      </c>
    </row>
    <row r="314" spans="1:6" ht="15" x14ac:dyDescent="0.25">
      <c r="A314" s="13" t="s">
        <v>299</v>
      </c>
      <c r="B314" s="14" t="s">
        <v>263</v>
      </c>
      <c r="C314" s="14" t="s">
        <v>134</v>
      </c>
      <c r="D314" s="10" t="s">
        <v>174</v>
      </c>
      <c r="E314" s="11">
        <v>357.38</v>
      </c>
      <c r="F314" s="12">
        <v>45809</v>
      </c>
    </row>
    <row r="315" spans="1:6" ht="15" x14ac:dyDescent="0.25">
      <c r="A315" s="13" t="s">
        <v>299</v>
      </c>
      <c r="B315" s="14" t="s">
        <v>263</v>
      </c>
      <c r="C315" s="14" t="s">
        <v>134</v>
      </c>
      <c r="D315" s="10" t="s">
        <v>35</v>
      </c>
      <c r="E315" s="11">
        <v>543.38</v>
      </c>
      <c r="F315" s="12">
        <v>45809</v>
      </c>
    </row>
    <row r="316" spans="1:6" ht="15" x14ac:dyDescent="0.25">
      <c r="A316" s="13" t="s">
        <v>299</v>
      </c>
      <c r="B316" s="14" t="s">
        <v>263</v>
      </c>
      <c r="C316" s="14" t="s">
        <v>134</v>
      </c>
      <c r="D316" s="10" t="s">
        <v>30</v>
      </c>
      <c r="E316" s="11">
        <v>727.88</v>
      </c>
      <c r="F316" s="12">
        <v>45809</v>
      </c>
    </row>
    <row r="317" spans="1:6" ht="15" x14ac:dyDescent="0.25">
      <c r="A317" s="13" t="s">
        <v>299</v>
      </c>
      <c r="B317" s="14" t="s">
        <v>263</v>
      </c>
      <c r="C317" s="14" t="s">
        <v>134</v>
      </c>
      <c r="D317" s="10" t="s">
        <v>221</v>
      </c>
      <c r="E317" s="11">
        <v>147</v>
      </c>
      <c r="F317" s="12">
        <v>45809</v>
      </c>
    </row>
    <row r="318" spans="1:6" ht="15" x14ac:dyDescent="0.25">
      <c r="A318" s="13" t="s">
        <v>299</v>
      </c>
      <c r="B318" s="14" t="s">
        <v>263</v>
      </c>
      <c r="C318" s="14" t="s">
        <v>134</v>
      </c>
      <c r="D318" s="10" t="s">
        <v>43</v>
      </c>
      <c r="E318" s="11">
        <v>112</v>
      </c>
      <c r="F318" s="12">
        <v>45809</v>
      </c>
    </row>
    <row r="319" spans="1:6" ht="15" x14ac:dyDescent="0.25">
      <c r="A319" s="13" t="s">
        <v>300</v>
      </c>
      <c r="B319" s="14" t="s">
        <v>224</v>
      </c>
      <c r="C319" s="14" t="s">
        <v>130</v>
      </c>
      <c r="D319" s="10" t="s">
        <v>197</v>
      </c>
      <c r="E319" s="11">
        <v>184.5</v>
      </c>
      <c r="F319" s="12">
        <v>45809</v>
      </c>
    </row>
    <row r="320" spans="1:6" ht="15" x14ac:dyDescent="0.25">
      <c r="A320" s="13" t="s">
        <v>300</v>
      </c>
      <c r="B320" s="14" t="s">
        <v>224</v>
      </c>
      <c r="C320" s="14" t="s">
        <v>130</v>
      </c>
      <c r="D320" s="10" t="s">
        <v>174</v>
      </c>
      <c r="E320" s="11">
        <v>357.38</v>
      </c>
      <c r="F320" s="12">
        <v>45809</v>
      </c>
    </row>
    <row r="321" spans="1:6" ht="15" x14ac:dyDescent="0.25">
      <c r="A321" s="13" t="s">
        <v>300</v>
      </c>
      <c r="B321" s="14" t="s">
        <v>224</v>
      </c>
      <c r="C321" s="14" t="s">
        <v>130</v>
      </c>
      <c r="D321" s="10" t="s">
        <v>35</v>
      </c>
      <c r="E321" s="11">
        <v>543.38</v>
      </c>
      <c r="F321" s="12">
        <v>45809</v>
      </c>
    </row>
    <row r="322" spans="1:6" ht="15" x14ac:dyDescent="0.25">
      <c r="A322" s="13" t="s">
        <v>300</v>
      </c>
      <c r="B322" s="14" t="s">
        <v>224</v>
      </c>
      <c r="C322" s="14" t="s">
        <v>130</v>
      </c>
      <c r="D322" s="10" t="s">
        <v>30</v>
      </c>
      <c r="E322" s="11">
        <v>727.88</v>
      </c>
      <c r="F322" s="12">
        <v>45809</v>
      </c>
    </row>
    <row r="323" spans="1:6" ht="15" x14ac:dyDescent="0.25">
      <c r="A323" s="13" t="s">
        <v>300</v>
      </c>
      <c r="B323" s="14" t="s">
        <v>224</v>
      </c>
      <c r="C323" s="14" t="s">
        <v>130</v>
      </c>
      <c r="D323" s="10" t="s">
        <v>221</v>
      </c>
      <c r="E323" s="11">
        <v>147</v>
      </c>
      <c r="F323" s="12">
        <v>45809</v>
      </c>
    </row>
    <row r="324" spans="1:6" ht="15" x14ac:dyDescent="0.25">
      <c r="A324" s="13" t="s">
        <v>300</v>
      </c>
      <c r="B324" s="14" t="s">
        <v>224</v>
      </c>
      <c r="C324" s="14" t="s">
        <v>130</v>
      </c>
      <c r="D324" s="10" t="s">
        <v>43</v>
      </c>
      <c r="E324" s="11">
        <v>112</v>
      </c>
      <c r="F324" s="12">
        <v>45809</v>
      </c>
    </row>
    <row r="325" spans="1:6" ht="15" x14ac:dyDescent="0.25">
      <c r="A325" s="13" t="s">
        <v>301</v>
      </c>
      <c r="B325" s="14" t="s">
        <v>263</v>
      </c>
      <c r="C325" s="14" t="s">
        <v>55</v>
      </c>
      <c r="D325" s="10" t="s">
        <v>197</v>
      </c>
      <c r="E325" s="11">
        <v>184.5</v>
      </c>
      <c r="F325" s="12">
        <v>45809</v>
      </c>
    </row>
    <row r="326" spans="1:6" ht="15" x14ac:dyDescent="0.25">
      <c r="A326" s="13" t="s">
        <v>301</v>
      </c>
      <c r="B326" s="14" t="s">
        <v>263</v>
      </c>
      <c r="C326" s="14" t="s">
        <v>55</v>
      </c>
      <c r="D326" s="10" t="s">
        <v>174</v>
      </c>
      <c r="E326" s="11">
        <v>357.38</v>
      </c>
      <c r="F326" s="12">
        <v>45809</v>
      </c>
    </row>
    <row r="327" spans="1:6" ht="15" x14ac:dyDescent="0.25">
      <c r="A327" s="13" t="s">
        <v>301</v>
      </c>
      <c r="B327" s="14" t="s">
        <v>263</v>
      </c>
      <c r="C327" s="14" t="s">
        <v>55</v>
      </c>
      <c r="D327" s="10" t="s">
        <v>35</v>
      </c>
      <c r="E327" s="11">
        <v>543.38</v>
      </c>
      <c r="F327" s="12">
        <v>45809</v>
      </c>
    </row>
    <row r="328" spans="1:6" ht="15" x14ac:dyDescent="0.25">
      <c r="A328" s="13" t="s">
        <v>301</v>
      </c>
      <c r="B328" s="14" t="s">
        <v>263</v>
      </c>
      <c r="C328" s="14" t="s">
        <v>55</v>
      </c>
      <c r="D328" s="10" t="s">
        <v>30</v>
      </c>
      <c r="E328" s="11">
        <v>727.88</v>
      </c>
      <c r="F328" s="12">
        <v>45809</v>
      </c>
    </row>
    <row r="329" spans="1:6" ht="15" x14ac:dyDescent="0.25">
      <c r="A329" s="13" t="s">
        <v>301</v>
      </c>
      <c r="B329" s="14" t="s">
        <v>263</v>
      </c>
      <c r="C329" s="14" t="s">
        <v>55</v>
      </c>
      <c r="D329" s="10" t="s">
        <v>221</v>
      </c>
      <c r="E329" s="11">
        <v>147</v>
      </c>
      <c r="F329" s="12">
        <v>45809</v>
      </c>
    </row>
    <row r="330" spans="1:6" ht="15" x14ac:dyDescent="0.25">
      <c r="A330" s="13" t="s">
        <v>301</v>
      </c>
      <c r="B330" s="14" t="s">
        <v>263</v>
      </c>
      <c r="C330" s="14" t="s">
        <v>55</v>
      </c>
      <c r="D330" s="10" t="s">
        <v>43</v>
      </c>
      <c r="E330" s="11">
        <v>112</v>
      </c>
      <c r="F330" s="12">
        <v>45809</v>
      </c>
    </row>
    <row r="331" spans="1:6" ht="15" x14ac:dyDescent="0.25">
      <c r="A331" s="13" t="s">
        <v>302</v>
      </c>
      <c r="B331" s="14" t="s">
        <v>263</v>
      </c>
      <c r="C331" s="14" t="s">
        <v>132</v>
      </c>
      <c r="D331" s="10" t="s">
        <v>197</v>
      </c>
      <c r="E331" s="11">
        <v>184.5</v>
      </c>
      <c r="F331" s="12">
        <v>45809</v>
      </c>
    </row>
    <row r="332" spans="1:6" ht="15" x14ac:dyDescent="0.25">
      <c r="A332" s="13" t="s">
        <v>302</v>
      </c>
      <c r="B332" s="14" t="s">
        <v>263</v>
      </c>
      <c r="C332" s="14" t="s">
        <v>132</v>
      </c>
      <c r="D332" s="10" t="s">
        <v>174</v>
      </c>
      <c r="E332" s="11">
        <v>357.38</v>
      </c>
      <c r="F332" s="12">
        <v>45809</v>
      </c>
    </row>
    <row r="333" spans="1:6" ht="15" x14ac:dyDescent="0.25">
      <c r="A333" s="13" t="s">
        <v>302</v>
      </c>
      <c r="B333" s="14" t="s">
        <v>263</v>
      </c>
      <c r="C333" s="14" t="s">
        <v>132</v>
      </c>
      <c r="D333" s="10" t="s">
        <v>35</v>
      </c>
      <c r="E333" s="11">
        <v>543.38</v>
      </c>
      <c r="F333" s="12">
        <v>45809</v>
      </c>
    </row>
    <row r="334" spans="1:6" ht="15" x14ac:dyDescent="0.25">
      <c r="A334" s="13" t="s">
        <v>302</v>
      </c>
      <c r="B334" s="14" t="s">
        <v>263</v>
      </c>
      <c r="C334" s="14" t="s">
        <v>132</v>
      </c>
      <c r="D334" s="10" t="s">
        <v>30</v>
      </c>
      <c r="E334" s="11">
        <v>727.88</v>
      </c>
      <c r="F334" s="12">
        <v>45809</v>
      </c>
    </row>
    <row r="335" spans="1:6" ht="15" x14ac:dyDescent="0.25">
      <c r="A335" s="13" t="s">
        <v>302</v>
      </c>
      <c r="B335" s="14" t="s">
        <v>263</v>
      </c>
      <c r="C335" s="14" t="s">
        <v>132</v>
      </c>
      <c r="D335" s="10" t="s">
        <v>221</v>
      </c>
      <c r="E335" s="11">
        <v>147</v>
      </c>
      <c r="F335" s="12">
        <v>45809</v>
      </c>
    </row>
    <row r="336" spans="1:6" ht="15" x14ac:dyDescent="0.25">
      <c r="A336" s="13" t="s">
        <v>302</v>
      </c>
      <c r="B336" s="14" t="s">
        <v>263</v>
      </c>
      <c r="C336" s="14" t="s">
        <v>132</v>
      </c>
      <c r="D336" s="10" t="s">
        <v>43</v>
      </c>
      <c r="E336" s="11">
        <v>112</v>
      </c>
      <c r="F336" s="12">
        <v>45809</v>
      </c>
    </row>
    <row r="337" spans="1:6" ht="15" x14ac:dyDescent="0.25">
      <c r="A337" s="13" t="s">
        <v>303</v>
      </c>
      <c r="B337" s="14" t="s">
        <v>224</v>
      </c>
      <c r="C337" s="14" t="s">
        <v>191</v>
      </c>
      <c r="D337" s="10" t="s">
        <v>174</v>
      </c>
      <c r="E337" s="16">
        <v>324</v>
      </c>
      <c r="F337" s="12">
        <v>45139</v>
      </c>
    </row>
    <row r="338" spans="1:6" ht="15" x14ac:dyDescent="0.25">
      <c r="A338" s="13" t="s">
        <v>303</v>
      </c>
      <c r="B338" s="14" t="s">
        <v>224</v>
      </c>
      <c r="C338" s="14" t="s">
        <v>191</v>
      </c>
      <c r="D338" s="10" t="s">
        <v>221</v>
      </c>
      <c r="E338" s="11">
        <v>128</v>
      </c>
      <c r="F338" s="12">
        <v>45139</v>
      </c>
    </row>
    <row r="339" spans="1:6" ht="15" x14ac:dyDescent="0.25">
      <c r="A339" s="13" t="s">
        <v>303</v>
      </c>
      <c r="B339" s="14" t="s">
        <v>224</v>
      </c>
      <c r="C339" s="14" t="s">
        <v>191</v>
      </c>
      <c r="D339" s="10" t="s">
        <v>43</v>
      </c>
      <c r="E339" s="11">
        <v>98</v>
      </c>
      <c r="F339" s="12">
        <v>45139</v>
      </c>
    </row>
    <row r="340" spans="1:6" ht="15" x14ac:dyDescent="0.25">
      <c r="A340" s="13" t="s">
        <v>304</v>
      </c>
      <c r="B340" s="14" t="s">
        <v>224</v>
      </c>
      <c r="C340" s="14" t="s">
        <v>129</v>
      </c>
      <c r="D340" s="10" t="s">
        <v>197</v>
      </c>
      <c r="E340" s="16">
        <v>138</v>
      </c>
      <c r="F340" s="12">
        <v>42758</v>
      </c>
    </row>
    <row r="341" spans="1:6" ht="15" x14ac:dyDescent="0.25">
      <c r="A341" s="13" t="s">
        <v>304</v>
      </c>
      <c r="B341" s="14" t="s">
        <v>224</v>
      </c>
      <c r="C341" s="14" t="s">
        <v>129</v>
      </c>
      <c r="D341" s="10" t="s">
        <v>174</v>
      </c>
      <c r="E341" s="16">
        <v>268</v>
      </c>
      <c r="F341" s="12">
        <v>42758</v>
      </c>
    </row>
    <row r="342" spans="1:6" ht="15" x14ac:dyDescent="0.25">
      <c r="A342" s="13" t="s">
        <v>304</v>
      </c>
      <c r="B342" s="14" t="s">
        <v>224</v>
      </c>
      <c r="C342" s="14" t="s">
        <v>129</v>
      </c>
      <c r="D342" s="10" t="s">
        <v>35</v>
      </c>
      <c r="E342" s="16">
        <v>405</v>
      </c>
      <c r="F342" s="12">
        <v>42758</v>
      </c>
    </row>
    <row r="343" spans="1:6" ht="15" x14ac:dyDescent="0.25">
      <c r="A343" s="13" t="s">
        <v>304</v>
      </c>
      <c r="B343" s="14" t="s">
        <v>224</v>
      </c>
      <c r="C343" s="14" t="s">
        <v>129</v>
      </c>
      <c r="D343" s="10" t="s">
        <v>30</v>
      </c>
      <c r="E343" s="16">
        <v>544</v>
      </c>
      <c r="F343" s="12">
        <v>42758</v>
      </c>
    </row>
    <row r="344" spans="1:6" ht="15" x14ac:dyDescent="0.25">
      <c r="A344" s="13" t="s">
        <v>304</v>
      </c>
      <c r="B344" s="14" t="s">
        <v>224</v>
      </c>
      <c r="C344" s="14" t="s">
        <v>129</v>
      </c>
      <c r="D344" s="10" t="s">
        <v>221</v>
      </c>
      <c r="E344" s="11">
        <v>92</v>
      </c>
      <c r="F344" s="12">
        <v>42758</v>
      </c>
    </row>
    <row r="345" spans="1:6" ht="15" x14ac:dyDescent="0.25">
      <c r="A345" s="13" t="s">
        <v>304</v>
      </c>
      <c r="B345" s="14" t="s">
        <v>224</v>
      </c>
      <c r="C345" s="14" t="s">
        <v>129</v>
      </c>
      <c r="D345" s="10" t="s">
        <v>43</v>
      </c>
      <c r="E345" s="11">
        <v>72</v>
      </c>
      <c r="F345" s="12">
        <v>42758</v>
      </c>
    </row>
    <row r="346" spans="1:6" ht="15" x14ac:dyDescent="0.25">
      <c r="A346" s="13" t="s">
        <v>305</v>
      </c>
      <c r="B346" s="14" t="s">
        <v>224</v>
      </c>
      <c r="C346" s="14" t="s">
        <v>136</v>
      </c>
      <c r="D346" s="10" t="s">
        <v>174</v>
      </c>
      <c r="E346" s="17">
        <v>357</v>
      </c>
      <c r="F346" s="12">
        <v>45839</v>
      </c>
    </row>
    <row r="347" spans="1:6" ht="15" x14ac:dyDescent="0.25">
      <c r="A347" s="13" t="s">
        <v>305</v>
      </c>
      <c r="B347" s="14" t="s">
        <v>224</v>
      </c>
      <c r="C347" s="14" t="s">
        <v>136</v>
      </c>
      <c r="D347" s="10" t="s">
        <v>35</v>
      </c>
      <c r="E347" s="17">
        <v>543</v>
      </c>
      <c r="F347" s="12">
        <v>45839</v>
      </c>
    </row>
    <row r="348" spans="1:6" ht="15" x14ac:dyDescent="0.25">
      <c r="A348" s="13" t="s">
        <v>305</v>
      </c>
      <c r="B348" s="14" t="s">
        <v>224</v>
      </c>
      <c r="C348" s="14" t="s">
        <v>136</v>
      </c>
      <c r="D348" s="10" t="s">
        <v>221</v>
      </c>
      <c r="E348" s="18">
        <v>147</v>
      </c>
      <c r="F348" s="12">
        <v>45839</v>
      </c>
    </row>
    <row r="349" spans="1:6" ht="15" x14ac:dyDescent="0.25">
      <c r="A349" s="13" t="s">
        <v>305</v>
      </c>
      <c r="B349" s="14" t="s">
        <v>224</v>
      </c>
      <c r="C349" s="14" t="s">
        <v>136</v>
      </c>
      <c r="D349" s="10" t="s">
        <v>43</v>
      </c>
      <c r="E349" s="18">
        <v>112</v>
      </c>
      <c r="F349" s="12">
        <v>45839</v>
      </c>
    </row>
    <row r="350" spans="1:6" ht="15" x14ac:dyDescent="0.25">
      <c r="A350" s="13" t="s">
        <v>306</v>
      </c>
      <c r="B350" s="14" t="s">
        <v>224</v>
      </c>
      <c r="C350" s="14" t="s">
        <v>169</v>
      </c>
      <c r="D350" s="10" t="s">
        <v>35</v>
      </c>
      <c r="E350" s="16">
        <v>492.75</v>
      </c>
      <c r="F350" s="12">
        <v>45139</v>
      </c>
    </row>
    <row r="351" spans="1:6" ht="15" x14ac:dyDescent="0.25">
      <c r="A351" s="13" t="s">
        <v>307</v>
      </c>
      <c r="B351" s="14" t="s">
        <v>224</v>
      </c>
      <c r="C351" s="14" t="s">
        <v>632</v>
      </c>
      <c r="D351" s="10" t="s">
        <v>35</v>
      </c>
      <c r="E351" s="16">
        <v>492.75</v>
      </c>
      <c r="F351" s="12">
        <v>45839</v>
      </c>
    </row>
    <row r="352" spans="1:6" ht="15" x14ac:dyDescent="0.25">
      <c r="A352" s="13" t="s">
        <v>307</v>
      </c>
      <c r="B352" s="14" t="s">
        <v>224</v>
      </c>
      <c r="C352" s="14" t="s">
        <v>632</v>
      </c>
      <c r="D352" s="10" t="s">
        <v>221</v>
      </c>
      <c r="E352" s="11">
        <v>128</v>
      </c>
      <c r="F352" s="12">
        <v>45839</v>
      </c>
    </row>
    <row r="353" spans="1:6" ht="15" x14ac:dyDescent="0.25">
      <c r="A353" s="13" t="s">
        <v>308</v>
      </c>
      <c r="B353" s="14" t="s">
        <v>224</v>
      </c>
      <c r="C353" s="14" t="s">
        <v>31</v>
      </c>
      <c r="D353" s="10" t="s">
        <v>30</v>
      </c>
      <c r="E353" s="16">
        <v>586.5</v>
      </c>
      <c r="F353" s="12">
        <v>44682</v>
      </c>
    </row>
    <row r="354" spans="1:6" ht="15" x14ac:dyDescent="0.25">
      <c r="A354" s="13" t="s">
        <v>308</v>
      </c>
      <c r="B354" s="14" t="s">
        <v>224</v>
      </c>
      <c r="C354" s="14" t="s">
        <v>31</v>
      </c>
      <c r="D354" s="10" t="s">
        <v>221</v>
      </c>
      <c r="E354" s="11">
        <v>114</v>
      </c>
      <c r="F354" s="12">
        <v>44682</v>
      </c>
    </row>
    <row r="355" spans="1:6" ht="15" x14ac:dyDescent="0.25">
      <c r="A355" s="13" t="s">
        <v>309</v>
      </c>
      <c r="B355" s="14" t="s">
        <v>224</v>
      </c>
      <c r="C355" s="14" t="s">
        <v>106</v>
      </c>
      <c r="D355" s="10" t="s">
        <v>35</v>
      </c>
      <c r="E355" s="16">
        <v>591</v>
      </c>
      <c r="F355" s="12">
        <v>45200</v>
      </c>
    </row>
    <row r="356" spans="1:6" ht="15" x14ac:dyDescent="0.25">
      <c r="A356" s="13" t="s">
        <v>309</v>
      </c>
      <c r="B356" s="14" t="s">
        <v>224</v>
      </c>
      <c r="C356" s="14" t="s">
        <v>106</v>
      </c>
      <c r="D356" s="10" t="s">
        <v>221</v>
      </c>
      <c r="E356" s="11">
        <v>128</v>
      </c>
      <c r="F356" s="12">
        <v>45200</v>
      </c>
    </row>
    <row r="357" spans="1:6" ht="15" x14ac:dyDescent="0.25">
      <c r="A357" s="13" t="s">
        <v>310</v>
      </c>
      <c r="B357" s="14" t="s">
        <v>224</v>
      </c>
      <c r="C357" s="14" t="s">
        <v>38</v>
      </c>
      <c r="D357" s="10" t="s">
        <v>35</v>
      </c>
      <c r="E357" s="16">
        <v>591</v>
      </c>
      <c r="F357" s="12">
        <v>45200</v>
      </c>
    </row>
    <row r="358" spans="1:6" ht="15" x14ac:dyDescent="0.25">
      <c r="A358" s="13" t="s">
        <v>310</v>
      </c>
      <c r="B358" s="14" t="s">
        <v>224</v>
      </c>
      <c r="C358" s="14" t="s">
        <v>38</v>
      </c>
      <c r="D358" s="10" t="s">
        <v>30</v>
      </c>
      <c r="E358" s="16">
        <v>792</v>
      </c>
      <c r="F358" s="12">
        <v>45200</v>
      </c>
    </row>
    <row r="359" spans="1:6" ht="15" x14ac:dyDescent="0.25">
      <c r="A359" s="13" t="s">
        <v>310</v>
      </c>
      <c r="B359" s="14" t="s">
        <v>224</v>
      </c>
      <c r="C359" s="14" t="s">
        <v>38</v>
      </c>
      <c r="D359" s="10" t="s">
        <v>221</v>
      </c>
      <c r="E359" s="11">
        <v>128</v>
      </c>
      <c r="F359" s="12">
        <v>45200</v>
      </c>
    </row>
    <row r="360" spans="1:6" ht="15" x14ac:dyDescent="0.25">
      <c r="A360" s="13" t="s">
        <v>311</v>
      </c>
      <c r="B360" s="14" t="s">
        <v>263</v>
      </c>
      <c r="C360" s="14" t="s">
        <v>139</v>
      </c>
      <c r="D360" s="10" t="s">
        <v>197</v>
      </c>
      <c r="E360" s="16">
        <v>185</v>
      </c>
      <c r="F360" s="12">
        <v>45809</v>
      </c>
    </row>
    <row r="361" spans="1:6" ht="15" x14ac:dyDescent="0.25">
      <c r="A361" s="13" t="s">
        <v>311</v>
      </c>
      <c r="B361" s="14" t="s">
        <v>263</v>
      </c>
      <c r="C361" s="14" t="s">
        <v>139</v>
      </c>
      <c r="D361" s="10" t="s">
        <v>174</v>
      </c>
      <c r="E361" s="16">
        <v>357</v>
      </c>
      <c r="F361" s="12">
        <v>45809</v>
      </c>
    </row>
    <row r="362" spans="1:6" ht="15" x14ac:dyDescent="0.25">
      <c r="A362" s="13" t="s">
        <v>311</v>
      </c>
      <c r="B362" s="14" t="s">
        <v>263</v>
      </c>
      <c r="C362" s="14" t="s">
        <v>139</v>
      </c>
      <c r="D362" s="10" t="s">
        <v>35</v>
      </c>
      <c r="E362" s="16">
        <v>543</v>
      </c>
      <c r="F362" s="12">
        <v>45809</v>
      </c>
    </row>
    <row r="363" spans="1:6" ht="15" x14ac:dyDescent="0.25">
      <c r="A363" s="13" t="s">
        <v>311</v>
      </c>
      <c r="B363" s="14" t="s">
        <v>263</v>
      </c>
      <c r="C363" s="14" t="s">
        <v>139</v>
      </c>
      <c r="D363" s="10" t="s">
        <v>30</v>
      </c>
      <c r="E363" s="16">
        <v>728</v>
      </c>
      <c r="F363" s="12">
        <v>45809</v>
      </c>
    </row>
    <row r="364" spans="1:6" ht="15" x14ac:dyDescent="0.25">
      <c r="A364" s="13" t="s">
        <v>311</v>
      </c>
      <c r="B364" s="14" t="s">
        <v>263</v>
      </c>
      <c r="C364" s="14" t="s">
        <v>139</v>
      </c>
      <c r="D364" s="10" t="s">
        <v>221</v>
      </c>
      <c r="E364" s="11">
        <v>147</v>
      </c>
      <c r="F364" s="12">
        <v>45809</v>
      </c>
    </row>
    <row r="365" spans="1:6" ht="15" x14ac:dyDescent="0.25">
      <c r="A365" s="13" t="s">
        <v>311</v>
      </c>
      <c r="B365" s="14" t="s">
        <v>263</v>
      </c>
      <c r="C365" s="14" t="s">
        <v>139</v>
      </c>
      <c r="D365" s="10" t="s">
        <v>43</v>
      </c>
      <c r="E365" s="11">
        <v>112</v>
      </c>
      <c r="F365" s="12">
        <v>45809</v>
      </c>
    </row>
    <row r="366" spans="1:6" ht="15" x14ac:dyDescent="0.25">
      <c r="A366" s="13" t="s">
        <v>312</v>
      </c>
      <c r="B366" s="14" t="s">
        <v>224</v>
      </c>
      <c r="C366" s="14" t="s">
        <v>137</v>
      </c>
      <c r="D366" s="10" t="s">
        <v>35</v>
      </c>
      <c r="E366" s="16">
        <v>543</v>
      </c>
      <c r="F366" s="12">
        <v>45809</v>
      </c>
    </row>
    <row r="367" spans="1:6" ht="15" x14ac:dyDescent="0.25">
      <c r="A367" s="13" t="s">
        <v>312</v>
      </c>
      <c r="B367" s="14" t="s">
        <v>224</v>
      </c>
      <c r="C367" s="14" t="s">
        <v>137</v>
      </c>
      <c r="D367" s="10" t="s">
        <v>221</v>
      </c>
      <c r="E367" s="11">
        <v>147</v>
      </c>
      <c r="F367" s="12">
        <v>45809</v>
      </c>
    </row>
    <row r="368" spans="1:6" ht="15" x14ac:dyDescent="0.25">
      <c r="A368" s="13" t="s">
        <v>313</v>
      </c>
      <c r="B368" s="14" t="s">
        <v>224</v>
      </c>
      <c r="C368" s="14" t="s">
        <v>87</v>
      </c>
      <c r="D368" s="10" t="s">
        <v>35</v>
      </c>
      <c r="E368" s="16">
        <v>517.5</v>
      </c>
      <c r="F368" s="12">
        <v>45809</v>
      </c>
    </row>
    <row r="369" spans="1:6" ht="15" x14ac:dyDescent="0.25">
      <c r="A369" s="13" t="s">
        <v>313</v>
      </c>
      <c r="B369" s="14" t="s">
        <v>224</v>
      </c>
      <c r="C369" s="14" t="s">
        <v>87</v>
      </c>
      <c r="D369" s="10" t="s">
        <v>30</v>
      </c>
      <c r="E369" s="16">
        <v>693</v>
      </c>
      <c r="F369" s="12">
        <v>45809</v>
      </c>
    </row>
    <row r="370" spans="1:6" ht="15" x14ac:dyDescent="0.25">
      <c r="A370" s="13" t="s">
        <v>313</v>
      </c>
      <c r="B370" s="14" t="s">
        <v>224</v>
      </c>
      <c r="C370" s="14" t="s">
        <v>87</v>
      </c>
      <c r="D370" s="10" t="s">
        <v>221</v>
      </c>
      <c r="E370" s="11">
        <v>140</v>
      </c>
      <c r="F370" s="12">
        <v>45809</v>
      </c>
    </row>
    <row r="371" spans="1:6" ht="15" x14ac:dyDescent="0.25">
      <c r="A371" s="13" t="s">
        <v>314</v>
      </c>
      <c r="B371" s="14" t="s">
        <v>224</v>
      </c>
      <c r="C371" s="14" t="s">
        <v>135</v>
      </c>
      <c r="D371" s="10" t="s">
        <v>35</v>
      </c>
      <c r="E371" s="16">
        <v>543</v>
      </c>
      <c r="F371" s="12">
        <v>45809</v>
      </c>
    </row>
    <row r="372" spans="1:6" ht="15" x14ac:dyDescent="0.25">
      <c r="A372" s="13" t="s">
        <v>314</v>
      </c>
      <c r="B372" s="14" t="s">
        <v>224</v>
      </c>
      <c r="C372" s="14" t="s">
        <v>135</v>
      </c>
      <c r="D372" s="10" t="s">
        <v>221</v>
      </c>
      <c r="E372" s="11">
        <v>147</v>
      </c>
      <c r="F372" s="12">
        <v>45809</v>
      </c>
    </row>
    <row r="373" spans="1:6" ht="15" x14ac:dyDescent="0.25">
      <c r="A373" s="13" t="s">
        <v>315</v>
      </c>
      <c r="B373" s="14" t="s">
        <v>224</v>
      </c>
      <c r="C373" s="14" t="s">
        <v>173</v>
      </c>
      <c r="D373" s="10" t="s">
        <v>174</v>
      </c>
      <c r="E373" s="17">
        <v>315.10000000000002</v>
      </c>
      <c r="F373" s="12">
        <v>45383</v>
      </c>
    </row>
    <row r="374" spans="1:6" ht="15" x14ac:dyDescent="0.25">
      <c r="A374" s="13" t="s">
        <v>315</v>
      </c>
      <c r="B374" s="14" t="s">
        <v>224</v>
      </c>
      <c r="C374" s="14" t="s">
        <v>173</v>
      </c>
      <c r="D374" s="10" t="s">
        <v>35</v>
      </c>
      <c r="E374" s="17">
        <v>479.55</v>
      </c>
      <c r="F374" s="12">
        <v>45383</v>
      </c>
    </row>
    <row r="375" spans="1:6" ht="15" x14ac:dyDescent="0.25">
      <c r="A375" s="13" t="s">
        <v>315</v>
      </c>
      <c r="B375" s="14" t="s">
        <v>224</v>
      </c>
      <c r="C375" s="14" t="s">
        <v>173</v>
      </c>
      <c r="D375" s="10" t="s">
        <v>221</v>
      </c>
      <c r="E375" s="18">
        <v>128</v>
      </c>
      <c r="F375" s="12">
        <v>45383</v>
      </c>
    </row>
    <row r="376" spans="1:6" ht="15" x14ac:dyDescent="0.25">
      <c r="A376" s="13" t="s">
        <v>315</v>
      </c>
      <c r="B376" s="14" t="s">
        <v>224</v>
      </c>
      <c r="C376" s="14" t="s">
        <v>173</v>
      </c>
      <c r="D376" s="10" t="s">
        <v>43</v>
      </c>
      <c r="E376" s="18">
        <v>98</v>
      </c>
      <c r="F376" s="12">
        <v>45383</v>
      </c>
    </row>
    <row r="377" spans="1:6" ht="15" x14ac:dyDescent="0.25">
      <c r="A377" s="13" t="s">
        <v>316</v>
      </c>
      <c r="B377" s="14" t="s">
        <v>224</v>
      </c>
      <c r="C377" s="14" t="s">
        <v>179</v>
      </c>
      <c r="D377" s="10" t="s">
        <v>35</v>
      </c>
      <c r="E377" s="16">
        <v>430.1</v>
      </c>
      <c r="F377" s="12">
        <v>42217</v>
      </c>
    </row>
    <row r="378" spans="1:6" ht="15" x14ac:dyDescent="0.25">
      <c r="A378" s="13" t="s">
        <v>316</v>
      </c>
      <c r="B378" s="14" t="s">
        <v>224</v>
      </c>
      <c r="C378" s="14" t="s">
        <v>179</v>
      </c>
      <c r="D378" s="10" t="s">
        <v>30</v>
      </c>
      <c r="E378" s="16">
        <v>576.29999999999995</v>
      </c>
      <c r="F378" s="12">
        <v>42217</v>
      </c>
    </row>
    <row r="379" spans="1:6" ht="15" x14ac:dyDescent="0.25">
      <c r="A379" s="13" t="s">
        <v>316</v>
      </c>
      <c r="B379" s="14" t="s">
        <v>224</v>
      </c>
      <c r="C379" s="14" t="s">
        <v>179</v>
      </c>
      <c r="D379" s="10" t="s">
        <v>221</v>
      </c>
      <c r="E379" s="11">
        <v>92</v>
      </c>
      <c r="F379" s="12">
        <v>42217</v>
      </c>
    </row>
    <row r="380" spans="1:6" ht="15" x14ac:dyDescent="0.25">
      <c r="A380" s="13" t="s">
        <v>317</v>
      </c>
      <c r="B380" s="14" t="s">
        <v>224</v>
      </c>
      <c r="C380" s="14" t="s">
        <v>205</v>
      </c>
      <c r="D380" s="10" t="s">
        <v>35</v>
      </c>
      <c r="E380" s="16">
        <v>543</v>
      </c>
      <c r="F380" s="12">
        <v>45809</v>
      </c>
    </row>
    <row r="381" spans="1:6" ht="15" x14ac:dyDescent="0.25">
      <c r="A381" s="13" t="s">
        <v>317</v>
      </c>
      <c r="B381" s="14" t="s">
        <v>224</v>
      </c>
      <c r="C381" s="14" t="s">
        <v>205</v>
      </c>
      <c r="D381" s="10" t="s">
        <v>30</v>
      </c>
      <c r="E381" s="16">
        <v>728</v>
      </c>
      <c r="F381" s="12">
        <v>45809</v>
      </c>
    </row>
    <row r="382" spans="1:6" ht="15" x14ac:dyDescent="0.25">
      <c r="A382" s="13" t="s">
        <v>317</v>
      </c>
      <c r="B382" s="14" t="s">
        <v>224</v>
      </c>
      <c r="C382" s="14" t="s">
        <v>205</v>
      </c>
      <c r="D382" s="10" t="s">
        <v>221</v>
      </c>
      <c r="E382" s="11">
        <v>140</v>
      </c>
      <c r="F382" s="12">
        <v>45809</v>
      </c>
    </row>
    <row r="383" spans="1:6" ht="15" x14ac:dyDescent="0.25">
      <c r="A383" s="13" t="s">
        <v>318</v>
      </c>
      <c r="B383" s="14" t="s">
        <v>224</v>
      </c>
      <c r="C383" s="14" t="s">
        <v>184</v>
      </c>
      <c r="D383" s="10" t="s">
        <v>174</v>
      </c>
      <c r="E383" s="16">
        <v>265.5</v>
      </c>
      <c r="F383" s="12">
        <v>43206</v>
      </c>
    </row>
    <row r="384" spans="1:6" ht="15" x14ac:dyDescent="0.25">
      <c r="A384" s="13" t="s">
        <v>318</v>
      </c>
      <c r="B384" s="14" t="s">
        <v>224</v>
      </c>
      <c r="C384" s="14" t="s">
        <v>184</v>
      </c>
      <c r="D384" s="10" t="s">
        <v>35</v>
      </c>
      <c r="E384" s="16">
        <v>402.75</v>
      </c>
      <c r="F384" s="12">
        <v>43206</v>
      </c>
    </row>
    <row r="385" spans="1:6" ht="15" x14ac:dyDescent="0.25">
      <c r="A385" s="13" t="s">
        <v>318</v>
      </c>
      <c r="B385" s="14" t="s">
        <v>224</v>
      </c>
      <c r="C385" s="14" t="s">
        <v>184</v>
      </c>
      <c r="D385" s="10" t="s">
        <v>30</v>
      </c>
      <c r="E385" s="16">
        <v>539.5</v>
      </c>
      <c r="F385" s="12">
        <v>43206</v>
      </c>
    </row>
    <row r="386" spans="1:6" ht="15" x14ac:dyDescent="0.25">
      <c r="A386" s="13" t="s">
        <v>318</v>
      </c>
      <c r="B386" s="14" t="s">
        <v>224</v>
      </c>
      <c r="C386" s="14" t="s">
        <v>184</v>
      </c>
      <c r="D386" s="10" t="s">
        <v>221</v>
      </c>
      <c r="E386" s="11">
        <v>98</v>
      </c>
      <c r="F386" s="12">
        <v>43206</v>
      </c>
    </row>
    <row r="387" spans="1:6" ht="15" x14ac:dyDescent="0.25">
      <c r="A387" s="13" t="s">
        <v>318</v>
      </c>
      <c r="B387" s="14" t="s">
        <v>224</v>
      </c>
      <c r="C387" s="14" t="s">
        <v>184</v>
      </c>
      <c r="D387" s="10" t="s">
        <v>43</v>
      </c>
      <c r="E387" s="11">
        <v>74</v>
      </c>
      <c r="F387" s="12">
        <v>43206</v>
      </c>
    </row>
    <row r="388" spans="1:6" ht="15" x14ac:dyDescent="0.25">
      <c r="A388" s="13" t="s">
        <v>319</v>
      </c>
      <c r="B388" s="14" t="s">
        <v>224</v>
      </c>
      <c r="C388" s="14" t="s">
        <v>151</v>
      </c>
      <c r="D388" s="10" t="s">
        <v>35</v>
      </c>
      <c r="E388" s="16">
        <v>518</v>
      </c>
      <c r="F388" s="12">
        <v>45658</v>
      </c>
    </row>
    <row r="389" spans="1:6" ht="15" x14ac:dyDescent="0.25">
      <c r="A389" s="13" t="s">
        <v>319</v>
      </c>
      <c r="B389" s="14" t="s">
        <v>224</v>
      </c>
      <c r="C389" s="14" t="s">
        <v>151</v>
      </c>
      <c r="D389" s="10" t="s">
        <v>30</v>
      </c>
      <c r="E389" s="16">
        <v>693</v>
      </c>
      <c r="F389" s="12">
        <v>45658</v>
      </c>
    </row>
    <row r="390" spans="1:6" ht="15" x14ac:dyDescent="0.25">
      <c r="A390" s="13" t="s">
        <v>319</v>
      </c>
      <c r="B390" s="14" t="s">
        <v>224</v>
      </c>
      <c r="C390" s="14" t="s">
        <v>151</v>
      </c>
      <c r="D390" s="10" t="s">
        <v>221</v>
      </c>
      <c r="E390" s="11">
        <v>140</v>
      </c>
      <c r="F390" s="12">
        <v>45658</v>
      </c>
    </row>
    <row r="391" spans="1:6" ht="15" x14ac:dyDescent="0.25">
      <c r="A391" s="13" t="s">
        <v>634</v>
      </c>
      <c r="B391" s="14" t="s">
        <v>224</v>
      </c>
      <c r="C391" s="14" t="s">
        <v>635</v>
      </c>
      <c r="D391" s="10" t="s">
        <v>35</v>
      </c>
      <c r="E391" s="11"/>
      <c r="F391" s="12">
        <v>45901</v>
      </c>
    </row>
    <row r="392" spans="1:6" ht="15" x14ac:dyDescent="0.25">
      <c r="A392" s="13" t="s">
        <v>634</v>
      </c>
      <c r="B392" s="14" t="s">
        <v>224</v>
      </c>
      <c r="C392" s="14" t="s">
        <v>635</v>
      </c>
      <c r="D392" s="10" t="s">
        <v>30</v>
      </c>
      <c r="E392" s="11"/>
      <c r="F392" s="12">
        <v>45901</v>
      </c>
    </row>
    <row r="393" spans="1:6" ht="15" x14ac:dyDescent="0.25">
      <c r="A393" s="13" t="s">
        <v>320</v>
      </c>
      <c r="B393" s="14" t="s">
        <v>224</v>
      </c>
      <c r="C393" s="14" t="s">
        <v>91</v>
      </c>
      <c r="D393" s="10" t="s">
        <v>197</v>
      </c>
      <c r="E393" s="19">
        <v>167.63</v>
      </c>
      <c r="F393" s="12">
        <v>45627</v>
      </c>
    </row>
    <row r="394" spans="1:6" ht="15" x14ac:dyDescent="0.25">
      <c r="A394" s="13" t="s">
        <v>320</v>
      </c>
      <c r="B394" s="14" t="s">
        <v>224</v>
      </c>
      <c r="C394" s="14" t="s">
        <v>91</v>
      </c>
      <c r="D394" s="10" t="s">
        <v>174</v>
      </c>
      <c r="E394" s="19">
        <v>324.38</v>
      </c>
      <c r="F394" s="12">
        <v>45627</v>
      </c>
    </row>
    <row r="395" spans="1:6" ht="15" x14ac:dyDescent="0.25">
      <c r="A395" s="13" t="s">
        <v>320</v>
      </c>
      <c r="B395" s="14" t="s">
        <v>224</v>
      </c>
      <c r="C395" s="14" t="s">
        <v>91</v>
      </c>
      <c r="D395" s="10" t="s">
        <v>35</v>
      </c>
      <c r="E395" s="19">
        <v>492.75</v>
      </c>
      <c r="F395" s="12">
        <v>45627</v>
      </c>
    </row>
    <row r="396" spans="1:6" ht="15" x14ac:dyDescent="0.25">
      <c r="A396" s="13" t="s">
        <v>320</v>
      </c>
      <c r="B396" s="14" t="s">
        <v>224</v>
      </c>
      <c r="C396" s="14" t="s">
        <v>91</v>
      </c>
      <c r="D396" s="10" t="s">
        <v>30</v>
      </c>
      <c r="E396" s="19">
        <v>660.38</v>
      </c>
      <c r="F396" s="12">
        <v>45627</v>
      </c>
    </row>
    <row r="397" spans="1:6" ht="15" x14ac:dyDescent="0.25">
      <c r="A397" s="13" t="s">
        <v>320</v>
      </c>
      <c r="B397" s="14" t="s">
        <v>224</v>
      </c>
      <c r="C397" s="14" t="s">
        <v>91</v>
      </c>
      <c r="D397" s="10" t="s">
        <v>221</v>
      </c>
      <c r="E397" s="20">
        <v>128</v>
      </c>
      <c r="F397" s="12">
        <v>45627</v>
      </c>
    </row>
    <row r="398" spans="1:6" ht="15" x14ac:dyDescent="0.25">
      <c r="A398" s="13" t="s">
        <v>320</v>
      </c>
      <c r="B398" s="14" t="s">
        <v>224</v>
      </c>
      <c r="C398" s="14" t="s">
        <v>91</v>
      </c>
      <c r="D398" s="10" t="s">
        <v>43</v>
      </c>
      <c r="E398" s="20">
        <v>98</v>
      </c>
      <c r="F398" s="12">
        <v>45627</v>
      </c>
    </row>
    <row r="399" spans="1:6" ht="15" x14ac:dyDescent="0.25">
      <c r="A399" s="13" t="s">
        <v>321</v>
      </c>
      <c r="B399" s="14" t="s">
        <v>224</v>
      </c>
      <c r="C399" s="14" t="s">
        <v>160</v>
      </c>
      <c r="D399" s="10" t="s">
        <v>197</v>
      </c>
      <c r="E399" s="16">
        <v>132</v>
      </c>
      <c r="F399" s="12">
        <v>42370</v>
      </c>
    </row>
    <row r="400" spans="1:6" ht="15" x14ac:dyDescent="0.25">
      <c r="A400" s="13" t="s">
        <v>321</v>
      </c>
      <c r="B400" s="14" t="s">
        <v>224</v>
      </c>
      <c r="C400" s="14" t="s">
        <v>160</v>
      </c>
      <c r="D400" s="10" t="s">
        <v>174</v>
      </c>
      <c r="E400" s="16">
        <v>257</v>
      </c>
      <c r="F400" s="12">
        <v>42370</v>
      </c>
    </row>
    <row r="401" spans="1:6" ht="15" x14ac:dyDescent="0.25">
      <c r="A401" s="13" t="s">
        <v>321</v>
      </c>
      <c r="B401" s="14" t="s">
        <v>224</v>
      </c>
      <c r="C401" s="14" t="s">
        <v>160</v>
      </c>
      <c r="D401" s="10" t="s">
        <v>35</v>
      </c>
      <c r="E401" s="16">
        <v>370</v>
      </c>
      <c r="F401" s="12">
        <v>42370</v>
      </c>
    </row>
    <row r="402" spans="1:6" ht="15" x14ac:dyDescent="0.25">
      <c r="A402" s="13" t="s">
        <v>321</v>
      </c>
      <c r="B402" s="14" t="s">
        <v>224</v>
      </c>
      <c r="C402" s="14" t="s">
        <v>160</v>
      </c>
      <c r="D402" s="10" t="s">
        <v>30</v>
      </c>
      <c r="E402" s="16">
        <v>500</v>
      </c>
      <c r="F402" s="12">
        <v>42370</v>
      </c>
    </row>
    <row r="403" spans="1:6" ht="15" x14ac:dyDescent="0.25">
      <c r="A403" s="13" t="s">
        <v>321</v>
      </c>
      <c r="B403" s="14" t="s">
        <v>224</v>
      </c>
      <c r="C403" s="14" t="s">
        <v>160</v>
      </c>
      <c r="D403" s="10" t="s">
        <v>43</v>
      </c>
      <c r="E403" s="11">
        <v>65</v>
      </c>
      <c r="F403" s="12">
        <v>42370</v>
      </c>
    </row>
    <row r="404" spans="1:6" ht="15" x14ac:dyDescent="0.25">
      <c r="A404" s="13" t="s">
        <v>322</v>
      </c>
      <c r="B404" s="14" t="s">
        <v>224</v>
      </c>
      <c r="C404" s="14" t="s">
        <v>178</v>
      </c>
      <c r="D404" s="10" t="s">
        <v>174</v>
      </c>
      <c r="E404" s="16">
        <v>454</v>
      </c>
      <c r="F404" s="12" t="s">
        <v>323</v>
      </c>
    </row>
    <row r="405" spans="1:6" ht="15" x14ac:dyDescent="0.25">
      <c r="A405" s="13" t="s">
        <v>322</v>
      </c>
      <c r="B405" s="14" t="s">
        <v>224</v>
      </c>
      <c r="C405" s="14" t="s">
        <v>178</v>
      </c>
      <c r="D405" s="10" t="s">
        <v>221</v>
      </c>
      <c r="E405" s="11">
        <v>147</v>
      </c>
      <c r="F405" s="12" t="s">
        <v>323</v>
      </c>
    </row>
    <row r="406" spans="1:6" ht="15" x14ac:dyDescent="0.25">
      <c r="A406" s="13" t="s">
        <v>322</v>
      </c>
      <c r="B406" s="14" t="s">
        <v>224</v>
      </c>
      <c r="C406" s="14" t="s">
        <v>178</v>
      </c>
      <c r="D406" s="10" t="s">
        <v>43</v>
      </c>
      <c r="E406" s="11">
        <v>112</v>
      </c>
      <c r="F406" s="12" t="s">
        <v>323</v>
      </c>
    </row>
    <row r="407" spans="1:6" ht="15" x14ac:dyDescent="0.25">
      <c r="A407" s="13" t="s">
        <v>324</v>
      </c>
      <c r="B407" s="14" t="s">
        <v>224</v>
      </c>
      <c r="C407" s="14" t="s">
        <v>181</v>
      </c>
      <c r="D407" s="10" t="s">
        <v>174</v>
      </c>
      <c r="E407" s="16">
        <v>275</v>
      </c>
      <c r="F407" s="12">
        <v>43629</v>
      </c>
    </row>
    <row r="408" spans="1:6" ht="15" x14ac:dyDescent="0.25">
      <c r="A408" s="13" t="s">
        <v>324</v>
      </c>
      <c r="B408" s="14" t="s">
        <v>224</v>
      </c>
      <c r="C408" s="14" t="s">
        <v>181</v>
      </c>
      <c r="D408" s="10" t="s">
        <v>35</v>
      </c>
      <c r="E408" s="16">
        <v>417</v>
      </c>
      <c r="F408" s="12">
        <v>43629</v>
      </c>
    </row>
    <row r="409" spans="1:6" ht="15" x14ac:dyDescent="0.25">
      <c r="A409" s="13" t="s">
        <v>324</v>
      </c>
      <c r="B409" s="14" t="s">
        <v>224</v>
      </c>
      <c r="C409" s="14" t="s">
        <v>181</v>
      </c>
      <c r="D409" s="10" t="s">
        <v>221</v>
      </c>
      <c r="E409" s="11">
        <v>102</v>
      </c>
      <c r="F409" s="12">
        <v>43629</v>
      </c>
    </row>
    <row r="410" spans="1:6" ht="15" x14ac:dyDescent="0.25">
      <c r="A410" s="13" t="s">
        <v>324</v>
      </c>
      <c r="B410" s="14" t="s">
        <v>224</v>
      </c>
      <c r="C410" s="14" t="s">
        <v>181</v>
      </c>
      <c r="D410" s="10" t="s">
        <v>43</v>
      </c>
      <c r="E410" s="11">
        <v>77</v>
      </c>
      <c r="F410" s="12">
        <v>43629</v>
      </c>
    </row>
    <row r="411" spans="1:6" ht="15" x14ac:dyDescent="0.25">
      <c r="A411" s="13" t="s">
        <v>325</v>
      </c>
      <c r="B411" s="14" t="s">
        <v>224</v>
      </c>
      <c r="C411" s="14" t="s">
        <v>41</v>
      </c>
      <c r="D411" s="10" t="s">
        <v>35</v>
      </c>
      <c r="E411" s="16">
        <v>586.5</v>
      </c>
      <c r="F411" s="12">
        <v>45505</v>
      </c>
    </row>
    <row r="412" spans="1:6" ht="15" x14ac:dyDescent="0.25">
      <c r="A412" s="13" t="s">
        <v>325</v>
      </c>
      <c r="B412" s="14" t="s">
        <v>224</v>
      </c>
      <c r="C412" s="14" t="s">
        <v>41</v>
      </c>
      <c r="D412" s="10" t="s">
        <v>30</v>
      </c>
      <c r="E412" s="16">
        <v>786</v>
      </c>
      <c r="F412" s="12">
        <v>45505</v>
      </c>
    </row>
    <row r="413" spans="1:6" ht="15" x14ac:dyDescent="0.25">
      <c r="A413" s="13" t="s">
        <v>325</v>
      </c>
      <c r="B413" s="14" t="s">
        <v>224</v>
      </c>
      <c r="C413" s="14" t="s">
        <v>41</v>
      </c>
      <c r="D413" s="10" t="s">
        <v>221</v>
      </c>
      <c r="E413" s="11">
        <v>140</v>
      </c>
      <c r="F413" s="12">
        <v>45505</v>
      </c>
    </row>
    <row r="414" spans="1:6" ht="15" x14ac:dyDescent="0.25">
      <c r="A414" s="13" t="s">
        <v>326</v>
      </c>
      <c r="B414" s="14" t="s">
        <v>224</v>
      </c>
      <c r="C414" s="14" t="s">
        <v>158</v>
      </c>
      <c r="D414" s="10" t="s">
        <v>35</v>
      </c>
      <c r="E414" s="16">
        <v>517.5</v>
      </c>
      <c r="F414" s="12">
        <v>45444</v>
      </c>
    </row>
    <row r="415" spans="1:6" ht="15" x14ac:dyDescent="0.25">
      <c r="A415" s="13" t="s">
        <v>326</v>
      </c>
      <c r="B415" s="14" t="s">
        <v>224</v>
      </c>
      <c r="C415" s="14" t="s">
        <v>158</v>
      </c>
      <c r="D415" s="10" t="s">
        <v>30</v>
      </c>
      <c r="E415" s="16">
        <v>693.38</v>
      </c>
      <c r="F415" s="12">
        <v>45444</v>
      </c>
    </row>
    <row r="416" spans="1:6" ht="15" x14ac:dyDescent="0.25">
      <c r="A416" s="13" t="s">
        <v>326</v>
      </c>
      <c r="B416" s="14" t="s">
        <v>224</v>
      </c>
      <c r="C416" s="14" t="s">
        <v>158</v>
      </c>
      <c r="D416" s="10" t="s">
        <v>221</v>
      </c>
      <c r="E416" s="11">
        <v>140</v>
      </c>
      <c r="F416" s="12">
        <v>45444</v>
      </c>
    </row>
    <row r="417" spans="1:6" ht="15" x14ac:dyDescent="0.25">
      <c r="A417" s="13" t="s">
        <v>327</v>
      </c>
      <c r="B417" s="14" t="s">
        <v>224</v>
      </c>
      <c r="C417" s="14" t="s">
        <v>175</v>
      </c>
      <c r="D417" s="10" t="s">
        <v>35</v>
      </c>
      <c r="E417" s="16">
        <v>472.6</v>
      </c>
      <c r="F417" s="12">
        <v>44562</v>
      </c>
    </row>
    <row r="418" spans="1:6" ht="15" x14ac:dyDescent="0.25">
      <c r="A418" s="13" t="s">
        <v>327</v>
      </c>
      <c r="B418" s="14" t="s">
        <v>224</v>
      </c>
      <c r="C418" s="14" t="s">
        <v>175</v>
      </c>
      <c r="D418" s="10" t="s">
        <v>221</v>
      </c>
      <c r="E418" s="11">
        <v>109</v>
      </c>
      <c r="F418" s="12">
        <v>44562</v>
      </c>
    </row>
    <row r="419" spans="1:6" ht="15" x14ac:dyDescent="0.25">
      <c r="A419" s="13" t="s">
        <v>328</v>
      </c>
      <c r="B419" s="14" t="s">
        <v>224</v>
      </c>
      <c r="C419" s="14" t="s">
        <v>127</v>
      </c>
      <c r="D419" s="10" t="s">
        <v>35</v>
      </c>
      <c r="E419" s="16">
        <v>552</v>
      </c>
      <c r="F419" s="12">
        <v>45597</v>
      </c>
    </row>
    <row r="420" spans="1:6" ht="15" x14ac:dyDescent="0.25">
      <c r="A420" s="13" t="s">
        <v>328</v>
      </c>
      <c r="B420" s="14" t="s">
        <v>224</v>
      </c>
      <c r="C420" s="14" t="s">
        <v>127</v>
      </c>
      <c r="D420" s="10" t="s">
        <v>221</v>
      </c>
      <c r="E420" s="11">
        <v>140</v>
      </c>
      <c r="F420" s="12">
        <v>45597</v>
      </c>
    </row>
    <row r="421" spans="1:6" ht="15" x14ac:dyDescent="0.25">
      <c r="A421" s="13" t="s">
        <v>329</v>
      </c>
      <c r="B421" s="14" t="s">
        <v>224</v>
      </c>
      <c r="C421" s="14" t="s">
        <v>183</v>
      </c>
      <c r="D421" s="10" t="s">
        <v>197</v>
      </c>
      <c r="E421" s="16">
        <v>138</v>
      </c>
      <c r="F421" s="12">
        <v>42522</v>
      </c>
    </row>
    <row r="422" spans="1:6" ht="15" x14ac:dyDescent="0.25">
      <c r="A422" s="13" t="s">
        <v>329</v>
      </c>
      <c r="B422" s="14" t="s">
        <v>224</v>
      </c>
      <c r="C422" s="14" t="s">
        <v>183</v>
      </c>
      <c r="D422" s="10" t="s">
        <v>174</v>
      </c>
      <c r="E422" s="16">
        <v>267</v>
      </c>
      <c r="F422" s="12">
        <v>42522</v>
      </c>
    </row>
    <row r="423" spans="1:6" ht="15" x14ac:dyDescent="0.25">
      <c r="A423" s="13" t="s">
        <v>329</v>
      </c>
      <c r="B423" s="14" t="s">
        <v>224</v>
      </c>
      <c r="C423" s="14" t="s">
        <v>183</v>
      </c>
      <c r="D423" s="10" t="s">
        <v>35</v>
      </c>
      <c r="E423" s="16">
        <v>406</v>
      </c>
      <c r="F423" s="12">
        <v>42522</v>
      </c>
    </row>
    <row r="424" spans="1:6" ht="15" x14ac:dyDescent="0.25">
      <c r="A424" s="13" t="s">
        <v>329</v>
      </c>
      <c r="B424" s="14" t="s">
        <v>224</v>
      </c>
      <c r="C424" s="14" t="s">
        <v>183</v>
      </c>
      <c r="D424" s="10" t="s">
        <v>30</v>
      </c>
      <c r="E424" s="16">
        <v>544</v>
      </c>
      <c r="F424" s="12">
        <v>42522</v>
      </c>
    </row>
    <row r="425" spans="1:6" ht="15" x14ac:dyDescent="0.25">
      <c r="A425" s="13" t="s">
        <v>329</v>
      </c>
      <c r="B425" s="14" t="s">
        <v>224</v>
      </c>
      <c r="C425" s="14" t="s">
        <v>183</v>
      </c>
      <c r="D425" s="10" t="s">
        <v>221</v>
      </c>
      <c r="E425" s="11">
        <v>92</v>
      </c>
      <c r="F425" s="12">
        <v>42522</v>
      </c>
    </row>
    <row r="426" spans="1:6" ht="15" x14ac:dyDescent="0.25">
      <c r="A426" s="13" t="s">
        <v>329</v>
      </c>
      <c r="B426" s="14" t="s">
        <v>224</v>
      </c>
      <c r="C426" s="14" t="s">
        <v>183</v>
      </c>
      <c r="D426" s="10" t="s">
        <v>43</v>
      </c>
      <c r="E426" s="11">
        <v>70</v>
      </c>
      <c r="F426" s="12">
        <v>42522</v>
      </c>
    </row>
    <row r="427" spans="1:6" ht="15" x14ac:dyDescent="0.25">
      <c r="A427" s="13" t="s">
        <v>330</v>
      </c>
      <c r="B427" s="14" t="s">
        <v>224</v>
      </c>
      <c r="C427" s="14" t="s">
        <v>111</v>
      </c>
      <c r="D427" s="10" t="s">
        <v>35</v>
      </c>
      <c r="E427" s="16">
        <v>586.5</v>
      </c>
      <c r="F427" s="12">
        <v>45627</v>
      </c>
    </row>
    <row r="428" spans="1:6" ht="15" x14ac:dyDescent="0.25">
      <c r="A428" s="13" t="s">
        <v>330</v>
      </c>
      <c r="B428" s="14" t="s">
        <v>224</v>
      </c>
      <c r="C428" s="14" t="s">
        <v>111</v>
      </c>
      <c r="D428" s="10" t="s">
        <v>221</v>
      </c>
      <c r="E428" s="11">
        <v>140</v>
      </c>
      <c r="F428" s="12">
        <v>45627</v>
      </c>
    </row>
    <row r="429" spans="1:6" ht="15" x14ac:dyDescent="0.25">
      <c r="A429" s="13" t="s">
        <v>330</v>
      </c>
      <c r="B429" s="14" t="s">
        <v>224</v>
      </c>
      <c r="C429" s="14" t="s">
        <v>111</v>
      </c>
      <c r="D429" s="10" t="s">
        <v>43</v>
      </c>
      <c r="E429" s="11">
        <v>107</v>
      </c>
      <c r="F429" s="12">
        <v>45627</v>
      </c>
    </row>
    <row r="430" spans="1:6" ht="15" x14ac:dyDescent="0.25">
      <c r="A430" s="13" t="s">
        <v>330</v>
      </c>
      <c r="B430" s="14" t="s">
        <v>224</v>
      </c>
      <c r="C430" s="14" t="s">
        <v>108</v>
      </c>
      <c r="D430" s="10" t="s">
        <v>35</v>
      </c>
      <c r="E430" s="16">
        <v>586.5</v>
      </c>
      <c r="F430" s="12">
        <v>45627</v>
      </c>
    </row>
    <row r="431" spans="1:6" ht="15" x14ac:dyDescent="0.25">
      <c r="A431" s="13" t="s">
        <v>330</v>
      </c>
      <c r="B431" s="14" t="s">
        <v>224</v>
      </c>
      <c r="C431" s="14" t="s">
        <v>108</v>
      </c>
      <c r="D431" s="10" t="s">
        <v>221</v>
      </c>
      <c r="E431" s="11">
        <v>140</v>
      </c>
      <c r="F431" s="12">
        <v>45627</v>
      </c>
    </row>
    <row r="432" spans="1:6" ht="15" x14ac:dyDescent="0.25">
      <c r="A432" s="13" t="s">
        <v>330</v>
      </c>
      <c r="B432" s="14" t="s">
        <v>224</v>
      </c>
      <c r="C432" s="14" t="s">
        <v>108</v>
      </c>
      <c r="D432" s="10" t="s">
        <v>43</v>
      </c>
      <c r="E432" s="11">
        <v>107</v>
      </c>
      <c r="F432" s="12">
        <v>45627</v>
      </c>
    </row>
    <row r="433" spans="1:6" ht="15" x14ac:dyDescent="0.25">
      <c r="A433" s="13" t="s">
        <v>331</v>
      </c>
      <c r="B433" s="14" t="s">
        <v>224</v>
      </c>
      <c r="C433" s="14" t="s">
        <v>152</v>
      </c>
      <c r="D433" s="10" t="s">
        <v>197</v>
      </c>
      <c r="E433" s="16">
        <v>176</v>
      </c>
      <c r="F433" s="12">
        <v>45658</v>
      </c>
    </row>
    <row r="434" spans="1:6" ht="15" x14ac:dyDescent="0.25">
      <c r="A434" s="13" t="s">
        <v>331</v>
      </c>
      <c r="B434" s="14" t="s">
        <v>224</v>
      </c>
      <c r="C434" s="14" t="s">
        <v>152</v>
      </c>
      <c r="D434" s="10" t="s">
        <v>174</v>
      </c>
      <c r="E434" s="16">
        <v>332</v>
      </c>
      <c r="F434" s="12">
        <v>45658</v>
      </c>
    </row>
    <row r="435" spans="1:6" ht="15" x14ac:dyDescent="0.25">
      <c r="A435" s="13" t="s">
        <v>331</v>
      </c>
      <c r="B435" s="14" t="s">
        <v>224</v>
      </c>
      <c r="C435" s="14" t="s">
        <v>152</v>
      </c>
      <c r="D435" s="10" t="s">
        <v>35</v>
      </c>
      <c r="E435" s="16">
        <v>518</v>
      </c>
      <c r="F435" s="12">
        <v>45658</v>
      </c>
    </row>
    <row r="436" spans="1:6" ht="15" x14ac:dyDescent="0.25">
      <c r="A436" s="13" t="s">
        <v>331</v>
      </c>
      <c r="B436" s="14" t="s">
        <v>224</v>
      </c>
      <c r="C436" s="14" t="s">
        <v>152</v>
      </c>
      <c r="D436" s="10" t="s">
        <v>30</v>
      </c>
      <c r="E436" s="16">
        <v>693</v>
      </c>
      <c r="F436" s="12">
        <v>45658</v>
      </c>
    </row>
    <row r="437" spans="1:6" ht="15" x14ac:dyDescent="0.25">
      <c r="A437" s="13" t="s">
        <v>331</v>
      </c>
      <c r="B437" s="14" t="s">
        <v>224</v>
      </c>
      <c r="C437" s="14" t="s">
        <v>152</v>
      </c>
      <c r="D437" s="10" t="s">
        <v>221</v>
      </c>
      <c r="E437" s="11">
        <v>140</v>
      </c>
      <c r="F437" s="12">
        <v>45658</v>
      </c>
    </row>
    <row r="438" spans="1:6" ht="15" x14ac:dyDescent="0.25">
      <c r="A438" s="13" t="s">
        <v>331</v>
      </c>
      <c r="B438" s="14" t="s">
        <v>224</v>
      </c>
      <c r="C438" s="14" t="s">
        <v>152</v>
      </c>
      <c r="D438" s="10" t="s">
        <v>43</v>
      </c>
      <c r="E438" s="11">
        <v>107</v>
      </c>
      <c r="F438" s="12">
        <v>45658</v>
      </c>
    </row>
    <row r="439" spans="1:6" ht="15.75" x14ac:dyDescent="0.3">
      <c r="A439" s="13" t="s">
        <v>332</v>
      </c>
      <c r="B439" s="14" t="s">
        <v>224</v>
      </c>
      <c r="C439" s="21" t="s">
        <v>153</v>
      </c>
      <c r="D439" s="10" t="s">
        <v>35</v>
      </c>
      <c r="E439" s="16">
        <v>518</v>
      </c>
      <c r="F439" s="12">
        <v>45689</v>
      </c>
    </row>
    <row r="440" spans="1:6" ht="15.75" x14ac:dyDescent="0.3">
      <c r="A440" s="13" t="s">
        <v>332</v>
      </c>
      <c r="B440" s="14" t="s">
        <v>224</v>
      </c>
      <c r="C440" s="21" t="s">
        <v>153</v>
      </c>
      <c r="D440" s="10" t="s">
        <v>30</v>
      </c>
      <c r="E440" s="16">
        <v>693</v>
      </c>
      <c r="F440" s="12">
        <v>45689</v>
      </c>
    </row>
    <row r="441" spans="1:6" ht="15.75" x14ac:dyDescent="0.3">
      <c r="A441" s="13" t="s">
        <v>332</v>
      </c>
      <c r="B441" s="14" t="s">
        <v>224</v>
      </c>
      <c r="C441" s="21" t="s">
        <v>153</v>
      </c>
      <c r="D441" s="10" t="s">
        <v>221</v>
      </c>
      <c r="E441" s="11">
        <v>140</v>
      </c>
      <c r="F441" s="12">
        <v>45689</v>
      </c>
    </row>
    <row r="442" spans="1:6" ht="15.75" x14ac:dyDescent="0.3">
      <c r="A442" s="13" t="s">
        <v>332</v>
      </c>
      <c r="B442" s="14" t="s">
        <v>224</v>
      </c>
      <c r="C442" s="21" t="s">
        <v>153</v>
      </c>
      <c r="D442" s="10" t="s">
        <v>43</v>
      </c>
      <c r="E442" s="11">
        <v>107</v>
      </c>
      <c r="F442" s="12">
        <v>45689</v>
      </c>
    </row>
    <row r="443" spans="1:6" ht="15" x14ac:dyDescent="0.25">
      <c r="A443" s="13" t="s">
        <v>333</v>
      </c>
      <c r="B443" s="14" t="s">
        <v>224</v>
      </c>
      <c r="C443" s="14" t="s">
        <v>193</v>
      </c>
      <c r="D443" s="10" t="s">
        <v>174</v>
      </c>
      <c r="E443" s="16">
        <v>324</v>
      </c>
      <c r="F443" s="12">
        <v>45139</v>
      </c>
    </row>
    <row r="444" spans="1:6" ht="15" x14ac:dyDescent="0.25">
      <c r="A444" s="13" t="s">
        <v>333</v>
      </c>
      <c r="B444" s="14" t="s">
        <v>224</v>
      </c>
      <c r="C444" s="14" t="s">
        <v>193</v>
      </c>
      <c r="D444" s="10" t="s">
        <v>221</v>
      </c>
      <c r="E444" s="11">
        <v>128</v>
      </c>
      <c r="F444" s="12">
        <v>45139</v>
      </c>
    </row>
    <row r="445" spans="1:6" ht="15" x14ac:dyDescent="0.25">
      <c r="A445" s="13" t="s">
        <v>333</v>
      </c>
      <c r="B445" s="14" t="s">
        <v>224</v>
      </c>
      <c r="C445" s="14" t="s">
        <v>193</v>
      </c>
      <c r="D445" s="10" t="s">
        <v>43</v>
      </c>
      <c r="E445" s="11">
        <v>98</v>
      </c>
      <c r="F445" s="12">
        <v>45139</v>
      </c>
    </row>
    <row r="446" spans="1:6" ht="15" x14ac:dyDescent="0.25">
      <c r="A446" s="13" t="s">
        <v>334</v>
      </c>
      <c r="B446" s="14" t="s">
        <v>224</v>
      </c>
      <c r="C446" s="14" t="s">
        <v>203</v>
      </c>
      <c r="D446" s="10" t="s">
        <v>35</v>
      </c>
      <c r="E446" s="16">
        <v>518</v>
      </c>
      <c r="F446" s="12">
        <v>45658</v>
      </c>
    </row>
    <row r="447" spans="1:6" ht="15" x14ac:dyDescent="0.25">
      <c r="A447" s="13" t="s">
        <v>334</v>
      </c>
      <c r="B447" s="14" t="s">
        <v>224</v>
      </c>
      <c r="C447" s="14" t="s">
        <v>203</v>
      </c>
      <c r="D447" s="10" t="s">
        <v>30</v>
      </c>
      <c r="E447" s="16">
        <v>693</v>
      </c>
      <c r="F447" s="12">
        <v>45658</v>
      </c>
    </row>
    <row r="448" spans="1:6" ht="15" x14ac:dyDescent="0.25">
      <c r="A448" s="13" t="s">
        <v>334</v>
      </c>
      <c r="B448" s="14" t="s">
        <v>224</v>
      </c>
      <c r="C448" s="14" t="s">
        <v>203</v>
      </c>
      <c r="D448" s="10" t="s">
        <v>221</v>
      </c>
      <c r="E448" s="11">
        <v>140</v>
      </c>
      <c r="F448" s="12">
        <v>45658</v>
      </c>
    </row>
    <row r="449" spans="1:6" ht="15" x14ac:dyDescent="0.25">
      <c r="A449" s="13" t="s">
        <v>335</v>
      </c>
      <c r="B449" s="14" t="s">
        <v>224</v>
      </c>
      <c r="C449" s="14" t="s">
        <v>84</v>
      </c>
      <c r="D449" s="10" t="s">
        <v>35</v>
      </c>
      <c r="E449" s="16">
        <v>517.5</v>
      </c>
      <c r="F449" s="12">
        <v>45658</v>
      </c>
    </row>
    <row r="450" spans="1:6" ht="15" x14ac:dyDescent="0.25">
      <c r="A450" s="13" t="s">
        <v>335</v>
      </c>
      <c r="B450" s="14" t="s">
        <v>224</v>
      </c>
      <c r="C450" s="14" t="s">
        <v>84</v>
      </c>
      <c r="D450" s="10" t="s">
        <v>30</v>
      </c>
      <c r="E450" s="16">
        <v>693</v>
      </c>
      <c r="F450" s="12">
        <v>45658</v>
      </c>
    </row>
    <row r="451" spans="1:6" ht="15" x14ac:dyDescent="0.25">
      <c r="A451" s="13" t="s">
        <v>335</v>
      </c>
      <c r="B451" s="14" t="s">
        <v>224</v>
      </c>
      <c r="C451" s="14" t="s">
        <v>84</v>
      </c>
      <c r="D451" s="10" t="s">
        <v>221</v>
      </c>
      <c r="E451" s="11">
        <v>140</v>
      </c>
      <c r="F451" s="12">
        <v>45658</v>
      </c>
    </row>
    <row r="452" spans="1:6" ht="15" x14ac:dyDescent="0.25">
      <c r="A452" s="13" t="s">
        <v>336</v>
      </c>
      <c r="B452" s="14" t="s">
        <v>224</v>
      </c>
      <c r="C452" s="14" t="s">
        <v>188</v>
      </c>
      <c r="D452" s="10" t="s">
        <v>35</v>
      </c>
      <c r="E452" s="16">
        <v>382.4</v>
      </c>
      <c r="F452" s="12">
        <v>41456</v>
      </c>
    </row>
    <row r="453" spans="1:6" ht="15" x14ac:dyDescent="0.25">
      <c r="A453" s="13" t="s">
        <v>336</v>
      </c>
      <c r="B453" s="14" t="s">
        <v>224</v>
      </c>
      <c r="C453" s="14" t="s">
        <v>188</v>
      </c>
      <c r="D453" s="10" t="s">
        <v>221</v>
      </c>
      <c r="E453" s="11">
        <v>102</v>
      </c>
      <c r="F453" s="12">
        <v>41456</v>
      </c>
    </row>
    <row r="454" spans="1:6" ht="15" x14ac:dyDescent="0.25">
      <c r="A454" s="9" t="s">
        <v>337</v>
      </c>
      <c r="B454" s="10" t="s">
        <v>220</v>
      </c>
      <c r="C454" s="10" t="s">
        <v>63</v>
      </c>
      <c r="D454" s="10" t="s">
        <v>197</v>
      </c>
      <c r="E454" s="11">
        <v>184.5</v>
      </c>
      <c r="F454" s="12">
        <v>45658</v>
      </c>
    </row>
    <row r="455" spans="1:6" ht="15" x14ac:dyDescent="0.25">
      <c r="A455" s="9" t="s">
        <v>337</v>
      </c>
      <c r="B455" s="10" t="s">
        <v>220</v>
      </c>
      <c r="C455" s="10" t="s">
        <v>63</v>
      </c>
      <c r="D455" s="10" t="s">
        <v>174</v>
      </c>
      <c r="E455" s="11">
        <v>357.38</v>
      </c>
      <c r="F455" s="12">
        <v>45658</v>
      </c>
    </row>
    <row r="456" spans="1:6" ht="15" x14ac:dyDescent="0.25">
      <c r="A456" s="9" t="s">
        <v>337</v>
      </c>
      <c r="B456" s="10" t="s">
        <v>220</v>
      </c>
      <c r="C456" s="10" t="s">
        <v>63</v>
      </c>
      <c r="D456" s="10" t="s">
        <v>35</v>
      </c>
      <c r="E456" s="11">
        <v>543.38</v>
      </c>
      <c r="F456" s="12">
        <v>45658</v>
      </c>
    </row>
    <row r="457" spans="1:6" ht="15" x14ac:dyDescent="0.25">
      <c r="A457" s="9" t="s">
        <v>337</v>
      </c>
      <c r="B457" s="10" t="s">
        <v>220</v>
      </c>
      <c r="C457" s="10" t="s">
        <v>63</v>
      </c>
      <c r="D457" s="10" t="s">
        <v>30</v>
      </c>
      <c r="E457" s="11">
        <v>727.88</v>
      </c>
      <c r="F457" s="12">
        <v>45658</v>
      </c>
    </row>
    <row r="458" spans="1:6" ht="15" x14ac:dyDescent="0.25">
      <c r="A458" s="9" t="s">
        <v>337</v>
      </c>
      <c r="B458" s="10" t="s">
        <v>220</v>
      </c>
      <c r="C458" s="10" t="s">
        <v>63</v>
      </c>
      <c r="D458" s="10" t="s">
        <v>221</v>
      </c>
      <c r="E458" s="11">
        <v>147</v>
      </c>
      <c r="F458" s="12">
        <v>45658</v>
      </c>
    </row>
    <row r="459" spans="1:6" ht="15" x14ac:dyDescent="0.25">
      <c r="A459" s="9" t="s">
        <v>337</v>
      </c>
      <c r="B459" s="10" t="s">
        <v>220</v>
      </c>
      <c r="C459" s="10" t="s">
        <v>63</v>
      </c>
      <c r="D459" s="10" t="s">
        <v>43</v>
      </c>
      <c r="E459" s="11">
        <v>112</v>
      </c>
      <c r="F459" s="12">
        <v>45658</v>
      </c>
    </row>
    <row r="460" spans="1:6" ht="15" x14ac:dyDescent="0.25">
      <c r="A460" s="9" t="s">
        <v>338</v>
      </c>
      <c r="B460" s="10" t="s">
        <v>220</v>
      </c>
      <c r="C460" s="10" t="s">
        <v>93</v>
      </c>
      <c r="D460" s="10" t="s">
        <v>35</v>
      </c>
      <c r="E460" s="11">
        <v>492.75</v>
      </c>
      <c r="F460" s="12">
        <v>45078</v>
      </c>
    </row>
    <row r="461" spans="1:6" ht="15" x14ac:dyDescent="0.25">
      <c r="A461" s="9" t="s">
        <v>338</v>
      </c>
      <c r="B461" s="10" t="s">
        <v>220</v>
      </c>
      <c r="C461" s="10" t="s">
        <v>93</v>
      </c>
      <c r="D461" s="10" t="s">
        <v>30</v>
      </c>
      <c r="E461" s="11">
        <v>660.38</v>
      </c>
      <c r="F461" s="12">
        <v>45078</v>
      </c>
    </row>
    <row r="462" spans="1:6" ht="15" x14ac:dyDescent="0.25">
      <c r="A462" s="9" t="s">
        <v>338</v>
      </c>
      <c r="B462" s="10" t="s">
        <v>220</v>
      </c>
      <c r="C462" s="10" t="s">
        <v>93</v>
      </c>
      <c r="D462" s="10" t="s">
        <v>221</v>
      </c>
      <c r="E462" s="11">
        <v>128</v>
      </c>
      <c r="F462" s="12">
        <v>45078</v>
      </c>
    </row>
    <row r="463" spans="1:6" ht="15" x14ac:dyDescent="0.25">
      <c r="A463" s="9" t="s">
        <v>338</v>
      </c>
      <c r="B463" s="10" t="s">
        <v>220</v>
      </c>
      <c r="C463" s="10" t="s">
        <v>93</v>
      </c>
      <c r="D463" s="10" t="s">
        <v>43</v>
      </c>
      <c r="E463" s="11">
        <v>98</v>
      </c>
      <c r="F463" s="12">
        <v>45078</v>
      </c>
    </row>
    <row r="464" spans="1:6" ht="15" x14ac:dyDescent="0.25">
      <c r="A464" s="13" t="s">
        <v>339</v>
      </c>
      <c r="B464" s="14" t="s">
        <v>224</v>
      </c>
      <c r="C464" s="14" t="s">
        <v>133</v>
      </c>
      <c r="D464" s="10" t="s">
        <v>197</v>
      </c>
      <c r="E464" s="16">
        <v>184.5</v>
      </c>
      <c r="F464" s="12">
        <v>45748</v>
      </c>
    </row>
    <row r="465" spans="1:6" ht="15" x14ac:dyDescent="0.25">
      <c r="A465" s="13" t="s">
        <v>339</v>
      </c>
      <c r="B465" s="14" t="s">
        <v>224</v>
      </c>
      <c r="C465" s="14" t="s">
        <v>133</v>
      </c>
      <c r="D465" s="10" t="s">
        <v>174</v>
      </c>
      <c r="E465" s="16">
        <v>357.38</v>
      </c>
      <c r="F465" s="12">
        <v>45748</v>
      </c>
    </row>
    <row r="466" spans="1:6" ht="15" x14ac:dyDescent="0.25">
      <c r="A466" s="13" t="s">
        <v>339</v>
      </c>
      <c r="B466" s="14" t="s">
        <v>224</v>
      </c>
      <c r="C466" s="14" t="s">
        <v>133</v>
      </c>
      <c r="D466" s="10" t="s">
        <v>35</v>
      </c>
      <c r="E466" s="16">
        <v>543.38</v>
      </c>
      <c r="F466" s="12">
        <v>45748</v>
      </c>
    </row>
    <row r="467" spans="1:6" ht="15" x14ac:dyDescent="0.25">
      <c r="A467" s="13" t="s">
        <v>339</v>
      </c>
      <c r="B467" s="14" t="s">
        <v>224</v>
      </c>
      <c r="C467" s="14" t="s">
        <v>133</v>
      </c>
      <c r="D467" s="10" t="s">
        <v>30</v>
      </c>
      <c r="E467" s="16">
        <v>727.88</v>
      </c>
      <c r="F467" s="12">
        <v>45748</v>
      </c>
    </row>
    <row r="468" spans="1:6" ht="15" x14ac:dyDescent="0.25">
      <c r="A468" s="13" t="s">
        <v>339</v>
      </c>
      <c r="B468" s="14" t="s">
        <v>224</v>
      </c>
      <c r="C468" s="14" t="s">
        <v>133</v>
      </c>
      <c r="D468" s="10" t="s">
        <v>221</v>
      </c>
      <c r="E468" s="11">
        <v>147</v>
      </c>
      <c r="F468" s="12">
        <v>45748</v>
      </c>
    </row>
    <row r="469" spans="1:6" ht="15" x14ac:dyDescent="0.25">
      <c r="A469" s="13" t="s">
        <v>339</v>
      </c>
      <c r="B469" s="14" t="s">
        <v>224</v>
      </c>
      <c r="C469" s="14" t="s">
        <v>133</v>
      </c>
      <c r="D469" s="10" t="s">
        <v>43</v>
      </c>
      <c r="E469" s="11">
        <v>112</v>
      </c>
      <c r="F469" s="12">
        <v>45748</v>
      </c>
    </row>
    <row r="470" spans="1:6" ht="15" x14ac:dyDescent="0.25">
      <c r="A470" s="13" t="s">
        <v>340</v>
      </c>
      <c r="B470" s="14" t="s">
        <v>224</v>
      </c>
      <c r="C470" s="14" t="s">
        <v>131</v>
      </c>
      <c r="D470" s="10" t="s">
        <v>197</v>
      </c>
      <c r="E470" s="16">
        <v>184.5</v>
      </c>
      <c r="F470" s="12">
        <v>45748</v>
      </c>
    </row>
    <row r="471" spans="1:6" ht="15" x14ac:dyDescent="0.25">
      <c r="A471" s="13" t="s">
        <v>340</v>
      </c>
      <c r="B471" s="14" t="s">
        <v>224</v>
      </c>
      <c r="C471" s="14" t="s">
        <v>131</v>
      </c>
      <c r="D471" s="10" t="s">
        <v>174</v>
      </c>
      <c r="E471" s="16">
        <v>357.38</v>
      </c>
      <c r="F471" s="12">
        <v>45748</v>
      </c>
    </row>
    <row r="472" spans="1:6" ht="15" x14ac:dyDescent="0.25">
      <c r="A472" s="13" t="s">
        <v>340</v>
      </c>
      <c r="B472" s="14" t="s">
        <v>224</v>
      </c>
      <c r="C472" s="14" t="s">
        <v>131</v>
      </c>
      <c r="D472" s="10" t="s">
        <v>35</v>
      </c>
      <c r="E472" s="16">
        <v>543.38</v>
      </c>
      <c r="F472" s="12">
        <v>45748</v>
      </c>
    </row>
    <row r="473" spans="1:6" ht="15" x14ac:dyDescent="0.25">
      <c r="A473" s="13" t="s">
        <v>340</v>
      </c>
      <c r="B473" s="14" t="s">
        <v>224</v>
      </c>
      <c r="C473" s="14" t="s">
        <v>131</v>
      </c>
      <c r="D473" s="10" t="s">
        <v>30</v>
      </c>
      <c r="E473" s="16">
        <v>727.88</v>
      </c>
      <c r="F473" s="12">
        <v>45748</v>
      </c>
    </row>
    <row r="474" spans="1:6" ht="15" x14ac:dyDescent="0.25">
      <c r="A474" s="13" t="s">
        <v>340</v>
      </c>
      <c r="B474" s="14" t="s">
        <v>224</v>
      </c>
      <c r="C474" s="14" t="s">
        <v>131</v>
      </c>
      <c r="D474" s="10" t="s">
        <v>221</v>
      </c>
      <c r="E474" s="11">
        <v>147</v>
      </c>
      <c r="F474" s="12">
        <v>45748</v>
      </c>
    </row>
    <row r="475" spans="1:6" ht="15" x14ac:dyDescent="0.25">
      <c r="A475" s="13" t="s">
        <v>340</v>
      </c>
      <c r="B475" s="14" t="s">
        <v>224</v>
      </c>
      <c r="C475" s="14" t="s">
        <v>131</v>
      </c>
      <c r="D475" s="10" t="s">
        <v>43</v>
      </c>
      <c r="E475" s="11">
        <v>112</v>
      </c>
      <c r="F475" s="12">
        <v>45748</v>
      </c>
    </row>
    <row r="476" spans="1:6" ht="15" x14ac:dyDescent="0.25">
      <c r="A476" s="13" t="s">
        <v>341</v>
      </c>
      <c r="B476" s="14" t="s">
        <v>224</v>
      </c>
      <c r="C476" s="14" t="s">
        <v>77</v>
      </c>
      <c r="D476" s="10" t="s">
        <v>35</v>
      </c>
      <c r="E476" s="16">
        <v>517.5</v>
      </c>
      <c r="F476" s="12">
        <v>45413</v>
      </c>
    </row>
    <row r="477" spans="1:6" ht="15" x14ac:dyDescent="0.25">
      <c r="A477" s="13" t="s">
        <v>341</v>
      </c>
      <c r="B477" s="14" t="s">
        <v>224</v>
      </c>
      <c r="C477" s="14" t="s">
        <v>77</v>
      </c>
      <c r="D477" s="10" t="s">
        <v>30</v>
      </c>
      <c r="E477" s="16">
        <v>693</v>
      </c>
      <c r="F477" s="12">
        <v>45413</v>
      </c>
    </row>
    <row r="478" spans="1:6" ht="15" x14ac:dyDescent="0.25">
      <c r="A478" s="13" t="s">
        <v>341</v>
      </c>
      <c r="B478" s="14" t="s">
        <v>224</v>
      </c>
      <c r="C478" s="14" t="s">
        <v>77</v>
      </c>
      <c r="D478" s="10" t="s">
        <v>221</v>
      </c>
      <c r="E478" s="11">
        <v>140</v>
      </c>
      <c r="F478" s="12">
        <v>45413</v>
      </c>
    </row>
    <row r="479" spans="1:6" ht="15" x14ac:dyDescent="0.25">
      <c r="A479" s="13" t="s">
        <v>341</v>
      </c>
      <c r="B479" s="14" t="s">
        <v>224</v>
      </c>
      <c r="C479" s="14" t="s">
        <v>77</v>
      </c>
      <c r="D479" s="10" t="s">
        <v>43</v>
      </c>
      <c r="E479" s="11">
        <v>107</v>
      </c>
      <c r="F479" s="12">
        <v>45413</v>
      </c>
    </row>
    <row r="480" spans="1:6" ht="15" x14ac:dyDescent="0.25">
      <c r="A480" s="13" t="s">
        <v>342</v>
      </c>
      <c r="B480" s="14" t="s">
        <v>224</v>
      </c>
      <c r="C480" s="14" t="s">
        <v>143</v>
      </c>
      <c r="D480" s="10" t="s">
        <v>35</v>
      </c>
      <c r="E480" s="16">
        <v>403</v>
      </c>
      <c r="F480" s="12">
        <v>43617</v>
      </c>
    </row>
    <row r="481" spans="1:6" ht="15" x14ac:dyDescent="0.25">
      <c r="A481" s="13" t="s">
        <v>342</v>
      </c>
      <c r="B481" s="14" t="s">
        <v>224</v>
      </c>
      <c r="C481" s="14" t="s">
        <v>143</v>
      </c>
      <c r="D481" s="10" t="s">
        <v>30</v>
      </c>
      <c r="E481" s="16">
        <v>540</v>
      </c>
      <c r="F481" s="12">
        <v>43617</v>
      </c>
    </row>
    <row r="482" spans="1:6" ht="15" x14ac:dyDescent="0.25">
      <c r="A482" s="13" t="s">
        <v>342</v>
      </c>
      <c r="B482" s="14" t="s">
        <v>224</v>
      </c>
      <c r="C482" s="14" t="s">
        <v>143</v>
      </c>
      <c r="D482" s="10" t="s">
        <v>221</v>
      </c>
      <c r="E482" s="11">
        <v>102</v>
      </c>
      <c r="F482" s="12">
        <v>43617</v>
      </c>
    </row>
    <row r="483" spans="1:6" ht="15" x14ac:dyDescent="0.25">
      <c r="A483" s="13" t="s">
        <v>342</v>
      </c>
      <c r="B483" s="14" t="s">
        <v>224</v>
      </c>
      <c r="C483" s="14" t="s">
        <v>143</v>
      </c>
      <c r="D483" s="10" t="s">
        <v>43</v>
      </c>
      <c r="E483" s="11">
        <v>77</v>
      </c>
      <c r="F483" s="12">
        <v>43617</v>
      </c>
    </row>
    <row r="484" spans="1:6" ht="15" x14ac:dyDescent="0.25">
      <c r="A484" s="13" t="s">
        <v>343</v>
      </c>
      <c r="B484" s="14" t="s">
        <v>224</v>
      </c>
      <c r="C484" s="14" t="s">
        <v>99</v>
      </c>
      <c r="D484" s="10" t="s">
        <v>35</v>
      </c>
      <c r="E484" s="16">
        <v>621</v>
      </c>
      <c r="F484" s="12">
        <v>45323</v>
      </c>
    </row>
    <row r="485" spans="1:6" ht="15" x14ac:dyDescent="0.25">
      <c r="A485" s="13" t="s">
        <v>343</v>
      </c>
      <c r="B485" s="14" t="s">
        <v>224</v>
      </c>
      <c r="C485" s="14" t="s">
        <v>99</v>
      </c>
      <c r="D485" s="10" t="s">
        <v>221</v>
      </c>
      <c r="E485" s="11">
        <v>140</v>
      </c>
      <c r="F485" s="12">
        <v>45323</v>
      </c>
    </row>
    <row r="486" spans="1:6" ht="15" x14ac:dyDescent="0.25">
      <c r="A486" s="13" t="s">
        <v>343</v>
      </c>
      <c r="B486" s="14" t="s">
        <v>224</v>
      </c>
      <c r="C486" s="14" t="s">
        <v>99</v>
      </c>
      <c r="D486" s="10" t="s">
        <v>43</v>
      </c>
      <c r="E486" s="11">
        <v>107</v>
      </c>
      <c r="F486" s="12">
        <v>45323</v>
      </c>
    </row>
    <row r="487" spans="1:6" ht="15" x14ac:dyDescent="0.25">
      <c r="A487" s="13" t="s">
        <v>344</v>
      </c>
      <c r="B487" s="14" t="s">
        <v>224</v>
      </c>
      <c r="C487" s="14" t="s">
        <v>97</v>
      </c>
      <c r="D487" s="10" t="s">
        <v>35</v>
      </c>
      <c r="E487" s="16">
        <v>467.2</v>
      </c>
      <c r="F487" s="12">
        <v>44869</v>
      </c>
    </row>
    <row r="488" spans="1:6" ht="15" x14ac:dyDescent="0.25">
      <c r="A488" s="13" t="s">
        <v>344</v>
      </c>
      <c r="B488" s="14" t="s">
        <v>224</v>
      </c>
      <c r="C488" s="14" t="s">
        <v>97</v>
      </c>
      <c r="D488" s="10" t="s">
        <v>30</v>
      </c>
      <c r="E488" s="16">
        <v>625.6</v>
      </c>
      <c r="F488" s="12">
        <v>44869</v>
      </c>
    </row>
    <row r="489" spans="1:6" ht="15" x14ac:dyDescent="0.25">
      <c r="A489" s="13" t="s">
        <v>344</v>
      </c>
      <c r="B489" s="14" t="s">
        <v>224</v>
      </c>
      <c r="C489" s="14" t="s">
        <v>97</v>
      </c>
      <c r="D489" s="10" t="s">
        <v>221</v>
      </c>
      <c r="E489" s="11">
        <v>114</v>
      </c>
      <c r="F489" s="12">
        <v>44869</v>
      </c>
    </row>
    <row r="490" spans="1:6" ht="15" x14ac:dyDescent="0.25">
      <c r="A490" s="13" t="s">
        <v>344</v>
      </c>
      <c r="B490" s="14" t="s">
        <v>224</v>
      </c>
      <c r="C490" s="14" t="s">
        <v>97</v>
      </c>
      <c r="D490" s="10" t="s">
        <v>43</v>
      </c>
      <c r="E490" s="11">
        <v>87</v>
      </c>
      <c r="F490" s="12">
        <v>44869</v>
      </c>
    </row>
    <row r="491" spans="1:6" ht="15" x14ac:dyDescent="0.25">
      <c r="A491" s="13" t="s">
        <v>345</v>
      </c>
      <c r="B491" s="14" t="s">
        <v>224</v>
      </c>
      <c r="C491" s="14" t="s">
        <v>176</v>
      </c>
      <c r="D491" s="10" t="s">
        <v>197</v>
      </c>
      <c r="E491" s="16">
        <v>126</v>
      </c>
      <c r="F491" s="12">
        <v>45917</v>
      </c>
    </row>
    <row r="492" spans="1:6" ht="15" x14ac:dyDescent="0.25">
      <c r="A492" s="13" t="s">
        <v>345</v>
      </c>
      <c r="B492" s="14" t="s">
        <v>224</v>
      </c>
      <c r="C492" s="14" t="s">
        <v>176</v>
      </c>
      <c r="D492" s="10" t="s">
        <v>174</v>
      </c>
      <c r="E492" s="16">
        <v>250</v>
      </c>
      <c r="F492" s="12">
        <v>45917</v>
      </c>
    </row>
    <row r="493" spans="1:6" ht="15" x14ac:dyDescent="0.25">
      <c r="A493" s="13" t="s">
        <v>345</v>
      </c>
      <c r="B493" s="14" t="s">
        <v>224</v>
      </c>
      <c r="C493" s="14" t="s">
        <v>176</v>
      </c>
      <c r="D493" s="10" t="s">
        <v>35</v>
      </c>
      <c r="E493" s="16">
        <v>345</v>
      </c>
      <c r="F493" s="12">
        <v>45917</v>
      </c>
    </row>
    <row r="494" spans="1:6" ht="15" x14ac:dyDescent="0.25">
      <c r="A494" s="13" t="s">
        <v>345</v>
      </c>
      <c r="B494" s="14" t="s">
        <v>224</v>
      </c>
      <c r="C494" s="14" t="s">
        <v>176</v>
      </c>
      <c r="D494" s="10" t="s">
        <v>30</v>
      </c>
      <c r="E494" s="16">
        <v>470</v>
      </c>
      <c r="F494" s="12">
        <v>45917</v>
      </c>
    </row>
    <row r="495" spans="1:6" ht="15" x14ac:dyDescent="0.25">
      <c r="A495" s="13" t="s">
        <v>345</v>
      </c>
      <c r="B495" s="14" t="s">
        <v>224</v>
      </c>
      <c r="C495" s="14" t="s">
        <v>176</v>
      </c>
      <c r="D495" s="10" t="s">
        <v>221</v>
      </c>
      <c r="E495" s="11">
        <v>85</v>
      </c>
      <c r="F495" s="12">
        <v>45917</v>
      </c>
    </row>
    <row r="496" spans="1:6" ht="15" x14ac:dyDescent="0.25">
      <c r="A496" s="13" t="s">
        <v>346</v>
      </c>
      <c r="B496" s="14" t="s">
        <v>224</v>
      </c>
      <c r="C496" s="14" t="s">
        <v>176</v>
      </c>
      <c r="D496" s="10" t="s">
        <v>174</v>
      </c>
      <c r="E496" s="11">
        <v>220</v>
      </c>
      <c r="F496" s="12">
        <v>43271</v>
      </c>
    </row>
    <row r="497" spans="1:6" ht="15" x14ac:dyDescent="0.25">
      <c r="A497" s="13" t="s">
        <v>346</v>
      </c>
      <c r="B497" s="14" t="s">
        <v>224</v>
      </c>
      <c r="C497" s="14" t="s">
        <v>176</v>
      </c>
      <c r="D497" s="10" t="s">
        <v>35</v>
      </c>
      <c r="E497" s="11">
        <v>320</v>
      </c>
      <c r="F497" s="12">
        <v>43271</v>
      </c>
    </row>
    <row r="498" spans="1:6" ht="15" x14ac:dyDescent="0.25">
      <c r="A498" s="13" t="s">
        <v>346</v>
      </c>
      <c r="B498" s="14" t="s">
        <v>224</v>
      </c>
      <c r="C498" s="14" t="s">
        <v>176</v>
      </c>
      <c r="D498" s="10" t="s">
        <v>30</v>
      </c>
      <c r="E498" s="16">
        <v>523.5</v>
      </c>
      <c r="F498" s="12">
        <v>43271</v>
      </c>
    </row>
    <row r="499" spans="1:6" ht="15" x14ac:dyDescent="0.25">
      <c r="A499" s="13" t="s">
        <v>346</v>
      </c>
      <c r="B499" s="14" t="s">
        <v>224</v>
      </c>
      <c r="C499" s="14" t="s">
        <v>176</v>
      </c>
      <c r="D499" s="10" t="s">
        <v>221</v>
      </c>
      <c r="E499" s="11">
        <v>95</v>
      </c>
      <c r="F499" s="12">
        <v>43271</v>
      </c>
    </row>
    <row r="500" spans="1:6" ht="15" x14ac:dyDescent="0.25">
      <c r="A500" s="13" t="s">
        <v>347</v>
      </c>
      <c r="B500" s="14" t="s">
        <v>224</v>
      </c>
      <c r="C500" s="14" t="s">
        <v>80</v>
      </c>
      <c r="D500" s="10" t="s">
        <v>174</v>
      </c>
      <c r="E500" s="16">
        <v>340.5</v>
      </c>
      <c r="F500" s="12">
        <v>45627</v>
      </c>
    </row>
    <row r="501" spans="1:6" ht="15" x14ac:dyDescent="0.25">
      <c r="A501" s="13" t="s">
        <v>347</v>
      </c>
      <c r="B501" s="14" t="s">
        <v>224</v>
      </c>
      <c r="C501" s="14" t="s">
        <v>80</v>
      </c>
      <c r="D501" s="10" t="s">
        <v>35</v>
      </c>
      <c r="E501" s="16">
        <v>518</v>
      </c>
      <c r="F501" s="12">
        <v>45627</v>
      </c>
    </row>
    <row r="502" spans="1:6" ht="15" x14ac:dyDescent="0.25">
      <c r="A502" s="13" t="s">
        <v>347</v>
      </c>
      <c r="B502" s="14" t="s">
        <v>224</v>
      </c>
      <c r="C502" s="14" t="s">
        <v>80</v>
      </c>
      <c r="D502" s="10" t="s">
        <v>30</v>
      </c>
      <c r="E502" s="16">
        <v>693</v>
      </c>
      <c r="F502" s="12">
        <v>45627</v>
      </c>
    </row>
    <row r="503" spans="1:6" ht="15" x14ac:dyDescent="0.25">
      <c r="A503" s="13" t="s">
        <v>347</v>
      </c>
      <c r="B503" s="14" t="s">
        <v>224</v>
      </c>
      <c r="C503" s="14" t="s">
        <v>80</v>
      </c>
      <c r="D503" s="10" t="s">
        <v>221</v>
      </c>
      <c r="E503" s="11">
        <v>140</v>
      </c>
      <c r="F503" s="12">
        <v>45627</v>
      </c>
    </row>
    <row r="504" spans="1:6" ht="15" x14ac:dyDescent="0.25">
      <c r="A504" s="13" t="s">
        <v>347</v>
      </c>
      <c r="B504" s="14" t="s">
        <v>224</v>
      </c>
      <c r="C504" s="14" t="s">
        <v>80</v>
      </c>
      <c r="D504" s="10" t="s">
        <v>43</v>
      </c>
      <c r="E504" s="11">
        <v>107</v>
      </c>
      <c r="F504" s="12">
        <v>45627</v>
      </c>
    </row>
    <row r="505" spans="1:6" ht="15" x14ac:dyDescent="0.25">
      <c r="A505" s="13" t="s">
        <v>348</v>
      </c>
      <c r="B505" s="14" t="s">
        <v>224</v>
      </c>
      <c r="C505" s="14" t="s">
        <v>201</v>
      </c>
      <c r="D505" s="10" t="s">
        <v>35</v>
      </c>
      <c r="E505" s="16">
        <v>500.4</v>
      </c>
      <c r="F505" s="12">
        <v>43556</v>
      </c>
    </row>
    <row r="506" spans="1:6" ht="15" x14ac:dyDescent="0.25">
      <c r="A506" s="13" t="s">
        <v>348</v>
      </c>
      <c r="B506" s="14" t="s">
        <v>224</v>
      </c>
      <c r="C506" s="14" t="s">
        <v>201</v>
      </c>
      <c r="D506" s="10" t="s">
        <v>221</v>
      </c>
      <c r="E506" s="11">
        <v>102</v>
      </c>
      <c r="F506" s="12">
        <v>43556</v>
      </c>
    </row>
    <row r="507" spans="1:6" ht="15" x14ac:dyDescent="0.25">
      <c r="A507" s="9" t="s">
        <v>349</v>
      </c>
      <c r="B507" s="10" t="s">
        <v>220</v>
      </c>
      <c r="C507" s="10" t="s">
        <v>198</v>
      </c>
      <c r="D507" s="10" t="s">
        <v>174</v>
      </c>
      <c r="E507" s="11">
        <v>290.76</v>
      </c>
      <c r="F507" s="12">
        <v>45536</v>
      </c>
    </row>
    <row r="508" spans="1:6" ht="15" x14ac:dyDescent="0.25">
      <c r="A508" s="9" t="s">
        <v>349</v>
      </c>
      <c r="B508" s="10" t="s">
        <v>220</v>
      </c>
      <c r="C508" s="10" t="s">
        <v>198</v>
      </c>
      <c r="D508" s="10" t="s">
        <v>35</v>
      </c>
      <c r="E508" s="11">
        <v>409.5</v>
      </c>
      <c r="F508" s="12">
        <v>45536</v>
      </c>
    </row>
    <row r="509" spans="1:6" ht="15" x14ac:dyDescent="0.25">
      <c r="A509" s="9" t="s">
        <v>349</v>
      </c>
      <c r="B509" s="10" t="s">
        <v>220</v>
      </c>
      <c r="C509" s="10" t="s">
        <v>198</v>
      </c>
      <c r="D509" s="10" t="s">
        <v>30</v>
      </c>
      <c r="E509" s="11">
        <v>552.38</v>
      </c>
      <c r="F509" s="12">
        <v>45536</v>
      </c>
    </row>
    <row r="510" spans="1:6" ht="15" x14ac:dyDescent="0.25">
      <c r="A510" s="9" t="s">
        <v>349</v>
      </c>
      <c r="B510" s="10" t="s">
        <v>220</v>
      </c>
      <c r="C510" s="10" t="s">
        <v>198</v>
      </c>
      <c r="D510" s="10" t="s">
        <v>221</v>
      </c>
      <c r="E510" s="11">
        <v>128</v>
      </c>
      <c r="F510" s="12">
        <v>45536</v>
      </c>
    </row>
    <row r="511" spans="1:6" ht="15" x14ac:dyDescent="0.25">
      <c r="A511" s="9" t="s">
        <v>349</v>
      </c>
      <c r="B511" s="10" t="s">
        <v>220</v>
      </c>
      <c r="C511" s="10" t="s">
        <v>198</v>
      </c>
      <c r="D511" s="10" t="s">
        <v>43</v>
      </c>
      <c r="E511" s="11">
        <v>98</v>
      </c>
      <c r="F511" s="12">
        <v>45536</v>
      </c>
    </row>
    <row r="512" spans="1:6" ht="15" x14ac:dyDescent="0.25">
      <c r="A512" s="13" t="s">
        <v>350</v>
      </c>
      <c r="B512" s="14" t="s">
        <v>224</v>
      </c>
      <c r="C512" s="14" t="s">
        <v>182</v>
      </c>
      <c r="D512" s="10" t="s">
        <v>197</v>
      </c>
      <c r="E512" s="17">
        <v>145.13</v>
      </c>
      <c r="F512" s="12">
        <v>45170</v>
      </c>
    </row>
    <row r="513" spans="1:6" ht="15" x14ac:dyDescent="0.25">
      <c r="A513" s="13" t="s">
        <v>350</v>
      </c>
      <c r="B513" s="14" t="s">
        <v>224</v>
      </c>
      <c r="C513" s="14" t="s">
        <v>182</v>
      </c>
      <c r="D513" s="10" t="s">
        <v>174</v>
      </c>
      <c r="E513" s="17">
        <v>290.76</v>
      </c>
      <c r="F513" s="12">
        <v>45170</v>
      </c>
    </row>
    <row r="514" spans="1:6" ht="15" x14ac:dyDescent="0.25">
      <c r="A514" s="13" t="s">
        <v>350</v>
      </c>
      <c r="B514" s="14" t="s">
        <v>224</v>
      </c>
      <c r="C514" s="14" t="s">
        <v>182</v>
      </c>
      <c r="D514" s="10" t="s">
        <v>35</v>
      </c>
      <c r="E514" s="17">
        <v>409.5</v>
      </c>
      <c r="F514" s="12">
        <v>45170</v>
      </c>
    </row>
    <row r="515" spans="1:6" ht="15" x14ac:dyDescent="0.25">
      <c r="A515" s="13" t="s">
        <v>350</v>
      </c>
      <c r="B515" s="14" t="s">
        <v>224</v>
      </c>
      <c r="C515" s="14" t="s">
        <v>182</v>
      </c>
      <c r="D515" s="10" t="s">
        <v>30</v>
      </c>
      <c r="E515" s="17">
        <v>552.38</v>
      </c>
      <c r="F515" s="12">
        <v>45170</v>
      </c>
    </row>
    <row r="516" spans="1:6" ht="15" x14ac:dyDescent="0.25">
      <c r="A516" s="13" t="s">
        <v>350</v>
      </c>
      <c r="B516" s="14" t="s">
        <v>224</v>
      </c>
      <c r="C516" s="14" t="s">
        <v>182</v>
      </c>
      <c r="D516" s="10" t="s">
        <v>221</v>
      </c>
      <c r="E516" s="18">
        <v>128</v>
      </c>
      <c r="F516" s="12">
        <v>45170</v>
      </c>
    </row>
    <row r="517" spans="1:6" ht="15" x14ac:dyDescent="0.25">
      <c r="A517" s="13" t="s">
        <v>350</v>
      </c>
      <c r="B517" s="14" t="s">
        <v>224</v>
      </c>
      <c r="C517" s="14" t="s">
        <v>182</v>
      </c>
      <c r="D517" s="10" t="s">
        <v>43</v>
      </c>
      <c r="E517" s="18">
        <v>98</v>
      </c>
      <c r="F517" s="12">
        <v>45170</v>
      </c>
    </row>
    <row r="518" spans="1:6" ht="15" x14ac:dyDescent="0.25">
      <c r="A518" s="13" t="s">
        <v>351</v>
      </c>
      <c r="B518" s="14" t="s">
        <v>224</v>
      </c>
      <c r="C518" s="14" t="s">
        <v>74</v>
      </c>
      <c r="D518" s="10" t="s">
        <v>174</v>
      </c>
      <c r="E518" s="16">
        <v>340.5</v>
      </c>
      <c r="F518" s="12">
        <v>45627</v>
      </c>
    </row>
    <row r="519" spans="1:6" ht="15" x14ac:dyDescent="0.25">
      <c r="A519" s="13" t="s">
        <v>351</v>
      </c>
      <c r="B519" s="14" t="s">
        <v>224</v>
      </c>
      <c r="C519" s="14" t="s">
        <v>74</v>
      </c>
      <c r="D519" s="10" t="s">
        <v>35</v>
      </c>
      <c r="E519" s="16">
        <v>517.5</v>
      </c>
      <c r="F519" s="12">
        <v>45627</v>
      </c>
    </row>
    <row r="520" spans="1:6" ht="15" x14ac:dyDescent="0.25">
      <c r="A520" s="13" t="s">
        <v>351</v>
      </c>
      <c r="B520" s="14" t="s">
        <v>224</v>
      </c>
      <c r="C520" s="14" t="s">
        <v>74</v>
      </c>
      <c r="D520" s="10" t="s">
        <v>30</v>
      </c>
      <c r="E520" s="16">
        <v>693</v>
      </c>
      <c r="F520" s="12">
        <v>45627</v>
      </c>
    </row>
    <row r="521" spans="1:6" ht="15" x14ac:dyDescent="0.25">
      <c r="A521" s="13" t="s">
        <v>351</v>
      </c>
      <c r="B521" s="14" t="s">
        <v>224</v>
      </c>
      <c r="C521" s="14" t="s">
        <v>74</v>
      </c>
      <c r="D521" s="10" t="s">
        <v>221</v>
      </c>
      <c r="E521" s="11">
        <v>140</v>
      </c>
      <c r="F521" s="12">
        <v>45627</v>
      </c>
    </row>
    <row r="522" spans="1:6" ht="15" x14ac:dyDescent="0.25">
      <c r="A522" s="13" t="s">
        <v>351</v>
      </c>
      <c r="B522" s="14" t="s">
        <v>224</v>
      </c>
      <c r="C522" s="14" t="s">
        <v>74</v>
      </c>
      <c r="D522" s="10" t="s">
        <v>43</v>
      </c>
      <c r="E522" s="11">
        <v>107</v>
      </c>
      <c r="F522" s="12">
        <v>45627</v>
      </c>
    </row>
    <row r="523" spans="1:6" ht="15" x14ac:dyDescent="0.25">
      <c r="A523" s="13" t="s">
        <v>352</v>
      </c>
      <c r="B523" s="14" t="s">
        <v>224</v>
      </c>
      <c r="C523" s="14" t="s">
        <v>124</v>
      </c>
      <c r="D523" s="10" t="s">
        <v>174</v>
      </c>
      <c r="E523" s="16">
        <v>265.5</v>
      </c>
      <c r="F523" s="12">
        <v>41456</v>
      </c>
    </row>
    <row r="524" spans="1:6" ht="15" x14ac:dyDescent="0.25">
      <c r="A524" s="13" t="s">
        <v>352</v>
      </c>
      <c r="B524" s="14" t="s">
        <v>224</v>
      </c>
      <c r="C524" s="14" t="s">
        <v>124</v>
      </c>
      <c r="D524" s="10" t="s">
        <v>35</v>
      </c>
      <c r="E524" s="16">
        <v>414</v>
      </c>
      <c r="F524" s="12">
        <v>41456</v>
      </c>
    </row>
    <row r="525" spans="1:6" ht="15" x14ac:dyDescent="0.25">
      <c r="A525" s="13" t="s">
        <v>352</v>
      </c>
      <c r="B525" s="14" t="s">
        <v>224</v>
      </c>
      <c r="C525" s="14" t="s">
        <v>124</v>
      </c>
      <c r="D525" s="10" t="s">
        <v>30</v>
      </c>
      <c r="E525" s="16">
        <v>553</v>
      </c>
      <c r="F525" s="12">
        <v>41456</v>
      </c>
    </row>
    <row r="526" spans="1:6" ht="15" x14ac:dyDescent="0.25">
      <c r="A526" s="13" t="s">
        <v>352</v>
      </c>
      <c r="B526" s="14" t="s">
        <v>224</v>
      </c>
      <c r="C526" s="14" t="s">
        <v>124</v>
      </c>
      <c r="D526" s="10" t="s">
        <v>221</v>
      </c>
      <c r="E526" s="11">
        <v>75</v>
      </c>
      <c r="F526" s="12">
        <v>41456</v>
      </c>
    </row>
    <row r="527" spans="1:6" ht="15" x14ac:dyDescent="0.25">
      <c r="A527" s="13" t="s">
        <v>352</v>
      </c>
      <c r="B527" s="14" t="s">
        <v>224</v>
      </c>
      <c r="C527" s="14" t="s">
        <v>124</v>
      </c>
      <c r="D527" s="10" t="s">
        <v>43</v>
      </c>
      <c r="E527" s="22">
        <v>45</v>
      </c>
      <c r="F527" s="12">
        <v>41456</v>
      </c>
    </row>
    <row r="528" spans="1:6" ht="15" x14ac:dyDescent="0.25">
      <c r="A528" s="9" t="s">
        <v>353</v>
      </c>
      <c r="B528" s="10" t="s">
        <v>220</v>
      </c>
      <c r="C528" s="10" t="s">
        <v>45</v>
      </c>
      <c r="D528" s="10" t="s">
        <v>197</v>
      </c>
      <c r="E528" s="22">
        <v>199.33</v>
      </c>
      <c r="F528" s="12">
        <v>45658</v>
      </c>
    </row>
    <row r="529" spans="1:6" ht="15" x14ac:dyDescent="0.25">
      <c r="A529" s="9" t="s">
        <v>353</v>
      </c>
      <c r="B529" s="10" t="s">
        <v>220</v>
      </c>
      <c r="C529" s="10" t="s">
        <v>45</v>
      </c>
      <c r="D529" s="10" t="s">
        <v>174</v>
      </c>
      <c r="E529" s="22">
        <v>385.9</v>
      </c>
      <c r="F529" s="12">
        <v>45658</v>
      </c>
    </row>
    <row r="530" spans="1:6" ht="15" x14ac:dyDescent="0.25">
      <c r="A530" s="9" t="s">
        <v>353</v>
      </c>
      <c r="B530" s="10" t="s">
        <v>220</v>
      </c>
      <c r="C530" s="10" t="s">
        <v>45</v>
      </c>
      <c r="D530" s="10" t="s">
        <v>35</v>
      </c>
      <c r="E530" s="22">
        <v>586.5</v>
      </c>
      <c r="F530" s="12">
        <v>45658</v>
      </c>
    </row>
    <row r="531" spans="1:6" ht="15" x14ac:dyDescent="0.25">
      <c r="A531" s="9" t="s">
        <v>353</v>
      </c>
      <c r="B531" s="10" t="s">
        <v>220</v>
      </c>
      <c r="C531" s="10" t="s">
        <v>45</v>
      </c>
      <c r="D531" s="10" t="s">
        <v>30</v>
      </c>
      <c r="E531" s="22">
        <v>785.83</v>
      </c>
      <c r="F531" s="12">
        <v>45658</v>
      </c>
    </row>
    <row r="532" spans="1:6" ht="15" x14ac:dyDescent="0.25">
      <c r="A532" s="9" t="s">
        <v>353</v>
      </c>
      <c r="B532" s="10" t="s">
        <v>220</v>
      </c>
      <c r="C532" s="10" t="s">
        <v>45</v>
      </c>
      <c r="D532" s="10" t="s">
        <v>221</v>
      </c>
      <c r="E532" s="22">
        <v>140</v>
      </c>
      <c r="F532" s="12">
        <v>45658</v>
      </c>
    </row>
    <row r="533" spans="1:6" ht="15" x14ac:dyDescent="0.25">
      <c r="A533" s="9" t="s">
        <v>353</v>
      </c>
      <c r="B533" s="10" t="s">
        <v>220</v>
      </c>
      <c r="C533" s="10" t="s">
        <v>45</v>
      </c>
      <c r="D533" s="10" t="s">
        <v>43</v>
      </c>
      <c r="E533" s="22">
        <v>107</v>
      </c>
      <c r="F533" s="12">
        <v>45658</v>
      </c>
    </row>
    <row r="534" spans="1:6" ht="15" x14ac:dyDescent="0.25">
      <c r="A534" s="9" t="s">
        <v>354</v>
      </c>
      <c r="B534" s="10" t="s">
        <v>220</v>
      </c>
      <c r="C534" s="10" t="s">
        <v>69</v>
      </c>
      <c r="D534" s="10" t="s">
        <v>197</v>
      </c>
      <c r="E534" s="22">
        <v>246</v>
      </c>
      <c r="F534" s="12">
        <v>45658</v>
      </c>
    </row>
    <row r="535" spans="1:6" ht="15" x14ac:dyDescent="0.25">
      <c r="A535" s="9" t="s">
        <v>354</v>
      </c>
      <c r="B535" s="10" t="s">
        <v>220</v>
      </c>
      <c r="C535" s="10" t="s">
        <v>69</v>
      </c>
      <c r="D535" s="10" t="s">
        <v>174</v>
      </c>
      <c r="E535" s="22">
        <v>476.5</v>
      </c>
      <c r="F535" s="12">
        <v>45658</v>
      </c>
    </row>
    <row r="536" spans="1:6" ht="15" x14ac:dyDescent="0.25">
      <c r="A536" s="9" t="s">
        <v>354</v>
      </c>
      <c r="B536" s="10" t="s">
        <v>220</v>
      </c>
      <c r="C536" s="10" t="s">
        <v>69</v>
      </c>
      <c r="D536" s="10" t="s">
        <v>35</v>
      </c>
      <c r="E536" s="22">
        <v>724.5</v>
      </c>
      <c r="F536" s="12">
        <v>45658</v>
      </c>
    </row>
    <row r="537" spans="1:6" ht="15" x14ac:dyDescent="0.25">
      <c r="A537" s="9" t="s">
        <v>354</v>
      </c>
      <c r="B537" s="10" t="s">
        <v>220</v>
      </c>
      <c r="C537" s="10" t="s">
        <v>69</v>
      </c>
      <c r="D537" s="10" t="s">
        <v>30</v>
      </c>
      <c r="E537" s="22">
        <v>970.5</v>
      </c>
      <c r="F537" s="12">
        <v>45658</v>
      </c>
    </row>
    <row r="538" spans="1:6" ht="15" x14ac:dyDescent="0.25">
      <c r="A538" s="9" t="s">
        <v>354</v>
      </c>
      <c r="B538" s="10" t="s">
        <v>220</v>
      </c>
      <c r="C538" s="10" t="s">
        <v>69</v>
      </c>
      <c r="D538" s="10" t="s">
        <v>221</v>
      </c>
      <c r="E538" s="22">
        <v>147</v>
      </c>
      <c r="F538" s="12">
        <v>45658</v>
      </c>
    </row>
    <row r="539" spans="1:6" ht="15" x14ac:dyDescent="0.25">
      <c r="A539" s="9" t="s">
        <v>354</v>
      </c>
      <c r="B539" s="10" t="s">
        <v>220</v>
      </c>
      <c r="C539" s="10" t="s">
        <v>69</v>
      </c>
      <c r="D539" s="10" t="s">
        <v>43</v>
      </c>
      <c r="E539" s="22">
        <v>112</v>
      </c>
      <c r="F539" s="12">
        <v>45658</v>
      </c>
    </row>
    <row r="540" spans="1:6" ht="15" x14ac:dyDescent="0.25">
      <c r="A540" s="9" t="s">
        <v>355</v>
      </c>
      <c r="B540" s="10" t="s">
        <v>220</v>
      </c>
      <c r="C540" s="10" t="s">
        <v>32</v>
      </c>
      <c r="D540" s="10" t="s">
        <v>197</v>
      </c>
      <c r="E540" s="22">
        <v>211.4</v>
      </c>
      <c r="F540" s="12">
        <v>45658</v>
      </c>
    </row>
    <row r="541" spans="1:6" ht="15" x14ac:dyDescent="0.25">
      <c r="A541" s="9" t="s">
        <v>355</v>
      </c>
      <c r="B541" s="10" t="s">
        <v>220</v>
      </c>
      <c r="C541" s="10" t="s">
        <v>32</v>
      </c>
      <c r="D541" s="10" t="s">
        <v>174</v>
      </c>
      <c r="E541" s="22">
        <v>428.85</v>
      </c>
      <c r="F541" s="12">
        <v>45658</v>
      </c>
    </row>
    <row r="542" spans="1:6" ht="15" x14ac:dyDescent="0.25">
      <c r="A542" s="9" t="s">
        <v>355</v>
      </c>
      <c r="B542" s="10" t="s">
        <v>220</v>
      </c>
      <c r="C542" s="10" t="s">
        <v>32</v>
      </c>
      <c r="D542" s="10" t="s">
        <v>35</v>
      </c>
      <c r="E542" s="22">
        <v>652.04999999999995</v>
      </c>
      <c r="F542" s="12">
        <v>45658</v>
      </c>
    </row>
    <row r="543" spans="1:6" ht="15" x14ac:dyDescent="0.25">
      <c r="A543" s="9" t="s">
        <v>355</v>
      </c>
      <c r="B543" s="10" t="s">
        <v>220</v>
      </c>
      <c r="C543" s="10" t="s">
        <v>32</v>
      </c>
      <c r="D543" s="10" t="s">
        <v>30</v>
      </c>
      <c r="E543" s="22">
        <v>873.45</v>
      </c>
      <c r="F543" s="12">
        <v>45658</v>
      </c>
    </row>
    <row r="544" spans="1:6" ht="15" x14ac:dyDescent="0.25">
      <c r="A544" s="9" t="s">
        <v>355</v>
      </c>
      <c r="B544" s="10" t="s">
        <v>220</v>
      </c>
      <c r="C544" s="10" t="s">
        <v>32</v>
      </c>
      <c r="D544" s="10" t="s">
        <v>221</v>
      </c>
      <c r="E544" s="22">
        <v>147</v>
      </c>
      <c r="F544" s="12">
        <v>45658</v>
      </c>
    </row>
    <row r="545" spans="1:6" ht="15" x14ac:dyDescent="0.25">
      <c r="A545" s="9" t="s">
        <v>355</v>
      </c>
      <c r="B545" s="10" t="s">
        <v>220</v>
      </c>
      <c r="C545" s="10" t="s">
        <v>32</v>
      </c>
      <c r="D545" s="10" t="s">
        <v>43</v>
      </c>
      <c r="E545" s="22">
        <v>112</v>
      </c>
      <c r="F545" s="12">
        <v>45658</v>
      </c>
    </row>
    <row r="546" spans="1:6" ht="15" x14ac:dyDescent="0.25">
      <c r="A546" s="9" t="s">
        <v>356</v>
      </c>
      <c r="B546" s="10" t="s">
        <v>220</v>
      </c>
      <c r="C546" s="10" t="s">
        <v>33</v>
      </c>
      <c r="D546" s="10" t="s">
        <v>197</v>
      </c>
      <c r="E546" s="22">
        <v>209.1</v>
      </c>
      <c r="F546" s="12">
        <v>45658</v>
      </c>
    </row>
    <row r="547" spans="1:6" ht="15" x14ac:dyDescent="0.25">
      <c r="A547" s="9" t="s">
        <v>356</v>
      </c>
      <c r="B547" s="10" t="s">
        <v>220</v>
      </c>
      <c r="C547" s="10" t="s">
        <v>33</v>
      </c>
      <c r="D547" s="10" t="s">
        <v>174</v>
      </c>
      <c r="E547" s="22">
        <v>405.03</v>
      </c>
      <c r="F547" s="12">
        <v>45658</v>
      </c>
    </row>
    <row r="548" spans="1:6" ht="15" x14ac:dyDescent="0.25">
      <c r="A548" s="9" t="s">
        <v>356</v>
      </c>
      <c r="B548" s="10" t="s">
        <v>220</v>
      </c>
      <c r="C548" s="10" t="s">
        <v>33</v>
      </c>
      <c r="D548" s="10" t="s">
        <v>35</v>
      </c>
      <c r="E548" s="22">
        <v>615.83000000000004</v>
      </c>
      <c r="F548" s="12">
        <v>45658</v>
      </c>
    </row>
    <row r="549" spans="1:6" ht="15" x14ac:dyDescent="0.25">
      <c r="A549" s="9" t="s">
        <v>356</v>
      </c>
      <c r="B549" s="10" t="s">
        <v>220</v>
      </c>
      <c r="C549" s="10" t="s">
        <v>33</v>
      </c>
      <c r="D549" s="10" t="s">
        <v>30</v>
      </c>
      <c r="E549" s="22">
        <v>824.93</v>
      </c>
      <c r="F549" s="12">
        <v>45658</v>
      </c>
    </row>
    <row r="550" spans="1:6" ht="15" x14ac:dyDescent="0.25">
      <c r="A550" s="9" t="s">
        <v>356</v>
      </c>
      <c r="B550" s="10" t="s">
        <v>220</v>
      </c>
      <c r="C550" s="10" t="s">
        <v>33</v>
      </c>
      <c r="D550" s="10" t="s">
        <v>221</v>
      </c>
      <c r="E550" s="22">
        <v>147</v>
      </c>
      <c r="F550" s="12">
        <v>45658</v>
      </c>
    </row>
    <row r="551" spans="1:6" ht="15" x14ac:dyDescent="0.25">
      <c r="A551" s="9" t="s">
        <v>356</v>
      </c>
      <c r="B551" s="10" t="s">
        <v>220</v>
      </c>
      <c r="C551" s="10" t="s">
        <v>33</v>
      </c>
      <c r="D551" s="10" t="s">
        <v>43</v>
      </c>
      <c r="E551" s="22">
        <v>112</v>
      </c>
      <c r="F551" s="12">
        <v>45658</v>
      </c>
    </row>
    <row r="552" spans="1:6" ht="15" x14ac:dyDescent="0.25">
      <c r="A552" s="9" t="s">
        <v>357</v>
      </c>
      <c r="B552" s="10" t="s">
        <v>220</v>
      </c>
      <c r="C552" s="10" t="s">
        <v>116</v>
      </c>
      <c r="D552" s="10" t="s">
        <v>197</v>
      </c>
      <c r="E552" s="22">
        <v>196.8</v>
      </c>
      <c r="F552" s="12">
        <v>45658</v>
      </c>
    </row>
    <row r="553" spans="1:6" ht="15" x14ac:dyDescent="0.25">
      <c r="A553" s="9" t="s">
        <v>357</v>
      </c>
      <c r="B553" s="10" t="s">
        <v>220</v>
      </c>
      <c r="C553" s="10" t="s">
        <v>116</v>
      </c>
      <c r="D553" s="10" t="s">
        <v>174</v>
      </c>
      <c r="E553" s="22">
        <v>381.2</v>
      </c>
      <c r="F553" s="12">
        <v>45658</v>
      </c>
    </row>
    <row r="554" spans="1:6" ht="15" x14ac:dyDescent="0.25">
      <c r="A554" s="9" t="s">
        <v>357</v>
      </c>
      <c r="B554" s="10" t="s">
        <v>220</v>
      </c>
      <c r="C554" s="10" t="s">
        <v>116</v>
      </c>
      <c r="D554" s="10" t="s">
        <v>35</v>
      </c>
      <c r="E554" s="22">
        <v>579.6</v>
      </c>
      <c r="F554" s="12">
        <v>45658</v>
      </c>
    </row>
    <row r="555" spans="1:6" ht="15" x14ac:dyDescent="0.25">
      <c r="A555" s="9" t="s">
        <v>357</v>
      </c>
      <c r="B555" s="10" t="s">
        <v>220</v>
      </c>
      <c r="C555" s="10" t="s">
        <v>116</v>
      </c>
      <c r="D555" s="10" t="s">
        <v>30</v>
      </c>
      <c r="E555" s="22">
        <v>776.4</v>
      </c>
      <c r="F555" s="12">
        <v>45658</v>
      </c>
    </row>
    <row r="556" spans="1:6" ht="15" x14ac:dyDescent="0.25">
      <c r="A556" s="9" t="s">
        <v>357</v>
      </c>
      <c r="B556" s="10" t="s">
        <v>220</v>
      </c>
      <c r="C556" s="10" t="s">
        <v>116</v>
      </c>
      <c r="D556" s="10" t="s">
        <v>221</v>
      </c>
      <c r="E556" s="22">
        <v>147</v>
      </c>
      <c r="F556" s="12">
        <v>45658</v>
      </c>
    </row>
    <row r="557" spans="1:6" ht="15" x14ac:dyDescent="0.25">
      <c r="A557" s="9" t="s">
        <v>357</v>
      </c>
      <c r="B557" s="10" t="s">
        <v>220</v>
      </c>
      <c r="C557" s="10" t="s">
        <v>116</v>
      </c>
      <c r="D557" s="10" t="s">
        <v>43</v>
      </c>
      <c r="E557" s="22">
        <v>112</v>
      </c>
      <c r="F557" s="12">
        <v>45658</v>
      </c>
    </row>
    <row r="558" spans="1:6" ht="15" x14ac:dyDescent="0.25">
      <c r="A558" s="9" t="s">
        <v>358</v>
      </c>
      <c r="B558" s="10" t="s">
        <v>220</v>
      </c>
      <c r="C558" s="10" t="s">
        <v>56</v>
      </c>
      <c r="D558" s="10" t="s">
        <v>197</v>
      </c>
      <c r="E558" s="22">
        <v>184.5</v>
      </c>
      <c r="F558" s="12">
        <v>45658</v>
      </c>
    </row>
    <row r="559" spans="1:6" ht="15" x14ac:dyDescent="0.25">
      <c r="A559" s="9" t="s">
        <v>358</v>
      </c>
      <c r="B559" s="10" t="s">
        <v>220</v>
      </c>
      <c r="C559" s="10" t="s">
        <v>56</v>
      </c>
      <c r="D559" s="10" t="s">
        <v>174</v>
      </c>
      <c r="E559" s="22">
        <v>357.38</v>
      </c>
      <c r="F559" s="12">
        <v>45658</v>
      </c>
    </row>
    <row r="560" spans="1:6" ht="15" x14ac:dyDescent="0.25">
      <c r="A560" s="9" t="s">
        <v>358</v>
      </c>
      <c r="B560" s="10" t="s">
        <v>220</v>
      </c>
      <c r="C560" s="10" t="s">
        <v>56</v>
      </c>
      <c r="D560" s="10" t="s">
        <v>35</v>
      </c>
      <c r="E560" s="11">
        <v>543.38</v>
      </c>
      <c r="F560" s="12">
        <v>45658</v>
      </c>
    </row>
    <row r="561" spans="1:6" ht="15" x14ac:dyDescent="0.25">
      <c r="A561" s="9" t="s">
        <v>358</v>
      </c>
      <c r="B561" s="10" t="s">
        <v>220</v>
      </c>
      <c r="C561" s="10" t="s">
        <v>56</v>
      </c>
      <c r="D561" s="10" t="s">
        <v>30</v>
      </c>
      <c r="E561" s="11">
        <v>727.88</v>
      </c>
      <c r="F561" s="12">
        <v>45658</v>
      </c>
    </row>
    <row r="562" spans="1:6" ht="15" x14ac:dyDescent="0.25">
      <c r="A562" s="9" t="s">
        <v>358</v>
      </c>
      <c r="B562" s="10" t="s">
        <v>220</v>
      </c>
      <c r="C562" s="10" t="s">
        <v>56</v>
      </c>
      <c r="D562" s="10" t="s">
        <v>221</v>
      </c>
      <c r="E562" s="11">
        <v>147</v>
      </c>
      <c r="F562" s="12">
        <v>45658</v>
      </c>
    </row>
    <row r="563" spans="1:6" ht="15" x14ac:dyDescent="0.25">
      <c r="A563" s="9" t="s">
        <v>358</v>
      </c>
      <c r="B563" s="10" t="s">
        <v>220</v>
      </c>
      <c r="C563" s="10" t="s">
        <v>56</v>
      </c>
      <c r="D563" s="10" t="s">
        <v>43</v>
      </c>
      <c r="E563" s="11">
        <v>112</v>
      </c>
      <c r="F563" s="12">
        <v>45658</v>
      </c>
    </row>
    <row r="564" spans="1:6" ht="15" x14ac:dyDescent="0.25">
      <c r="A564" s="13" t="s">
        <v>359</v>
      </c>
      <c r="B564" s="14" t="s">
        <v>224</v>
      </c>
      <c r="C564" s="14" t="s">
        <v>196</v>
      </c>
      <c r="D564" s="10" t="s">
        <v>174</v>
      </c>
      <c r="E564" s="17">
        <v>274.5</v>
      </c>
      <c r="F564" s="12">
        <v>43497</v>
      </c>
    </row>
    <row r="565" spans="1:6" ht="15" x14ac:dyDescent="0.25">
      <c r="A565" s="13" t="s">
        <v>359</v>
      </c>
      <c r="B565" s="14" t="s">
        <v>224</v>
      </c>
      <c r="C565" s="14" t="s">
        <v>196</v>
      </c>
      <c r="D565" s="10" t="s">
        <v>35</v>
      </c>
      <c r="E565" s="23">
        <v>402.75</v>
      </c>
      <c r="F565" s="12">
        <v>43497</v>
      </c>
    </row>
    <row r="566" spans="1:6" ht="15" x14ac:dyDescent="0.25">
      <c r="A566" s="13" t="s">
        <v>359</v>
      </c>
      <c r="B566" s="14" t="s">
        <v>224</v>
      </c>
      <c r="C566" s="14" t="s">
        <v>196</v>
      </c>
      <c r="D566" s="10" t="s">
        <v>221</v>
      </c>
      <c r="E566" s="24">
        <v>98</v>
      </c>
      <c r="F566" s="12">
        <v>43497</v>
      </c>
    </row>
    <row r="567" spans="1:6" ht="15" x14ac:dyDescent="0.25">
      <c r="A567" s="13" t="s">
        <v>631</v>
      </c>
      <c r="B567" s="14" t="s">
        <v>224</v>
      </c>
      <c r="C567" s="14" t="s">
        <v>630</v>
      </c>
      <c r="D567" s="10" t="s">
        <v>35</v>
      </c>
      <c r="E567" s="22">
        <v>543</v>
      </c>
      <c r="F567" s="12">
        <v>45901</v>
      </c>
    </row>
    <row r="568" spans="1:6" ht="15" x14ac:dyDescent="0.25">
      <c r="A568" s="13" t="s">
        <v>631</v>
      </c>
      <c r="B568" s="14" t="s">
        <v>224</v>
      </c>
      <c r="C568" s="14" t="s">
        <v>630</v>
      </c>
      <c r="D568" s="10" t="s">
        <v>30</v>
      </c>
      <c r="E568" s="22">
        <v>728</v>
      </c>
      <c r="F568" s="12">
        <v>45901</v>
      </c>
    </row>
    <row r="569" spans="1:6" ht="15" x14ac:dyDescent="0.25">
      <c r="A569" s="13" t="s">
        <v>631</v>
      </c>
      <c r="B569" s="14" t="s">
        <v>224</v>
      </c>
      <c r="C569" s="14" t="s">
        <v>630</v>
      </c>
      <c r="D569" s="10" t="s">
        <v>221</v>
      </c>
      <c r="E569" s="22">
        <v>147</v>
      </c>
      <c r="F569" s="12">
        <v>45901</v>
      </c>
    </row>
    <row r="570" spans="1:6" ht="15" x14ac:dyDescent="0.25">
      <c r="A570" s="13" t="s">
        <v>360</v>
      </c>
      <c r="B570" s="14" t="s">
        <v>224</v>
      </c>
      <c r="C570" s="14" t="s">
        <v>202</v>
      </c>
      <c r="D570" s="10" t="s">
        <v>35</v>
      </c>
      <c r="E570" s="25">
        <v>517.5</v>
      </c>
      <c r="F570" s="12">
        <v>45597</v>
      </c>
    </row>
    <row r="571" spans="1:6" ht="15" x14ac:dyDescent="0.25">
      <c r="A571" s="13" t="s">
        <v>360</v>
      </c>
      <c r="B571" s="14" t="s">
        <v>224</v>
      </c>
      <c r="C571" s="14" t="s">
        <v>202</v>
      </c>
      <c r="D571" s="10" t="s">
        <v>30</v>
      </c>
      <c r="E571" s="25">
        <v>693</v>
      </c>
      <c r="F571" s="12">
        <v>45597</v>
      </c>
    </row>
    <row r="572" spans="1:6" ht="15" x14ac:dyDescent="0.25">
      <c r="A572" s="13" t="s">
        <v>360</v>
      </c>
      <c r="B572" s="14" t="s">
        <v>224</v>
      </c>
      <c r="C572" s="14" t="s">
        <v>202</v>
      </c>
      <c r="D572" s="10" t="s">
        <v>221</v>
      </c>
      <c r="E572" s="24">
        <v>140</v>
      </c>
      <c r="F572" s="12">
        <v>45597</v>
      </c>
    </row>
    <row r="573" spans="1:6" ht="15" x14ac:dyDescent="0.25">
      <c r="A573" s="9" t="s">
        <v>361</v>
      </c>
      <c r="B573" s="10" t="s">
        <v>220</v>
      </c>
      <c r="C573" s="10" t="s">
        <v>59</v>
      </c>
      <c r="D573" s="10" t="s">
        <v>197</v>
      </c>
      <c r="E573" s="22">
        <v>176</v>
      </c>
      <c r="F573" s="12">
        <v>45566</v>
      </c>
    </row>
    <row r="574" spans="1:6" ht="15" x14ac:dyDescent="0.25">
      <c r="A574" s="9" t="s">
        <v>361</v>
      </c>
      <c r="B574" s="10" t="s">
        <v>220</v>
      </c>
      <c r="C574" s="10" t="s">
        <v>59</v>
      </c>
      <c r="D574" s="10" t="s">
        <v>174</v>
      </c>
      <c r="E574" s="22">
        <v>340.5</v>
      </c>
      <c r="F574" s="12">
        <v>45566</v>
      </c>
    </row>
    <row r="575" spans="1:6" ht="15" x14ac:dyDescent="0.25">
      <c r="A575" s="9" t="s">
        <v>361</v>
      </c>
      <c r="B575" s="10" t="s">
        <v>220</v>
      </c>
      <c r="C575" s="10" t="s">
        <v>59</v>
      </c>
      <c r="D575" s="10" t="s">
        <v>35</v>
      </c>
      <c r="E575" s="11">
        <v>517.5</v>
      </c>
      <c r="F575" s="12">
        <v>45566</v>
      </c>
    </row>
    <row r="576" spans="1:6" ht="15" x14ac:dyDescent="0.25">
      <c r="A576" s="9" t="s">
        <v>361</v>
      </c>
      <c r="B576" s="10" t="s">
        <v>220</v>
      </c>
      <c r="C576" s="10" t="s">
        <v>59</v>
      </c>
      <c r="D576" s="10" t="s">
        <v>30</v>
      </c>
      <c r="E576" s="11">
        <v>693</v>
      </c>
      <c r="F576" s="12">
        <v>45566</v>
      </c>
    </row>
    <row r="577" spans="1:6" ht="15" x14ac:dyDescent="0.25">
      <c r="A577" s="9" t="s">
        <v>361</v>
      </c>
      <c r="B577" s="10" t="s">
        <v>220</v>
      </c>
      <c r="C577" s="10" t="s">
        <v>59</v>
      </c>
      <c r="D577" s="10" t="s">
        <v>221</v>
      </c>
      <c r="E577" s="11">
        <v>140</v>
      </c>
      <c r="F577" s="12">
        <v>45566</v>
      </c>
    </row>
    <row r="578" spans="1:6" ht="15" x14ac:dyDescent="0.25">
      <c r="A578" s="9" t="s">
        <v>361</v>
      </c>
      <c r="B578" s="10" t="s">
        <v>220</v>
      </c>
      <c r="C578" s="10" t="s">
        <v>59</v>
      </c>
      <c r="D578" s="10" t="s">
        <v>43</v>
      </c>
      <c r="E578" s="11">
        <v>107</v>
      </c>
      <c r="F578" s="12">
        <v>45566</v>
      </c>
    </row>
    <row r="579" spans="1:6" ht="15" x14ac:dyDescent="0.25">
      <c r="A579" s="13" t="s">
        <v>362</v>
      </c>
      <c r="B579" s="14" t="s">
        <v>224</v>
      </c>
      <c r="C579" s="14" t="s">
        <v>75</v>
      </c>
      <c r="D579" s="10" t="s">
        <v>35</v>
      </c>
      <c r="E579" s="17">
        <v>517.5</v>
      </c>
      <c r="F579" s="12">
        <v>45505</v>
      </c>
    </row>
    <row r="580" spans="1:6" ht="15" x14ac:dyDescent="0.25">
      <c r="A580" s="13" t="s">
        <v>362</v>
      </c>
      <c r="B580" s="14" t="s">
        <v>224</v>
      </c>
      <c r="C580" s="14" t="s">
        <v>75</v>
      </c>
      <c r="D580" s="10" t="s">
        <v>30</v>
      </c>
      <c r="E580" s="17">
        <v>693</v>
      </c>
      <c r="F580" s="12">
        <v>45505</v>
      </c>
    </row>
    <row r="581" spans="1:6" ht="15" x14ac:dyDescent="0.25">
      <c r="A581" s="13" t="s">
        <v>362</v>
      </c>
      <c r="B581" s="14" t="s">
        <v>224</v>
      </c>
      <c r="C581" s="14" t="s">
        <v>75</v>
      </c>
      <c r="D581" s="10" t="s">
        <v>221</v>
      </c>
      <c r="E581" s="18">
        <v>140</v>
      </c>
      <c r="F581" s="12">
        <v>45505</v>
      </c>
    </row>
    <row r="582" spans="1:6" ht="15" x14ac:dyDescent="0.25">
      <c r="A582" s="13" t="s">
        <v>363</v>
      </c>
      <c r="B582" s="14" t="s">
        <v>224</v>
      </c>
      <c r="C582" s="14" t="s">
        <v>164</v>
      </c>
      <c r="D582" s="10" t="s">
        <v>35</v>
      </c>
      <c r="E582" s="16">
        <v>492.75</v>
      </c>
      <c r="F582" s="12">
        <v>45078</v>
      </c>
    </row>
    <row r="583" spans="1:6" ht="15" x14ac:dyDescent="0.25">
      <c r="A583" s="13" t="s">
        <v>363</v>
      </c>
      <c r="B583" s="14" t="s">
        <v>224</v>
      </c>
      <c r="C583" s="14" t="s">
        <v>164</v>
      </c>
      <c r="D583" s="10" t="s">
        <v>221</v>
      </c>
      <c r="E583" s="11">
        <v>128</v>
      </c>
      <c r="F583" s="12">
        <v>45078</v>
      </c>
    </row>
    <row r="584" spans="1:6" ht="15" x14ac:dyDescent="0.25">
      <c r="A584" s="13" t="s">
        <v>364</v>
      </c>
      <c r="B584" s="14" t="s">
        <v>224</v>
      </c>
      <c r="C584" s="14" t="s">
        <v>107</v>
      </c>
      <c r="D584" s="10" t="s">
        <v>35</v>
      </c>
      <c r="E584" s="17">
        <v>587</v>
      </c>
      <c r="F584" s="12">
        <v>45809</v>
      </c>
    </row>
    <row r="585" spans="1:6" ht="15" x14ac:dyDescent="0.25">
      <c r="A585" s="13" t="s">
        <v>364</v>
      </c>
      <c r="B585" s="14" t="s">
        <v>224</v>
      </c>
      <c r="C585" s="14" t="s">
        <v>107</v>
      </c>
      <c r="D585" s="10" t="s">
        <v>221</v>
      </c>
      <c r="E585" s="18">
        <v>140</v>
      </c>
      <c r="F585" s="12">
        <v>45809</v>
      </c>
    </row>
    <row r="586" spans="1:6" ht="15" x14ac:dyDescent="0.25">
      <c r="A586" s="13" t="s">
        <v>365</v>
      </c>
      <c r="B586" s="14" t="s">
        <v>224</v>
      </c>
      <c r="C586" s="14" t="s">
        <v>95</v>
      </c>
      <c r="D586" s="10" t="s">
        <v>35</v>
      </c>
      <c r="E586" s="16">
        <v>493</v>
      </c>
      <c r="F586" s="12">
        <v>45139</v>
      </c>
    </row>
    <row r="587" spans="1:6" ht="15" x14ac:dyDescent="0.25">
      <c r="A587" s="13" t="s">
        <v>365</v>
      </c>
      <c r="B587" s="14" t="s">
        <v>224</v>
      </c>
      <c r="C587" s="14" t="s">
        <v>95</v>
      </c>
      <c r="D587" s="10" t="s">
        <v>30</v>
      </c>
      <c r="E587" s="16">
        <v>660</v>
      </c>
      <c r="F587" s="12">
        <v>45139</v>
      </c>
    </row>
    <row r="588" spans="1:6" ht="15" x14ac:dyDescent="0.25">
      <c r="A588" s="13" t="s">
        <v>365</v>
      </c>
      <c r="B588" s="14" t="s">
        <v>224</v>
      </c>
      <c r="C588" s="14" t="s">
        <v>95</v>
      </c>
      <c r="D588" s="10" t="s">
        <v>221</v>
      </c>
      <c r="E588" s="11">
        <v>128</v>
      </c>
      <c r="F588" s="12">
        <v>45139</v>
      </c>
    </row>
    <row r="589" spans="1:6" ht="15" x14ac:dyDescent="0.25">
      <c r="A589" s="13" t="s">
        <v>366</v>
      </c>
      <c r="B589" s="14" t="s">
        <v>224</v>
      </c>
      <c r="C589" s="14" t="s">
        <v>53</v>
      </c>
      <c r="D589" s="10" t="s">
        <v>174</v>
      </c>
      <c r="E589" s="16">
        <v>357</v>
      </c>
      <c r="F589" s="12">
        <v>45839</v>
      </c>
    </row>
    <row r="590" spans="1:6" ht="15" x14ac:dyDescent="0.25">
      <c r="A590" s="13" t="s">
        <v>366</v>
      </c>
      <c r="B590" s="14" t="s">
        <v>224</v>
      </c>
      <c r="C590" s="14" t="s">
        <v>53</v>
      </c>
      <c r="D590" s="10" t="s">
        <v>35</v>
      </c>
      <c r="E590" s="16">
        <v>543</v>
      </c>
      <c r="F590" s="12">
        <v>45839</v>
      </c>
    </row>
    <row r="591" spans="1:6" ht="15" x14ac:dyDescent="0.25">
      <c r="A591" s="13" t="s">
        <v>366</v>
      </c>
      <c r="B591" s="14" t="s">
        <v>224</v>
      </c>
      <c r="C591" s="14" t="s">
        <v>53</v>
      </c>
      <c r="D591" s="10" t="s">
        <v>30</v>
      </c>
      <c r="E591" s="16">
        <v>728</v>
      </c>
      <c r="F591" s="12">
        <v>45839</v>
      </c>
    </row>
    <row r="592" spans="1:6" ht="15" x14ac:dyDescent="0.25">
      <c r="A592" s="13" t="s">
        <v>366</v>
      </c>
      <c r="B592" s="14" t="s">
        <v>224</v>
      </c>
      <c r="C592" s="14" t="s">
        <v>53</v>
      </c>
      <c r="D592" s="10" t="s">
        <v>221</v>
      </c>
      <c r="E592" s="11">
        <v>147</v>
      </c>
      <c r="F592" s="12">
        <v>45839</v>
      </c>
    </row>
    <row r="593" spans="1:6" ht="15" x14ac:dyDescent="0.25">
      <c r="A593" s="13" t="s">
        <v>366</v>
      </c>
      <c r="B593" s="14" t="s">
        <v>224</v>
      </c>
      <c r="C593" s="14" t="s">
        <v>53</v>
      </c>
      <c r="D593" s="10" t="s">
        <v>43</v>
      </c>
      <c r="E593" s="11">
        <v>112</v>
      </c>
      <c r="F593" s="12">
        <v>45839</v>
      </c>
    </row>
    <row r="594" spans="1:6" ht="15" x14ac:dyDescent="0.25">
      <c r="A594" s="13" t="s">
        <v>367</v>
      </c>
      <c r="B594" s="14" t="s">
        <v>224</v>
      </c>
      <c r="C594" s="14" t="s">
        <v>125</v>
      </c>
      <c r="D594" s="10" t="s">
        <v>35</v>
      </c>
      <c r="E594" s="16">
        <v>552</v>
      </c>
      <c r="F594" s="12">
        <v>45597</v>
      </c>
    </row>
    <row r="595" spans="1:6" ht="15" x14ac:dyDescent="0.25">
      <c r="A595" s="13" t="s">
        <v>367</v>
      </c>
      <c r="B595" s="14" t="s">
        <v>224</v>
      </c>
      <c r="C595" s="14" t="s">
        <v>125</v>
      </c>
      <c r="D595" s="10" t="s">
        <v>30</v>
      </c>
      <c r="E595" s="16">
        <v>740</v>
      </c>
      <c r="F595" s="12">
        <v>45597</v>
      </c>
    </row>
    <row r="596" spans="1:6" ht="15" x14ac:dyDescent="0.25">
      <c r="A596" s="13" t="s">
        <v>367</v>
      </c>
      <c r="B596" s="14" t="s">
        <v>224</v>
      </c>
      <c r="C596" s="14" t="s">
        <v>125</v>
      </c>
      <c r="D596" s="10" t="s">
        <v>221</v>
      </c>
      <c r="E596" s="11">
        <v>140</v>
      </c>
      <c r="F596" s="12">
        <v>45597</v>
      </c>
    </row>
    <row r="597" spans="1:6" ht="15" x14ac:dyDescent="0.25">
      <c r="A597" s="13" t="s">
        <v>367</v>
      </c>
      <c r="B597" s="14" t="s">
        <v>224</v>
      </c>
      <c r="C597" s="14" t="s">
        <v>125</v>
      </c>
      <c r="D597" s="10" t="s">
        <v>43</v>
      </c>
      <c r="E597" s="11">
        <v>107</v>
      </c>
      <c r="F597" s="12">
        <v>45597</v>
      </c>
    </row>
    <row r="598" spans="1:6" ht="15" x14ac:dyDescent="0.25">
      <c r="A598" s="13" t="s">
        <v>368</v>
      </c>
      <c r="B598" s="14" t="s">
        <v>224</v>
      </c>
      <c r="C598" s="14" t="s">
        <v>64</v>
      </c>
      <c r="D598" s="10" t="s">
        <v>35</v>
      </c>
      <c r="E598" s="16">
        <v>543.38</v>
      </c>
      <c r="F598" s="12">
        <v>45778</v>
      </c>
    </row>
    <row r="599" spans="1:6" ht="15" x14ac:dyDescent="0.25">
      <c r="A599" s="13" t="s">
        <v>368</v>
      </c>
      <c r="B599" s="14" t="s">
        <v>224</v>
      </c>
      <c r="C599" s="14" t="s">
        <v>64</v>
      </c>
      <c r="D599" s="10" t="s">
        <v>30</v>
      </c>
      <c r="E599" s="16">
        <v>727.88</v>
      </c>
      <c r="F599" s="12">
        <v>45778</v>
      </c>
    </row>
    <row r="600" spans="1:6" ht="15" x14ac:dyDescent="0.25">
      <c r="A600" s="13" t="s">
        <v>368</v>
      </c>
      <c r="B600" s="14" t="s">
        <v>224</v>
      </c>
      <c r="C600" s="14" t="s">
        <v>64</v>
      </c>
      <c r="D600" s="10" t="s">
        <v>221</v>
      </c>
      <c r="E600" s="11">
        <v>147</v>
      </c>
      <c r="F600" s="12">
        <v>45778</v>
      </c>
    </row>
    <row r="601" spans="1:6" ht="15" x14ac:dyDescent="0.25">
      <c r="A601" s="13" t="s">
        <v>369</v>
      </c>
      <c r="B601" s="14" t="s">
        <v>224</v>
      </c>
      <c r="C601" s="14" t="s">
        <v>73</v>
      </c>
      <c r="D601" s="10" t="s">
        <v>35</v>
      </c>
      <c r="E601" s="16">
        <v>518</v>
      </c>
      <c r="F601" s="12">
        <v>45658</v>
      </c>
    </row>
    <row r="602" spans="1:6" ht="15" x14ac:dyDescent="0.25">
      <c r="A602" s="13" t="s">
        <v>369</v>
      </c>
      <c r="B602" s="14" t="s">
        <v>224</v>
      </c>
      <c r="C602" s="14" t="s">
        <v>73</v>
      </c>
      <c r="D602" s="10" t="s">
        <v>30</v>
      </c>
      <c r="E602" s="16">
        <v>693</v>
      </c>
      <c r="F602" s="12">
        <v>45658</v>
      </c>
    </row>
    <row r="603" spans="1:6" ht="15" x14ac:dyDescent="0.25">
      <c r="A603" s="13" t="s">
        <v>369</v>
      </c>
      <c r="B603" s="14" t="s">
        <v>224</v>
      </c>
      <c r="C603" s="14" t="s">
        <v>73</v>
      </c>
      <c r="D603" s="10" t="s">
        <v>221</v>
      </c>
      <c r="E603" s="11">
        <v>140</v>
      </c>
      <c r="F603" s="12">
        <v>45658</v>
      </c>
    </row>
    <row r="604" spans="1:6" ht="15" x14ac:dyDescent="0.25">
      <c r="A604" s="13" t="s">
        <v>370</v>
      </c>
      <c r="B604" s="14" t="s">
        <v>224</v>
      </c>
      <c r="C604" s="14" t="s">
        <v>119</v>
      </c>
      <c r="D604" s="10" t="s">
        <v>174</v>
      </c>
      <c r="E604" s="16">
        <v>274.5</v>
      </c>
      <c r="F604" s="12">
        <v>44317</v>
      </c>
    </row>
    <row r="605" spans="1:6" ht="15" x14ac:dyDescent="0.25">
      <c r="A605" s="13" t="s">
        <v>370</v>
      </c>
      <c r="B605" s="14" t="s">
        <v>224</v>
      </c>
      <c r="C605" s="14" t="s">
        <v>119</v>
      </c>
      <c r="D605" s="10" t="s">
        <v>35</v>
      </c>
      <c r="E605" s="16">
        <v>417</v>
      </c>
      <c r="F605" s="12">
        <v>44317</v>
      </c>
    </row>
    <row r="606" spans="1:6" ht="15" x14ac:dyDescent="0.25">
      <c r="A606" s="13" t="s">
        <v>370</v>
      </c>
      <c r="B606" s="14" t="s">
        <v>224</v>
      </c>
      <c r="C606" s="14" t="s">
        <v>119</v>
      </c>
      <c r="D606" s="10" t="s">
        <v>30</v>
      </c>
      <c r="E606" s="16">
        <v>558.75</v>
      </c>
      <c r="F606" s="12">
        <v>44317</v>
      </c>
    </row>
    <row r="607" spans="1:6" ht="15" x14ac:dyDescent="0.25">
      <c r="A607" s="13" t="s">
        <v>370</v>
      </c>
      <c r="B607" s="14" t="s">
        <v>224</v>
      </c>
      <c r="C607" s="14" t="s">
        <v>119</v>
      </c>
      <c r="D607" s="10" t="s">
        <v>221</v>
      </c>
      <c r="E607" s="11">
        <v>109</v>
      </c>
      <c r="F607" s="12">
        <v>44317</v>
      </c>
    </row>
    <row r="608" spans="1:6" ht="15" x14ac:dyDescent="0.25">
      <c r="A608" s="13" t="s">
        <v>370</v>
      </c>
      <c r="B608" s="14" t="s">
        <v>224</v>
      </c>
      <c r="C608" s="14" t="s">
        <v>119</v>
      </c>
      <c r="D608" s="10" t="s">
        <v>43</v>
      </c>
      <c r="E608" s="11">
        <v>83</v>
      </c>
      <c r="F608" s="12">
        <v>44317</v>
      </c>
    </row>
    <row r="609" spans="1:6" ht="15" x14ac:dyDescent="0.25">
      <c r="A609" s="13" t="s">
        <v>371</v>
      </c>
      <c r="B609" s="14" t="s">
        <v>224</v>
      </c>
      <c r="C609" s="14" t="s">
        <v>109</v>
      </c>
      <c r="D609" s="10" t="s">
        <v>35</v>
      </c>
      <c r="E609" s="16">
        <v>586.5</v>
      </c>
      <c r="F609" s="12">
        <v>45505</v>
      </c>
    </row>
    <row r="610" spans="1:6" ht="15" x14ac:dyDescent="0.25">
      <c r="A610" s="13" t="s">
        <v>371</v>
      </c>
      <c r="B610" s="14" t="s">
        <v>224</v>
      </c>
      <c r="C610" s="14" t="s">
        <v>109</v>
      </c>
      <c r="D610" s="10" t="s">
        <v>221</v>
      </c>
      <c r="E610" s="11">
        <v>140</v>
      </c>
      <c r="F610" s="12">
        <v>45505</v>
      </c>
    </row>
    <row r="611" spans="1:6" ht="15" x14ac:dyDescent="0.25">
      <c r="A611" s="13" t="s">
        <v>372</v>
      </c>
      <c r="B611" s="14" t="s">
        <v>224</v>
      </c>
      <c r="C611" s="14" t="s">
        <v>103</v>
      </c>
      <c r="D611" s="10" t="s">
        <v>174</v>
      </c>
      <c r="E611" s="16">
        <v>405</v>
      </c>
      <c r="F611" s="12">
        <v>45747</v>
      </c>
    </row>
    <row r="612" spans="1:6" ht="15" x14ac:dyDescent="0.25">
      <c r="A612" s="13" t="s">
        <v>372</v>
      </c>
      <c r="B612" s="14" t="s">
        <v>224</v>
      </c>
      <c r="C612" s="14" t="s">
        <v>103</v>
      </c>
      <c r="D612" s="10" t="s">
        <v>35</v>
      </c>
      <c r="E612" s="16">
        <v>616</v>
      </c>
      <c r="F612" s="12">
        <v>45747</v>
      </c>
    </row>
    <row r="613" spans="1:6" ht="15" x14ac:dyDescent="0.25">
      <c r="A613" s="13" t="s">
        <v>372</v>
      </c>
      <c r="B613" s="14" t="s">
        <v>224</v>
      </c>
      <c r="C613" s="14" t="s">
        <v>103</v>
      </c>
      <c r="D613" s="10" t="s">
        <v>30</v>
      </c>
      <c r="E613" s="16">
        <v>825</v>
      </c>
      <c r="F613" s="12">
        <v>45747</v>
      </c>
    </row>
    <row r="614" spans="1:6" ht="15" x14ac:dyDescent="0.25">
      <c r="A614" s="13" t="s">
        <v>372</v>
      </c>
      <c r="B614" s="14" t="s">
        <v>224</v>
      </c>
      <c r="C614" s="14" t="s">
        <v>103</v>
      </c>
      <c r="D614" s="10" t="s">
        <v>221</v>
      </c>
      <c r="E614" s="11">
        <v>147</v>
      </c>
      <c r="F614" s="12">
        <v>45747</v>
      </c>
    </row>
    <row r="615" spans="1:6" ht="15" x14ac:dyDescent="0.25">
      <c r="A615" s="13" t="s">
        <v>372</v>
      </c>
      <c r="B615" s="14" t="s">
        <v>224</v>
      </c>
      <c r="C615" s="14" t="s">
        <v>103</v>
      </c>
      <c r="D615" s="10" t="s">
        <v>43</v>
      </c>
      <c r="E615" s="11">
        <v>112</v>
      </c>
      <c r="F615" s="12">
        <v>45747</v>
      </c>
    </row>
    <row r="616" spans="1:6" ht="15" x14ac:dyDescent="0.25">
      <c r="A616" s="13" t="s">
        <v>373</v>
      </c>
      <c r="B616" s="14" t="s">
        <v>224</v>
      </c>
      <c r="C616" s="14" t="s">
        <v>170</v>
      </c>
      <c r="D616" s="10" t="s">
        <v>197</v>
      </c>
      <c r="E616" s="16">
        <v>167</v>
      </c>
      <c r="F616" s="12">
        <v>45383</v>
      </c>
    </row>
    <row r="617" spans="1:6" ht="15" x14ac:dyDescent="0.25">
      <c r="A617" s="13" t="s">
        <v>373</v>
      </c>
      <c r="B617" s="14" t="s">
        <v>224</v>
      </c>
      <c r="C617" s="14" t="s">
        <v>170</v>
      </c>
      <c r="D617" s="10" t="s">
        <v>174</v>
      </c>
      <c r="E617" s="16">
        <v>324.38</v>
      </c>
      <c r="F617" s="12">
        <v>45383</v>
      </c>
    </row>
    <row r="618" spans="1:6" ht="15" x14ac:dyDescent="0.25">
      <c r="A618" s="13" t="s">
        <v>373</v>
      </c>
      <c r="B618" s="14" t="s">
        <v>224</v>
      </c>
      <c r="C618" s="14" t="s">
        <v>170</v>
      </c>
      <c r="D618" s="10" t="s">
        <v>35</v>
      </c>
      <c r="E618" s="16">
        <v>492.75</v>
      </c>
      <c r="F618" s="12">
        <v>45383</v>
      </c>
    </row>
    <row r="619" spans="1:6" ht="15" x14ac:dyDescent="0.25">
      <c r="A619" s="13" t="s">
        <v>373</v>
      </c>
      <c r="B619" s="14" t="s">
        <v>224</v>
      </c>
      <c r="C619" s="14" t="s">
        <v>170</v>
      </c>
      <c r="D619" s="10" t="s">
        <v>30</v>
      </c>
      <c r="E619" s="16">
        <v>660.38</v>
      </c>
      <c r="F619" s="12">
        <v>45383</v>
      </c>
    </row>
    <row r="620" spans="1:6" ht="15" x14ac:dyDescent="0.25">
      <c r="A620" s="13" t="s">
        <v>373</v>
      </c>
      <c r="B620" s="14" t="s">
        <v>224</v>
      </c>
      <c r="C620" s="14" t="s">
        <v>170</v>
      </c>
      <c r="D620" s="10" t="s">
        <v>221</v>
      </c>
      <c r="E620" s="11">
        <v>128</v>
      </c>
      <c r="F620" s="12">
        <v>45383</v>
      </c>
    </row>
    <row r="621" spans="1:6" ht="15" x14ac:dyDescent="0.25">
      <c r="A621" s="13" t="s">
        <v>373</v>
      </c>
      <c r="B621" s="14" t="s">
        <v>224</v>
      </c>
      <c r="C621" s="14" t="s">
        <v>170</v>
      </c>
      <c r="D621" s="10" t="s">
        <v>43</v>
      </c>
      <c r="E621" s="11">
        <v>98</v>
      </c>
      <c r="F621" s="12">
        <v>45383</v>
      </c>
    </row>
    <row r="622" spans="1:6" ht="15" x14ac:dyDescent="0.25">
      <c r="A622" s="13" t="s">
        <v>374</v>
      </c>
      <c r="B622" s="14" t="s">
        <v>224</v>
      </c>
      <c r="C622" s="14" t="s">
        <v>155</v>
      </c>
      <c r="D622" s="10" t="s">
        <v>35</v>
      </c>
      <c r="E622" s="16">
        <v>517.5</v>
      </c>
      <c r="F622" s="12">
        <v>45658</v>
      </c>
    </row>
    <row r="623" spans="1:6" ht="15" x14ac:dyDescent="0.25">
      <c r="A623" s="13" t="s">
        <v>374</v>
      </c>
      <c r="B623" s="14" t="s">
        <v>224</v>
      </c>
      <c r="C623" s="14" t="s">
        <v>155</v>
      </c>
      <c r="D623" s="10" t="s">
        <v>221</v>
      </c>
      <c r="E623" s="11">
        <v>140</v>
      </c>
      <c r="F623" s="12">
        <v>45658</v>
      </c>
    </row>
    <row r="624" spans="1:6" ht="15" x14ac:dyDescent="0.25">
      <c r="A624" s="13" t="s">
        <v>375</v>
      </c>
      <c r="B624" s="14" t="s">
        <v>224</v>
      </c>
      <c r="C624" s="14" t="s">
        <v>118</v>
      </c>
      <c r="D624" s="10" t="s">
        <v>197</v>
      </c>
      <c r="E624" s="16">
        <v>142</v>
      </c>
      <c r="F624" s="12">
        <v>41426</v>
      </c>
    </row>
    <row r="625" spans="1:6" ht="15" x14ac:dyDescent="0.25">
      <c r="A625" s="13" t="s">
        <v>375</v>
      </c>
      <c r="B625" s="14" t="s">
        <v>224</v>
      </c>
      <c r="C625" s="14" t="s">
        <v>118</v>
      </c>
      <c r="D625" s="10" t="s">
        <v>174</v>
      </c>
      <c r="E625" s="16">
        <v>276</v>
      </c>
      <c r="F625" s="12">
        <v>41426</v>
      </c>
    </row>
    <row r="626" spans="1:6" ht="15" x14ac:dyDescent="0.25">
      <c r="A626" s="13" t="s">
        <v>375</v>
      </c>
      <c r="B626" s="14" t="s">
        <v>224</v>
      </c>
      <c r="C626" s="14" t="s">
        <v>118</v>
      </c>
      <c r="D626" s="10" t="s">
        <v>35</v>
      </c>
      <c r="E626" s="16">
        <v>420</v>
      </c>
      <c r="F626" s="12">
        <v>41426</v>
      </c>
    </row>
    <row r="627" spans="1:6" ht="15" x14ac:dyDescent="0.25">
      <c r="A627" s="13" t="s">
        <v>375</v>
      </c>
      <c r="B627" s="14" t="s">
        <v>224</v>
      </c>
      <c r="C627" s="14" t="s">
        <v>118</v>
      </c>
      <c r="D627" s="10" t="s">
        <v>30</v>
      </c>
      <c r="E627" s="16">
        <v>560</v>
      </c>
      <c r="F627" s="12">
        <v>41426</v>
      </c>
    </row>
    <row r="628" spans="1:6" ht="15" x14ac:dyDescent="0.25">
      <c r="A628" s="13" t="s">
        <v>375</v>
      </c>
      <c r="B628" s="14" t="s">
        <v>224</v>
      </c>
      <c r="C628" s="14" t="s">
        <v>118</v>
      </c>
      <c r="D628" s="10" t="s">
        <v>221</v>
      </c>
      <c r="E628" s="11">
        <v>85</v>
      </c>
      <c r="F628" s="12">
        <v>41426</v>
      </c>
    </row>
    <row r="629" spans="1:6" ht="15" x14ac:dyDescent="0.25">
      <c r="A629" s="13" t="s">
        <v>375</v>
      </c>
      <c r="B629" s="14" t="s">
        <v>224</v>
      </c>
      <c r="C629" s="14" t="s">
        <v>118</v>
      </c>
      <c r="D629" s="10" t="s">
        <v>43</v>
      </c>
      <c r="E629" s="11">
        <v>45</v>
      </c>
      <c r="F629" s="12">
        <v>41426</v>
      </c>
    </row>
    <row r="630" spans="1:6" ht="15" x14ac:dyDescent="0.25">
      <c r="A630" s="13" t="s">
        <v>376</v>
      </c>
      <c r="B630" s="14" t="s">
        <v>224</v>
      </c>
      <c r="C630" s="14" t="s">
        <v>145</v>
      </c>
      <c r="D630" s="10" t="s">
        <v>35</v>
      </c>
      <c r="E630" s="17">
        <v>533</v>
      </c>
      <c r="F630" s="12">
        <v>45658</v>
      </c>
    </row>
    <row r="631" spans="1:6" ht="15" x14ac:dyDescent="0.25">
      <c r="A631" s="13" t="s">
        <v>376</v>
      </c>
      <c r="B631" s="14" t="s">
        <v>224</v>
      </c>
      <c r="C631" s="14" t="s">
        <v>145</v>
      </c>
      <c r="D631" s="10" t="s">
        <v>30</v>
      </c>
      <c r="E631" s="17">
        <v>727</v>
      </c>
      <c r="F631" s="12">
        <v>45658</v>
      </c>
    </row>
    <row r="632" spans="1:6" ht="15" x14ac:dyDescent="0.25">
      <c r="A632" s="13" t="s">
        <v>376</v>
      </c>
      <c r="B632" s="14" t="s">
        <v>224</v>
      </c>
      <c r="C632" s="14" t="s">
        <v>145</v>
      </c>
      <c r="D632" s="10" t="s">
        <v>221</v>
      </c>
      <c r="E632" s="18">
        <v>144</v>
      </c>
      <c r="F632" s="12">
        <v>45658</v>
      </c>
    </row>
    <row r="633" spans="1:6" ht="15" x14ac:dyDescent="0.25">
      <c r="A633" s="13" t="s">
        <v>377</v>
      </c>
      <c r="B633" s="14" t="s">
        <v>224</v>
      </c>
      <c r="C633" s="14" t="s">
        <v>115</v>
      </c>
      <c r="D633" s="10" t="s">
        <v>174</v>
      </c>
      <c r="E633" s="16">
        <v>381</v>
      </c>
      <c r="F633" s="12">
        <v>45778</v>
      </c>
    </row>
    <row r="634" spans="1:6" ht="15" x14ac:dyDescent="0.25">
      <c r="A634" s="13" t="s">
        <v>377</v>
      </c>
      <c r="B634" s="14" t="s">
        <v>224</v>
      </c>
      <c r="C634" s="14" t="s">
        <v>115</v>
      </c>
      <c r="D634" s="10" t="s">
        <v>35</v>
      </c>
      <c r="E634" s="16">
        <v>580</v>
      </c>
      <c r="F634" s="12">
        <v>45778</v>
      </c>
    </row>
    <row r="635" spans="1:6" ht="15" x14ac:dyDescent="0.25">
      <c r="A635" s="13" t="s">
        <v>377</v>
      </c>
      <c r="B635" s="14" t="s">
        <v>224</v>
      </c>
      <c r="C635" s="14" t="s">
        <v>115</v>
      </c>
      <c r="D635" s="10" t="s">
        <v>221</v>
      </c>
      <c r="E635" s="11">
        <v>147</v>
      </c>
      <c r="F635" s="12">
        <v>45778</v>
      </c>
    </row>
    <row r="636" spans="1:6" ht="15" x14ac:dyDescent="0.25">
      <c r="A636" s="13" t="s">
        <v>378</v>
      </c>
      <c r="B636" s="14" t="s">
        <v>224</v>
      </c>
      <c r="C636" s="14" t="s">
        <v>156</v>
      </c>
      <c r="D636" s="10" t="s">
        <v>35</v>
      </c>
      <c r="E636" s="16">
        <v>517.5</v>
      </c>
      <c r="F636" s="12">
        <v>45474</v>
      </c>
    </row>
    <row r="637" spans="1:6" ht="15" x14ac:dyDescent="0.25">
      <c r="A637" s="13" t="s">
        <v>378</v>
      </c>
      <c r="B637" s="14" t="s">
        <v>224</v>
      </c>
      <c r="C637" s="14" t="s">
        <v>156</v>
      </c>
      <c r="D637" s="10" t="s">
        <v>30</v>
      </c>
      <c r="E637" s="16">
        <v>693.38</v>
      </c>
      <c r="F637" s="12">
        <v>45474</v>
      </c>
    </row>
    <row r="638" spans="1:6" ht="15" x14ac:dyDescent="0.25">
      <c r="A638" s="13" t="s">
        <v>378</v>
      </c>
      <c r="B638" s="14" t="s">
        <v>224</v>
      </c>
      <c r="C638" s="14" t="s">
        <v>156</v>
      </c>
      <c r="D638" s="10" t="s">
        <v>221</v>
      </c>
      <c r="E638" s="11">
        <v>140</v>
      </c>
      <c r="F638" s="12">
        <v>45474</v>
      </c>
    </row>
    <row r="639" spans="1:6" ht="15" x14ac:dyDescent="0.25">
      <c r="A639" s="13" t="s">
        <v>379</v>
      </c>
      <c r="B639" s="14" t="s">
        <v>224</v>
      </c>
      <c r="C639" s="14" t="s">
        <v>71</v>
      </c>
      <c r="D639" s="10" t="s">
        <v>35</v>
      </c>
      <c r="E639" s="16">
        <v>517.5</v>
      </c>
      <c r="F639" s="12">
        <v>45748</v>
      </c>
    </row>
    <row r="640" spans="1:6" ht="15" x14ac:dyDescent="0.25">
      <c r="A640" s="13" t="s">
        <v>379</v>
      </c>
      <c r="B640" s="14" t="s">
        <v>224</v>
      </c>
      <c r="C640" s="14" t="s">
        <v>71</v>
      </c>
      <c r="D640" s="10" t="s">
        <v>30</v>
      </c>
      <c r="E640" s="16">
        <v>693.38</v>
      </c>
      <c r="F640" s="12">
        <v>45748</v>
      </c>
    </row>
    <row r="641" spans="1:6" ht="15" x14ac:dyDescent="0.25">
      <c r="A641" s="13" t="s">
        <v>379</v>
      </c>
      <c r="B641" s="14" t="s">
        <v>224</v>
      </c>
      <c r="C641" s="14" t="s">
        <v>71</v>
      </c>
      <c r="D641" s="10" t="s">
        <v>221</v>
      </c>
      <c r="E641" s="11">
        <v>140</v>
      </c>
      <c r="F641" s="12">
        <v>45748</v>
      </c>
    </row>
    <row r="642" spans="1:6" ht="15" x14ac:dyDescent="0.25">
      <c r="A642" s="13" t="s">
        <v>380</v>
      </c>
      <c r="B642" s="14" t="s">
        <v>224</v>
      </c>
      <c r="C642" s="14" t="s">
        <v>49</v>
      </c>
      <c r="D642" s="10" t="s">
        <v>197</v>
      </c>
      <c r="E642" s="16">
        <v>189</v>
      </c>
      <c r="F642" s="12">
        <v>44501</v>
      </c>
    </row>
    <row r="643" spans="1:6" ht="15" x14ac:dyDescent="0.25">
      <c r="A643" s="13" t="s">
        <v>380</v>
      </c>
      <c r="B643" s="14" t="s">
        <v>224</v>
      </c>
      <c r="C643" s="14" t="s">
        <v>49</v>
      </c>
      <c r="D643" s="10" t="s">
        <v>174</v>
      </c>
      <c r="E643" s="16">
        <v>366</v>
      </c>
      <c r="F643" s="12">
        <v>44501</v>
      </c>
    </row>
    <row r="644" spans="1:6" ht="15" x14ac:dyDescent="0.25">
      <c r="A644" s="13" t="s">
        <v>380</v>
      </c>
      <c r="B644" s="14" t="s">
        <v>224</v>
      </c>
      <c r="C644" s="14" t="s">
        <v>49</v>
      </c>
      <c r="D644" s="10" t="s">
        <v>35</v>
      </c>
      <c r="E644" s="16">
        <v>556</v>
      </c>
      <c r="F644" s="12">
        <v>44501</v>
      </c>
    </row>
    <row r="645" spans="1:6" ht="15" x14ac:dyDescent="0.25">
      <c r="A645" s="13" t="s">
        <v>380</v>
      </c>
      <c r="B645" s="14" t="s">
        <v>224</v>
      </c>
      <c r="C645" s="14" t="s">
        <v>49</v>
      </c>
      <c r="D645" s="10" t="s">
        <v>30</v>
      </c>
      <c r="E645" s="16">
        <v>745</v>
      </c>
      <c r="F645" s="12">
        <v>44501</v>
      </c>
    </row>
    <row r="646" spans="1:6" ht="15" x14ac:dyDescent="0.25">
      <c r="A646" s="13" t="s">
        <v>380</v>
      </c>
      <c r="B646" s="14" t="s">
        <v>224</v>
      </c>
      <c r="C646" s="14" t="s">
        <v>49</v>
      </c>
      <c r="D646" s="10" t="s">
        <v>221</v>
      </c>
      <c r="E646" s="11">
        <v>109</v>
      </c>
      <c r="F646" s="12">
        <v>44501</v>
      </c>
    </row>
    <row r="647" spans="1:6" ht="15" x14ac:dyDescent="0.25">
      <c r="A647" s="13" t="s">
        <v>380</v>
      </c>
      <c r="B647" s="14" t="s">
        <v>224</v>
      </c>
      <c r="C647" s="14" t="s">
        <v>49</v>
      </c>
      <c r="D647" s="10" t="s">
        <v>43</v>
      </c>
      <c r="E647" s="11">
        <v>83</v>
      </c>
      <c r="F647" s="12">
        <v>44501</v>
      </c>
    </row>
    <row r="648" spans="1:6" ht="15" x14ac:dyDescent="0.25">
      <c r="A648" s="13" t="s">
        <v>381</v>
      </c>
      <c r="B648" s="14" t="s">
        <v>224</v>
      </c>
      <c r="C648" s="14" t="s">
        <v>167</v>
      </c>
      <c r="D648" s="10" t="s">
        <v>35</v>
      </c>
      <c r="E648" s="16">
        <v>492.75</v>
      </c>
      <c r="F648" s="12">
        <v>45323</v>
      </c>
    </row>
    <row r="649" spans="1:6" ht="15" x14ac:dyDescent="0.25">
      <c r="A649" s="13" t="s">
        <v>381</v>
      </c>
      <c r="B649" s="14" t="s">
        <v>224</v>
      </c>
      <c r="C649" s="14" t="s">
        <v>167</v>
      </c>
      <c r="D649" s="10" t="s">
        <v>221</v>
      </c>
      <c r="E649" s="11">
        <v>128</v>
      </c>
      <c r="F649" s="12">
        <v>45323</v>
      </c>
    </row>
    <row r="650" spans="1:6" ht="15" x14ac:dyDescent="0.25">
      <c r="A650" s="9" t="s">
        <v>382</v>
      </c>
      <c r="B650" s="10" t="s">
        <v>220</v>
      </c>
      <c r="C650" s="10" t="s">
        <v>140</v>
      </c>
      <c r="D650" s="10" t="s">
        <v>197</v>
      </c>
      <c r="E650" s="11">
        <v>185</v>
      </c>
      <c r="F650" s="12">
        <v>45658</v>
      </c>
    </row>
    <row r="651" spans="1:6" ht="15" x14ac:dyDescent="0.25">
      <c r="A651" s="9" t="s">
        <v>382</v>
      </c>
      <c r="B651" s="10" t="s">
        <v>220</v>
      </c>
      <c r="C651" s="10" t="s">
        <v>140</v>
      </c>
      <c r="D651" s="10" t="s">
        <v>174</v>
      </c>
      <c r="E651" s="11">
        <v>357</v>
      </c>
      <c r="F651" s="12">
        <v>45658</v>
      </c>
    </row>
    <row r="652" spans="1:6" ht="15" x14ac:dyDescent="0.25">
      <c r="A652" s="9" t="s">
        <v>382</v>
      </c>
      <c r="B652" s="10" t="s">
        <v>220</v>
      </c>
      <c r="C652" s="10" t="s">
        <v>140</v>
      </c>
      <c r="D652" s="10" t="s">
        <v>35</v>
      </c>
      <c r="E652" s="11">
        <v>543</v>
      </c>
      <c r="F652" s="12">
        <v>45658</v>
      </c>
    </row>
    <row r="653" spans="1:6" ht="15" x14ac:dyDescent="0.25">
      <c r="A653" s="9" t="s">
        <v>382</v>
      </c>
      <c r="B653" s="10" t="s">
        <v>220</v>
      </c>
      <c r="C653" s="10" t="s">
        <v>140</v>
      </c>
      <c r="D653" s="10" t="s">
        <v>30</v>
      </c>
      <c r="E653" s="11">
        <v>728</v>
      </c>
      <c r="F653" s="12">
        <v>45658</v>
      </c>
    </row>
    <row r="654" spans="1:6" ht="15" x14ac:dyDescent="0.25">
      <c r="A654" s="9" t="s">
        <v>382</v>
      </c>
      <c r="B654" s="10" t="s">
        <v>220</v>
      </c>
      <c r="C654" s="10" t="s">
        <v>140</v>
      </c>
      <c r="D654" s="10" t="s">
        <v>221</v>
      </c>
      <c r="E654" s="11">
        <v>147</v>
      </c>
      <c r="F654" s="12">
        <v>45658</v>
      </c>
    </row>
    <row r="655" spans="1:6" ht="15" x14ac:dyDescent="0.25">
      <c r="A655" s="9" t="s">
        <v>382</v>
      </c>
      <c r="B655" s="10" t="s">
        <v>220</v>
      </c>
      <c r="C655" s="10" t="s">
        <v>140</v>
      </c>
      <c r="D655" s="10" t="s">
        <v>43</v>
      </c>
      <c r="E655" s="11">
        <v>112</v>
      </c>
      <c r="F655" s="12">
        <v>45658</v>
      </c>
    </row>
    <row r="656" spans="1:6" ht="15" x14ac:dyDescent="0.25">
      <c r="A656" s="13" t="s">
        <v>383</v>
      </c>
      <c r="B656" s="14" t="s">
        <v>224</v>
      </c>
      <c r="C656" s="14" t="s">
        <v>92</v>
      </c>
      <c r="D656" s="10" t="s">
        <v>197</v>
      </c>
      <c r="E656" s="16">
        <v>167.63</v>
      </c>
      <c r="F656" s="12">
        <v>45689</v>
      </c>
    </row>
    <row r="657" spans="1:6" ht="15" x14ac:dyDescent="0.25">
      <c r="A657" s="13" t="s">
        <v>383</v>
      </c>
      <c r="B657" s="14" t="s">
        <v>224</v>
      </c>
      <c r="C657" s="14" t="s">
        <v>92</v>
      </c>
      <c r="D657" s="10" t="s">
        <v>174</v>
      </c>
      <c r="E657" s="16">
        <v>324.38</v>
      </c>
      <c r="F657" s="12">
        <v>45689</v>
      </c>
    </row>
    <row r="658" spans="1:6" ht="15" x14ac:dyDescent="0.25">
      <c r="A658" s="13" t="s">
        <v>383</v>
      </c>
      <c r="B658" s="14" t="s">
        <v>224</v>
      </c>
      <c r="C658" s="14" t="s">
        <v>92</v>
      </c>
      <c r="D658" s="10" t="s">
        <v>35</v>
      </c>
      <c r="E658" s="16">
        <v>492.75</v>
      </c>
      <c r="F658" s="12">
        <v>45689</v>
      </c>
    </row>
    <row r="659" spans="1:6" ht="15" x14ac:dyDescent="0.25">
      <c r="A659" s="13" t="s">
        <v>383</v>
      </c>
      <c r="B659" s="14" t="s">
        <v>224</v>
      </c>
      <c r="C659" s="14" t="s">
        <v>92</v>
      </c>
      <c r="D659" s="10" t="s">
        <v>30</v>
      </c>
      <c r="E659" s="16">
        <v>660.38</v>
      </c>
      <c r="F659" s="12">
        <v>45689</v>
      </c>
    </row>
    <row r="660" spans="1:6" ht="15" x14ac:dyDescent="0.25">
      <c r="A660" s="13" t="s">
        <v>383</v>
      </c>
      <c r="B660" s="14" t="s">
        <v>224</v>
      </c>
      <c r="C660" s="14" t="s">
        <v>92</v>
      </c>
      <c r="D660" s="10" t="s">
        <v>221</v>
      </c>
      <c r="E660" s="11">
        <v>128</v>
      </c>
      <c r="F660" s="12">
        <v>45689</v>
      </c>
    </row>
    <row r="661" spans="1:6" ht="15" x14ac:dyDescent="0.25">
      <c r="A661" s="13" t="s">
        <v>383</v>
      </c>
      <c r="B661" s="14" t="s">
        <v>224</v>
      </c>
      <c r="C661" s="14" t="s">
        <v>92</v>
      </c>
      <c r="D661" s="10" t="s">
        <v>43</v>
      </c>
      <c r="E661" s="11">
        <v>98</v>
      </c>
      <c r="F661" s="12">
        <v>45689</v>
      </c>
    </row>
    <row r="662" spans="1:6" ht="15" x14ac:dyDescent="0.25">
      <c r="A662" s="13" t="s">
        <v>384</v>
      </c>
      <c r="B662" s="14" t="s">
        <v>224</v>
      </c>
      <c r="C662" s="14" t="s">
        <v>123</v>
      </c>
      <c r="D662" s="10" t="s">
        <v>197</v>
      </c>
      <c r="E662" s="16">
        <v>135</v>
      </c>
      <c r="F662" s="12">
        <v>41456</v>
      </c>
    </row>
    <row r="663" spans="1:6" ht="15" x14ac:dyDescent="0.25">
      <c r="A663" s="13" t="s">
        <v>384</v>
      </c>
      <c r="B663" s="14" t="s">
        <v>224</v>
      </c>
      <c r="C663" s="14" t="s">
        <v>123</v>
      </c>
      <c r="D663" s="10" t="s">
        <v>174</v>
      </c>
      <c r="E663" s="16">
        <v>265.5</v>
      </c>
      <c r="F663" s="12">
        <v>41456</v>
      </c>
    </row>
    <row r="664" spans="1:6" ht="15" x14ac:dyDescent="0.25">
      <c r="A664" s="13" t="s">
        <v>384</v>
      </c>
      <c r="B664" s="14" t="s">
        <v>224</v>
      </c>
      <c r="C664" s="14" t="s">
        <v>123</v>
      </c>
      <c r="D664" s="10" t="s">
        <v>35</v>
      </c>
      <c r="E664" s="16">
        <v>414</v>
      </c>
      <c r="F664" s="12">
        <v>41456</v>
      </c>
    </row>
    <row r="665" spans="1:6" ht="15" x14ac:dyDescent="0.25">
      <c r="A665" s="13" t="s">
        <v>384</v>
      </c>
      <c r="B665" s="14" t="s">
        <v>224</v>
      </c>
      <c r="C665" s="14" t="s">
        <v>123</v>
      </c>
      <c r="D665" s="10" t="s">
        <v>30</v>
      </c>
      <c r="E665" s="16">
        <v>553.5</v>
      </c>
      <c r="F665" s="12">
        <v>41456</v>
      </c>
    </row>
    <row r="666" spans="1:6" ht="15" x14ac:dyDescent="0.25">
      <c r="A666" s="13" t="s">
        <v>384</v>
      </c>
      <c r="B666" s="14" t="s">
        <v>224</v>
      </c>
      <c r="C666" s="14" t="s">
        <v>123</v>
      </c>
      <c r="D666" s="10" t="s">
        <v>221</v>
      </c>
      <c r="E666" s="11">
        <v>75</v>
      </c>
      <c r="F666" s="12">
        <v>41456</v>
      </c>
    </row>
    <row r="667" spans="1:6" ht="15" x14ac:dyDescent="0.25">
      <c r="A667" s="13" t="s">
        <v>384</v>
      </c>
      <c r="B667" s="14" t="s">
        <v>224</v>
      </c>
      <c r="C667" s="14" t="s">
        <v>123</v>
      </c>
      <c r="D667" s="10" t="s">
        <v>43</v>
      </c>
      <c r="E667" s="11">
        <v>45</v>
      </c>
      <c r="F667" s="12">
        <v>41456</v>
      </c>
    </row>
    <row r="668" spans="1:6" ht="15" x14ac:dyDescent="0.25">
      <c r="A668" s="13" t="s">
        <v>385</v>
      </c>
      <c r="B668" s="14" t="s">
        <v>224</v>
      </c>
      <c r="C668" s="14" t="s">
        <v>105</v>
      </c>
      <c r="D668" s="10" t="s">
        <v>35</v>
      </c>
      <c r="E668" s="16">
        <v>591</v>
      </c>
      <c r="F668" s="12">
        <v>45170</v>
      </c>
    </row>
    <row r="669" spans="1:6" ht="15" x14ac:dyDescent="0.25">
      <c r="A669" s="13" t="s">
        <v>385</v>
      </c>
      <c r="B669" s="14" t="s">
        <v>224</v>
      </c>
      <c r="C669" s="14" t="s">
        <v>105</v>
      </c>
      <c r="D669" s="10" t="s">
        <v>30</v>
      </c>
      <c r="E669" s="16">
        <v>792</v>
      </c>
      <c r="F669" s="12">
        <v>45170</v>
      </c>
    </row>
    <row r="670" spans="1:6" ht="15" x14ac:dyDescent="0.25">
      <c r="A670" s="13" t="s">
        <v>385</v>
      </c>
      <c r="B670" s="14" t="s">
        <v>224</v>
      </c>
      <c r="C670" s="14" t="s">
        <v>105</v>
      </c>
      <c r="D670" s="10" t="s">
        <v>221</v>
      </c>
      <c r="E670" s="11">
        <v>128</v>
      </c>
      <c r="F670" s="12">
        <v>45170</v>
      </c>
    </row>
    <row r="671" spans="1:6" ht="15" x14ac:dyDescent="0.25">
      <c r="A671" s="13" t="s">
        <v>386</v>
      </c>
      <c r="B671" s="14" t="s">
        <v>263</v>
      </c>
      <c r="C671" s="14" t="s">
        <v>159</v>
      </c>
      <c r="D671" s="10" t="s">
        <v>174</v>
      </c>
      <c r="E671" s="16">
        <v>334.11</v>
      </c>
      <c r="F671" s="12">
        <v>45658</v>
      </c>
    </row>
    <row r="672" spans="1:6" ht="15" x14ac:dyDescent="0.25">
      <c r="A672" s="13" t="s">
        <v>386</v>
      </c>
      <c r="B672" s="14" t="s">
        <v>263</v>
      </c>
      <c r="C672" s="14" t="s">
        <v>159</v>
      </c>
      <c r="D672" s="10" t="s">
        <v>35</v>
      </c>
      <c r="E672" s="11">
        <v>507.53</v>
      </c>
      <c r="F672" s="12">
        <v>45658</v>
      </c>
    </row>
    <row r="673" spans="1:6" ht="15" x14ac:dyDescent="0.25">
      <c r="A673" s="13" t="s">
        <v>386</v>
      </c>
      <c r="B673" s="14" t="s">
        <v>263</v>
      </c>
      <c r="C673" s="14" t="s">
        <v>159</v>
      </c>
      <c r="D673" s="10" t="s">
        <v>221</v>
      </c>
      <c r="E673" s="11">
        <v>140</v>
      </c>
      <c r="F673" s="12">
        <v>45658</v>
      </c>
    </row>
    <row r="674" spans="1:6" ht="15" x14ac:dyDescent="0.25">
      <c r="A674" s="26" t="s">
        <v>386</v>
      </c>
      <c r="B674" s="27" t="s">
        <v>263</v>
      </c>
      <c r="C674" s="27" t="s">
        <v>159</v>
      </c>
      <c r="D674" s="28" t="s">
        <v>43</v>
      </c>
      <c r="E674" s="29">
        <v>107</v>
      </c>
      <c r="F674" s="30">
        <v>45658</v>
      </c>
    </row>
  </sheetData>
  <autoFilter ref="A1:F1" xr:uid="{86BB848C-3FB3-420C-AADD-74D82041F4F2}"/>
  <phoneticPr fontId="9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4D20AB-D714-40E8-B903-0E93335B8162}">
  <dimension ref="A1:B123"/>
  <sheetViews>
    <sheetView topLeftCell="A86" workbookViewId="0">
      <selection activeCell="A2" sqref="A2:B123"/>
    </sheetView>
  </sheetViews>
  <sheetFormatPr defaultRowHeight="14.25" x14ac:dyDescent="0.2"/>
  <cols>
    <col min="1" max="1" width="12.75" bestFit="1" customWidth="1"/>
    <col min="2" max="2" width="20" bestFit="1" customWidth="1"/>
  </cols>
  <sheetData>
    <row r="1" spans="1:2" x14ac:dyDescent="0.2">
      <c r="A1" t="s">
        <v>621</v>
      </c>
      <c r="B1" t="s">
        <v>622</v>
      </c>
    </row>
    <row r="2" spans="1:2" x14ac:dyDescent="0.2">
      <c r="A2" t="s">
        <v>401</v>
      </c>
      <c r="B2" t="s">
        <v>615</v>
      </c>
    </row>
    <row r="3" spans="1:2" x14ac:dyDescent="0.2">
      <c r="A3" t="s">
        <v>207</v>
      </c>
      <c r="B3" t="s">
        <v>402</v>
      </c>
    </row>
    <row r="4" spans="1:2" x14ac:dyDescent="0.2">
      <c r="A4" t="s">
        <v>403</v>
      </c>
      <c r="B4" t="s">
        <v>404</v>
      </c>
    </row>
    <row r="5" spans="1:2" x14ac:dyDescent="0.2">
      <c r="A5" t="s">
        <v>208</v>
      </c>
      <c r="B5" t="s">
        <v>405</v>
      </c>
    </row>
    <row r="6" spans="1:2" x14ac:dyDescent="0.2">
      <c r="A6" t="s">
        <v>185</v>
      </c>
      <c r="B6" t="s">
        <v>406</v>
      </c>
    </row>
    <row r="7" spans="1:2" x14ac:dyDescent="0.2">
      <c r="A7" t="s">
        <v>407</v>
      </c>
      <c r="B7" t="s">
        <v>408</v>
      </c>
    </row>
    <row r="8" spans="1:2" x14ac:dyDescent="0.2">
      <c r="A8" t="s">
        <v>409</v>
      </c>
      <c r="B8" t="s">
        <v>410</v>
      </c>
    </row>
    <row r="9" spans="1:2" x14ac:dyDescent="0.2">
      <c r="A9" t="s">
        <v>411</v>
      </c>
      <c r="B9" t="s">
        <v>412</v>
      </c>
    </row>
    <row r="10" spans="1:2" x14ac:dyDescent="0.2">
      <c r="A10" t="s">
        <v>413</v>
      </c>
      <c r="B10" t="s">
        <v>414</v>
      </c>
    </row>
    <row r="11" spans="1:2" x14ac:dyDescent="0.2">
      <c r="A11" t="s">
        <v>79</v>
      </c>
      <c r="B11" t="s">
        <v>415</v>
      </c>
    </row>
    <row r="12" spans="1:2" x14ac:dyDescent="0.2">
      <c r="A12" t="s">
        <v>416</v>
      </c>
      <c r="B12" t="s">
        <v>417</v>
      </c>
    </row>
    <row r="13" spans="1:2" x14ac:dyDescent="0.2">
      <c r="A13" t="s">
        <v>209</v>
      </c>
      <c r="B13" t="s">
        <v>418</v>
      </c>
    </row>
    <row r="14" spans="1:2" x14ac:dyDescent="0.2">
      <c r="A14" t="s">
        <v>419</v>
      </c>
      <c r="B14" t="s">
        <v>420</v>
      </c>
    </row>
    <row r="15" spans="1:2" x14ac:dyDescent="0.2">
      <c r="A15" t="s">
        <v>421</v>
      </c>
      <c r="B15" t="s">
        <v>422</v>
      </c>
    </row>
    <row r="16" spans="1:2" x14ac:dyDescent="0.2">
      <c r="A16" t="s">
        <v>423</v>
      </c>
      <c r="B16" t="s">
        <v>424</v>
      </c>
    </row>
    <row r="17" spans="1:2" x14ac:dyDescent="0.2">
      <c r="A17" t="s">
        <v>425</v>
      </c>
      <c r="B17" t="s">
        <v>426</v>
      </c>
    </row>
    <row r="18" spans="1:2" x14ac:dyDescent="0.2">
      <c r="A18" t="s">
        <v>427</v>
      </c>
      <c r="B18" t="s">
        <v>428</v>
      </c>
    </row>
    <row r="19" spans="1:2" x14ac:dyDescent="0.2">
      <c r="A19" t="s">
        <v>429</v>
      </c>
      <c r="B19" t="s">
        <v>430</v>
      </c>
    </row>
    <row r="20" spans="1:2" x14ac:dyDescent="0.2">
      <c r="A20" t="s">
        <v>431</v>
      </c>
      <c r="B20" t="s">
        <v>432</v>
      </c>
    </row>
    <row r="21" spans="1:2" x14ac:dyDescent="0.2">
      <c r="A21" t="s">
        <v>433</v>
      </c>
      <c r="B21" t="s">
        <v>434</v>
      </c>
    </row>
    <row r="22" spans="1:2" x14ac:dyDescent="0.2">
      <c r="A22" t="s">
        <v>435</v>
      </c>
      <c r="B22" t="s">
        <v>436</v>
      </c>
    </row>
    <row r="23" spans="1:2" x14ac:dyDescent="0.2">
      <c r="A23" t="s">
        <v>212</v>
      </c>
      <c r="B23" t="s">
        <v>437</v>
      </c>
    </row>
    <row r="24" spans="1:2" x14ac:dyDescent="0.2">
      <c r="A24" t="s">
        <v>438</v>
      </c>
      <c r="B24" t="s">
        <v>439</v>
      </c>
    </row>
    <row r="25" spans="1:2" x14ac:dyDescent="0.2">
      <c r="A25" t="s">
        <v>440</v>
      </c>
      <c r="B25" t="s">
        <v>441</v>
      </c>
    </row>
    <row r="26" spans="1:2" x14ac:dyDescent="0.2">
      <c r="A26" t="s">
        <v>442</v>
      </c>
      <c r="B26" t="s">
        <v>443</v>
      </c>
    </row>
    <row r="27" spans="1:2" x14ac:dyDescent="0.2">
      <c r="A27" t="s">
        <v>444</v>
      </c>
      <c r="B27" t="s">
        <v>445</v>
      </c>
    </row>
    <row r="28" spans="1:2" x14ac:dyDescent="0.2">
      <c r="A28" t="s">
        <v>446</v>
      </c>
      <c r="B28" t="s">
        <v>616</v>
      </c>
    </row>
    <row r="29" spans="1:2" x14ac:dyDescent="0.2">
      <c r="A29" t="s">
        <v>447</v>
      </c>
      <c r="B29" t="s">
        <v>448</v>
      </c>
    </row>
    <row r="30" spans="1:2" x14ac:dyDescent="0.2">
      <c r="A30" t="s">
        <v>397</v>
      </c>
      <c r="B30" t="s">
        <v>449</v>
      </c>
    </row>
    <row r="31" spans="1:2" x14ac:dyDescent="0.2">
      <c r="A31" t="s">
        <v>450</v>
      </c>
      <c r="B31" t="s">
        <v>451</v>
      </c>
    </row>
    <row r="32" spans="1:2" x14ac:dyDescent="0.2">
      <c r="A32" t="s">
        <v>452</v>
      </c>
      <c r="B32" t="s">
        <v>453</v>
      </c>
    </row>
    <row r="33" spans="1:2" x14ac:dyDescent="0.2">
      <c r="A33" t="s">
        <v>454</v>
      </c>
      <c r="B33" t="s">
        <v>455</v>
      </c>
    </row>
    <row r="34" spans="1:2" x14ac:dyDescent="0.2">
      <c r="A34" t="s">
        <v>456</v>
      </c>
      <c r="B34" t="s">
        <v>457</v>
      </c>
    </row>
    <row r="35" spans="1:2" x14ac:dyDescent="0.2">
      <c r="A35" t="s">
        <v>458</v>
      </c>
      <c r="B35" t="s">
        <v>459</v>
      </c>
    </row>
    <row r="36" spans="1:2" x14ac:dyDescent="0.2">
      <c r="A36" t="s">
        <v>460</v>
      </c>
      <c r="B36" t="s">
        <v>461</v>
      </c>
    </row>
    <row r="37" spans="1:2" x14ac:dyDescent="0.2">
      <c r="A37" t="s">
        <v>462</v>
      </c>
      <c r="B37" t="s">
        <v>463</v>
      </c>
    </row>
    <row r="38" spans="1:2" x14ac:dyDescent="0.2">
      <c r="A38" t="s">
        <v>464</v>
      </c>
      <c r="B38" t="s">
        <v>465</v>
      </c>
    </row>
    <row r="39" spans="1:2" x14ac:dyDescent="0.2">
      <c r="A39" t="s">
        <v>466</v>
      </c>
      <c r="B39" t="s">
        <v>467</v>
      </c>
    </row>
    <row r="40" spans="1:2" x14ac:dyDescent="0.2">
      <c r="A40" t="s">
        <v>468</v>
      </c>
      <c r="B40" t="s">
        <v>617</v>
      </c>
    </row>
    <row r="41" spans="1:2" x14ac:dyDescent="0.2">
      <c r="A41" t="s">
        <v>210</v>
      </c>
      <c r="B41" t="s">
        <v>469</v>
      </c>
    </row>
    <row r="42" spans="1:2" x14ac:dyDescent="0.2">
      <c r="A42" t="s">
        <v>470</v>
      </c>
      <c r="B42" t="s">
        <v>471</v>
      </c>
    </row>
    <row r="43" spans="1:2" x14ac:dyDescent="0.2">
      <c r="A43" t="s">
        <v>211</v>
      </c>
      <c r="B43" t="s">
        <v>472</v>
      </c>
    </row>
    <row r="44" spans="1:2" x14ac:dyDescent="0.2">
      <c r="A44" t="s">
        <v>473</v>
      </c>
      <c r="B44" t="s">
        <v>474</v>
      </c>
    </row>
    <row r="45" spans="1:2" x14ac:dyDescent="0.2">
      <c r="A45" t="s">
        <v>475</v>
      </c>
      <c r="B45" t="s">
        <v>476</v>
      </c>
    </row>
    <row r="46" spans="1:2" x14ac:dyDescent="0.2">
      <c r="A46" t="s">
        <v>392</v>
      </c>
      <c r="B46" t="s">
        <v>477</v>
      </c>
    </row>
    <row r="47" spans="1:2" x14ac:dyDescent="0.2">
      <c r="A47" t="s">
        <v>391</v>
      </c>
      <c r="B47" t="s">
        <v>478</v>
      </c>
    </row>
    <row r="48" spans="1:2" x14ac:dyDescent="0.2">
      <c r="A48" t="s">
        <v>479</v>
      </c>
      <c r="B48" t="s">
        <v>480</v>
      </c>
    </row>
    <row r="49" spans="1:2" x14ac:dyDescent="0.2">
      <c r="A49" t="s">
        <v>481</v>
      </c>
      <c r="B49" t="s">
        <v>482</v>
      </c>
    </row>
    <row r="50" spans="1:2" x14ac:dyDescent="0.2">
      <c r="A50" t="s">
        <v>483</v>
      </c>
      <c r="B50" t="s">
        <v>484</v>
      </c>
    </row>
    <row r="51" spans="1:2" x14ac:dyDescent="0.2">
      <c r="A51" t="s">
        <v>485</v>
      </c>
      <c r="B51" t="s">
        <v>486</v>
      </c>
    </row>
    <row r="52" spans="1:2" x14ac:dyDescent="0.2">
      <c r="A52" t="s">
        <v>487</v>
      </c>
      <c r="B52" t="s">
        <v>488</v>
      </c>
    </row>
    <row r="53" spans="1:2" x14ac:dyDescent="0.2">
      <c r="A53" t="s">
        <v>398</v>
      </c>
      <c r="B53" t="s">
        <v>489</v>
      </c>
    </row>
    <row r="54" spans="1:2" x14ac:dyDescent="0.2">
      <c r="A54" t="s">
        <v>490</v>
      </c>
      <c r="B54" t="s">
        <v>491</v>
      </c>
    </row>
    <row r="55" spans="1:2" x14ac:dyDescent="0.2">
      <c r="A55" t="s">
        <v>492</v>
      </c>
      <c r="B55" t="s">
        <v>493</v>
      </c>
    </row>
    <row r="56" spans="1:2" x14ac:dyDescent="0.2">
      <c r="A56" t="s">
        <v>394</v>
      </c>
      <c r="B56" t="s">
        <v>494</v>
      </c>
    </row>
    <row r="57" spans="1:2" x14ac:dyDescent="0.2">
      <c r="A57" t="s">
        <v>495</v>
      </c>
      <c r="B57" t="s">
        <v>496</v>
      </c>
    </row>
    <row r="58" spans="1:2" x14ac:dyDescent="0.2">
      <c r="A58" t="s">
        <v>497</v>
      </c>
      <c r="B58" t="s">
        <v>498</v>
      </c>
    </row>
    <row r="59" spans="1:2" x14ac:dyDescent="0.2">
      <c r="A59" t="s">
        <v>499</v>
      </c>
      <c r="B59" t="s">
        <v>500</v>
      </c>
    </row>
    <row r="60" spans="1:2" x14ac:dyDescent="0.2">
      <c r="A60" t="s">
        <v>501</v>
      </c>
      <c r="B60" t="s">
        <v>502</v>
      </c>
    </row>
    <row r="61" spans="1:2" x14ac:dyDescent="0.2">
      <c r="A61" t="s">
        <v>503</v>
      </c>
      <c r="B61" t="s">
        <v>612</v>
      </c>
    </row>
    <row r="62" spans="1:2" x14ac:dyDescent="0.2">
      <c r="A62" t="s">
        <v>504</v>
      </c>
      <c r="B62" t="s">
        <v>505</v>
      </c>
    </row>
    <row r="63" spans="1:2" x14ac:dyDescent="0.2">
      <c r="A63" t="s">
        <v>506</v>
      </c>
      <c r="B63" t="s">
        <v>507</v>
      </c>
    </row>
    <row r="64" spans="1:2" x14ac:dyDescent="0.2">
      <c r="A64" t="s">
        <v>508</v>
      </c>
      <c r="B64" t="s">
        <v>509</v>
      </c>
    </row>
    <row r="65" spans="1:2" x14ac:dyDescent="0.2">
      <c r="A65" t="s">
        <v>510</v>
      </c>
      <c r="B65" t="s">
        <v>511</v>
      </c>
    </row>
    <row r="66" spans="1:2" x14ac:dyDescent="0.2">
      <c r="A66" t="s">
        <v>512</v>
      </c>
      <c r="B66" t="s">
        <v>513</v>
      </c>
    </row>
    <row r="67" spans="1:2" x14ac:dyDescent="0.2">
      <c r="A67" t="s">
        <v>514</v>
      </c>
      <c r="B67" t="s">
        <v>515</v>
      </c>
    </row>
    <row r="68" spans="1:2" x14ac:dyDescent="0.2">
      <c r="A68" t="s">
        <v>516</v>
      </c>
      <c r="B68" t="s">
        <v>517</v>
      </c>
    </row>
    <row r="69" spans="1:2" x14ac:dyDescent="0.2">
      <c r="A69" t="s">
        <v>62</v>
      </c>
      <c r="B69" t="s">
        <v>518</v>
      </c>
    </row>
    <row r="70" spans="1:2" x14ac:dyDescent="0.2">
      <c r="A70" t="s">
        <v>519</v>
      </c>
      <c r="B70" t="s">
        <v>520</v>
      </c>
    </row>
    <row r="71" spans="1:2" x14ac:dyDescent="0.2">
      <c r="A71" t="s">
        <v>521</v>
      </c>
      <c r="B71" t="s">
        <v>522</v>
      </c>
    </row>
    <row r="72" spans="1:2" x14ac:dyDescent="0.2">
      <c r="A72" t="s">
        <v>523</v>
      </c>
      <c r="B72" t="s">
        <v>613</v>
      </c>
    </row>
    <row r="73" spans="1:2" x14ac:dyDescent="0.2">
      <c r="A73" t="s">
        <v>98</v>
      </c>
      <c r="B73" t="s">
        <v>524</v>
      </c>
    </row>
    <row r="74" spans="1:2" x14ac:dyDescent="0.2">
      <c r="A74" t="s">
        <v>525</v>
      </c>
      <c r="B74" t="s">
        <v>526</v>
      </c>
    </row>
    <row r="75" spans="1:2" x14ac:dyDescent="0.2">
      <c r="A75" t="s">
        <v>527</v>
      </c>
      <c r="B75" t="s">
        <v>528</v>
      </c>
    </row>
    <row r="76" spans="1:2" x14ac:dyDescent="0.2">
      <c r="A76" t="s">
        <v>529</v>
      </c>
      <c r="B76" t="s">
        <v>530</v>
      </c>
    </row>
    <row r="77" spans="1:2" x14ac:dyDescent="0.2">
      <c r="A77" t="s">
        <v>531</v>
      </c>
      <c r="B77" t="s">
        <v>532</v>
      </c>
    </row>
    <row r="78" spans="1:2" x14ac:dyDescent="0.2">
      <c r="A78" t="s">
        <v>533</v>
      </c>
      <c r="B78" t="s">
        <v>534</v>
      </c>
    </row>
    <row r="79" spans="1:2" x14ac:dyDescent="0.2">
      <c r="A79" t="s">
        <v>535</v>
      </c>
      <c r="B79" t="s">
        <v>536</v>
      </c>
    </row>
    <row r="80" spans="1:2" x14ac:dyDescent="0.2">
      <c r="A80" t="s">
        <v>204</v>
      </c>
      <c r="B80" t="s">
        <v>537</v>
      </c>
    </row>
    <row r="81" spans="1:2" x14ac:dyDescent="0.2">
      <c r="A81" t="s">
        <v>538</v>
      </c>
      <c r="B81" t="s">
        <v>539</v>
      </c>
    </row>
    <row r="82" spans="1:2" x14ac:dyDescent="0.2">
      <c r="A82" t="s">
        <v>540</v>
      </c>
      <c r="B82" t="s">
        <v>541</v>
      </c>
    </row>
    <row r="83" spans="1:2" x14ac:dyDescent="0.2">
      <c r="A83" t="s">
        <v>542</v>
      </c>
      <c r="B83" t="s">
        <v>543</v>
      </c>
    </row>
    <row r="84" spans="1:2" x14ac:dyDescent="0.2">
      <c r="A84" t="s">
        <v>544</v>
      </c>
      <c r="B84" t="s">
        <v>545</v>
      </c>
    </row>
    <row r="85" spans="1:2" x14ac:dyDescent="0.2">
      <c r="A85" t="s">
        <v>546</v>
      </c>
      <c r="B85" t="s">
        <v>547</v>
      </c>
    </row>
    <row r="86" spans="1:2" x14ac:dyDescent="0.2">
      <c r="A86" t="s">
        <v>393</v>
      </c>
      <c r="B86" t="s">
        <v>548</v>
      </c>
    </row>
    <row r="87" spans="1:2" x14ac:dyDescent="0.2">
      <c r="A87" t="s">
        <v>399</v>
      </c>
      <c r="B87" t="s">
        <v>549</v>
      </c>
    </row>
    <row r="88" spans="1:2" x14ac:dyDescent="0.2">
      <c r="A88" t="s">
        <v>550</v>
      </c>
      <c r="B88" t="s">
        <v>551</v>
      </c>
    </row>
    <row r="89" spans="1:2" x14ac:dyDescent="0.2">
      <c r="A89" t="s">
        <v>552</v>
      </c>
      <c r="B89" t="s">
        <v>553</v>
      </c>
    </row>
    <row r="90" spans="1:2" x14ac:dyDescent="0.2">
      <c r="A90" t="s">
        <v>554</v>
      </c>
      <c r="B90" t="s">
        <v>555</v>
      </c>
    </row>
    <row r="91" spans="1:2" x14ac:dyDescent="0.2">
      <c r="A91" t="s">
        <v>102</v>
      </c>
      <c r="B91" t="s">
        <v>556</v>
      </c>
    </row>
    <row r="92" spans="1:2" x14ac:dyDescent="0.2">
      <c r="A92" t="s">
        <v>557</v>
      </c>
      <c r="B92" t="s">
        <v>558</v>
      </c>
    </row>
    <row r="93" spans="1:2" x14ac:dyDescent="0.2">
      <c r="A93" t="s">
        <v>396</v>
      </c>
      <c r="B93" t="s">
        <v>559</v>
      </c>
    </row>
    <row r="94" spans="1:2" x14ac:dyDescent="0.2">
      <c r="A94" t="s">
        <v>213</v>
      </c>
      <c r="B94" t="s">
        <v>560</v>
      </c>
    </row>
    <row r="95" spans="1:2" x14ac:dyDescent="0.2">
      <c r="A95" t="s">
        <v>561</v>
      </c>
      <c r="B95" t="s">
        <v>618</v>
      </c>
    </row>
    <row r="96" spans="1:2" x14ac:dyDescent="0.2">
      <c r="A96" t="s">
        <v>206</v>
      </c>
      <c r="B96" t="s">
        <v>562</v>
      </c>
    </row>
    <row r="97" spans="1:2" x14ac:dyDescent="0.2">
      <c r="A97" t="s">
        <v>563</v>
      </c>
      <c r="B97" t="s">
        <v>564</v>
      </c>
    </row>
    <row r="98" spans="1:2" x14ac:dyDescent="0.2">
      <c r="A98" t="s">
        <v>565</v>
      </c>
      <c r="B98" t="s">
        <v>566</v>
      </c>
    </row>
    <row r="99" spans="1:2" x14ac:dyDescent="0.2">
      <c r="A99" t="s">
        <v>567</v>
      </c>
      <c r="B99" t="s">
        <v>568</v>
      </c>
    </row>
    <row r="100" spans="1:2" x14ac:dyDescent="0.2">
      <c r="A100" t="s">
        <v>569</v>
      </c>
      <c r="B100" t="s">
        <v>570</v>
      </c>
    </row>
    <row r="101" spans="1:2" x14ac:dyDescent="0.2">
      <c r="A101" t="s">
        <v>571</v>
      </c>
      <c r="B101" t="s">
        <v>572</v>
      </c>
    </row>
    <row r="102" spans="1:2" x14ac:dyDescent="0.2">
      <c r="A102" t="s">
        <v>395</v>
      </c>
      <c r="B102" t="s">
        <v>573</v>
      </c>
    </row>
    <row r="103" spans="1:2" x14ac:dyDescent="0.2">
      <c r="A103" t="s">
        <v>574</v>
      </c>
      <c r="B103" t="s">
        <v>575</v>
      </c>
    </row>
    <row r="104" spans="1:2" x14ac:dyDescent="0.2">
      <c r="A104" t="s">
        <v>576</v>
      </c>
      <c r="B104" t="s">
        <v>577</v>
      </c>
    </row>
    <row r="105" spans="1:2" x14ac:dyDescent="0.2">
      <c r="A105" t="s">
        <v>578</v>
      </c>
      <c r="B105" t="s">
        <v>579</v>
      </c>
    </row>
    <row r="106" spans="1:2" x14ac:dyDescent="0.2">
      <c r="A106" t="s">
        <v>580</v>
      </c>
      <c r="B106" t="s">
        <v>581</v>
      </c>
    </row>
    <row r="107" spans="1:2" x14ac:dyDescent="0.2">
      <c r="A107" t="s">
        <v>582</v>
      </c>
      <c r="B107" t="s">
        <v>614</v>
      </c>
    </row>
    <row r="108" spans="1:2" x14ac:dyDescent="0.2">
      <c r="A108" t="s">
        <v>583</v>
      </c>
      <c r="B108" t="s">
        <v>584</v>
      </c>
    </row>
    <row r="109" spans="1:2" x14ac:dyDescent="0.2">
      <c r="A109" t="s">
        <v>585</v>
      </c>
      <c r="B109" t="s">
        <v>586</v>
      </c>
    </row>
    <row r="110" spans="1:2" x14ac:dyDescent="0.2">
      <c r="A110" t="s">
        <v>587</v>
      </c>
      <c r="B110" t="s">
        <v>588</v>
      </c>
    </row>
    <row r="111" spans="1:2" x14ac:dyDescent="0.2">
      <c r="A111" t="s">
        <v>589</v>
      </c>
      <c r="B111" t="s">
        <v>590</v>
      </c>
    </row>
    <row r="112" spans="1:2" x14ac:dyDescent="0.2">
      <c r="A112" t="s">
        <v>591</v>
      </c>
      <c r="B112" t="s">
        <v>619</v>
      </c>
    </row>
    <row r="113" spans="1:2" x14ac:dyDescent="0.2">
      <c r="A113" t="s">
        <v>592</v>
      </c>
      <c r="B113" t="s">
        <v>593</v>
      </c>
    </row>
    <row r="114" spans="1:2" x14ac:dyDescent="0.2">
      <c r="A114" t="s">
        <v>594</v>
      </c>
      <c r="B114" t="s">
        <v>595</v>
      </c>
    </row>
    <row r="115" spans="1:2" x14ac:dyDescent="0.2">
      <c r="A115" t="s">
        <v>596</v>
      </c>
      <c r="B115" t="s">
        <v>597</v>
      </c>
    </row>
    <row r="116" spans="1:2" x14ac:dyDescent="0.2">
      <c r="A116" t="s">
        <v>598</v>
      </c>
      <c r="B116" t="s">
        <v>599</v>
      </c>
    </row>
    <row r="117" spans="1:2" x14ac:dyDescent="0.2">
      <c r="A117" t="s">
        <v>600</v>
      </c>
      <c r="B117" t="s">
        <v>390</v>
      </c>
    </row>
    <row r="118" spans="1:2" x14ac:dyDescent="0.2">
      <c r="A118" t="s">
        <v>601</v>
      </c>
      <c r="B118" t="s">
        <v>602</v>
      </c>
    </row>
    <row r="119" spans="1:2" x14ac:dyDescent="0.2">
      <c r="A119" t="s">
        <v>603</v>
      </c>
      <c r="B119" t="s">
        <v>604</v>
      </c>
    </row>
    <row r="120" spans="1:2" x14ac:dyDescent="0.2">
      <c r="A120" t="s">
        <v>605</v>
      </c>
      <c r="B120" t="s">
        <v>606</v>
      </c>
    </row>
    <row r="121" spans="1:2" x14ac:dyDescent="0.2">
      <c r="A121" t="s">
        <v>607</v>
      </c>
      <c r="B121" t="s">
        <v>608</v>
      </c>
    </row>
    <row r="122" spans="1:2" x14ac:dyDescent="0.2">
      <c r="A122" t="s">
        <v>609</v>
      </c>
      <c r="B122" t="s">
        <v>610</v>
      </c>
    </row>
    <row r="123" spans="1:2" x14ac:dyDescent="0.2">
      <c r="A123" t="s">
        <v>611</v>
      </c>
      <c r="B123" t="s">
        <v>620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Sep</vt:lpstr>
      <vt:lpstr>price_lookup_table</vt:lpstr>
      <vt:lpstr>postcode_table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ross main</dc:creator>
  <cp:keywords/>
  <dc:description/>
  <cp:lastModifiedBy>ross main</cp:lastModifiedBy>
  <cp:revision/>
  <dcterms:created xsi:type="dcterms:W3CDTF">2025-07-27T21:14:08Z</dcterms:created>
  <dcterms:modified xsi:type="dcterms:W3CDTF">2025-12-06T16:11:08Z</dcterms:modified>
  <cp:category/>
  <cp:contentStatus/>
</cp:coreProperties>
</file>

<file path=docProps/core0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2025-07-27T11:02:08Z</dcterms:created>
  <cp:revision>0</cp:revision>
</cp:coreProperties>
</file>